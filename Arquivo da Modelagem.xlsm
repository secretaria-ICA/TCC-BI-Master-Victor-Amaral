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Victoramaral\Dropbox\TCC BI Master Victor Amaral\"/>
    </mc:Choice>
  </mc:AlternateContent>
  <xr:revisionPtr revIDLastSave="0" documentId="13_ncr:1_{CE1FB7CC-3595-459C-BAF3-F54C117439AD}" xr6:coauthVersionLast="47" xr6:coauthVersionMax="47" xr10:uidLastSave="{00000000-0000-0000-0000-000000000000}"/>
  <bookViews>
    <workbookView xWindow="-120" yWindow="-120" windowWidth="21840" windowHeight="13140" tabRatio="763" activeTab="3" xr2:uid="{00000000-000D-0000-FFFF-FFFF00000000}"/>
  </bookViews>
  <sheets>
    <sheet name="Result. Pesq. Campo" sheetId="1" r:id="rId1"/>
    <sheet name="BD_Result. Pesquisa_Codif" sheetId="2" state="hidden" r:id="rId2"/>
    <sheet name="Base Codificada" sheetId="8" r:id="rId3"/>
    <sheet name="Padronização &amp; Def. Grupos" sheetId="9" r:id="rId4"/>
    <sheet name="Distâncias" sheetId="5" state="hidden" r:id="rId5"/>
    <sheet name="Resultado do Agrupamento" sheetId="6" r:id="rId6"/>
    <sheet name="Curva Dem. Base Completa" sheetId="16" r:id="rId7"/>
    <sheet name="Regressão Base Completa" sheetId="29" r:id="rId8"/>
    <sheet name="Curva Demanda Grupo 2" sheetId="22" r:id="rId9"/>
    <sheet name="Regressão Grupo 2" sheetId="24" r:id="rId10"/>
    <sheet name="Curva Demanda Grupo 3" sheetId="15" r:id="rId11"/>
    <sheet name="Regressão Grupo 3" sheetId="26" r:id="rId12"/>
    <sheet name="Simul. - Otimiz. Base Completa" sheetId="28" r:id="rId13"/>
    <sheet name="Simul. - Otimiz. 2 Segmentos" sheetId="23" r:id="rId14"/>
    <sheet name="Resultado do Experimento" sheetId="27" r:id="rId15"/>
    <sheet name="Demanda Grupo 3 - Preço Segment" sheetId="17" state="hidden" r:id="rId16"/>
    <sheet name="BD_Dicionário" sheetId="3" state="hidden" r:id="rId17"/>
    <sheet name="BD_Resultados" sheetId="4" state="hidden" r:id="rId18"/>
  </sheets>
  <functionGroups builtInGroupCount="19"/>
  <definedNames>
    <definedName name="_xlnm._FilterDatabase" localSheetId="2" hidden="1">'Base Codificada'!$A$3:$P$53</definedName>
    <definedName name="_xlnm._FilterDatabase" localSheetId="4" hidden="1">Distâncias!$A$3:$M$53</definedName>
    <definedName name="_xlnm._FilterDatabase" localSheetId="3" hidden="1">'Padronização &amp; Def. Grupos'!$A$3:$F$53</definedName>
    <definedName name="_xlnm._FilterDatabase" localSheetId="5" hidden="1">'Resultado do Agrupamento'!$A$3:$F$40</definedName>
    <definedName name="_xlnm._FilterDatabase" localSheetId="13" hidden="1">'Simul. - Otimiz. 2 Segmentos'!$A$3:$P$1004</definedName>
    <definedName name="_xlnm._FilterDatabase" localSheetId="12" hidden="1">'Simul. - Otimiz. Base Completa'!$A$3:$P$1004</definedName>
    <definedName name="_xlchart.v1.0" hidden="1">'Simul. - Otimiz. Base Completa'!$P$4</definedName>
    <definedName name="_xlchart.v1.1" hidden="1">'Simul. - Otimiz. Base Completa'!$P$5:$P$1004</definedName>
    <definedName name="_xlchart.v1.2" hidden="1">'Simul. - Otimiz. 2 Segmentos'!$P$4</definedName>
    <definedName name="_xlchart.v1.3" hidden="1">'Simul. - Otimiz. 2 Segmentos'!$P$5:$P$1004</definedName>
    <definedName name="_xlnm.Criteria" localSheetId="2">'Base Codificada'!#REF!</definedName>
    <definedName name="_xlnm.Criteria" localSheetId="4">Distâncias!$O$3:$O$4</definedName>
    <definedName name="_xlnm.Criteria" localSheetId="3">'Padronização &amp; Def. Grupos'!#REF!</definedName>
    <definedName name="solver_adj" localSheetId="2" hidden="1">'Base Codificada'!#REF!</definedName>
    <definedName name="solver_adj" localSheetId="6" hidden="1">'Curva Dem. Base Completa'!#REF!</definedName>
    <definedName name="solver_adj" localSheetId="8" hidden="1">'Curva Demanda Grupo 2'!#REF!</definedName>
    <definedName name="solver_adj" localSheetId="10" hidden="1">'Curva Demanda Grupo 3'!#REF!</definedName>
    <definedName name="solver_adj" localSheetId="15" hidden="1">'Demanda Grupo 3 - Preço Segment'!$K$23:$L$23</definedName>
    <definedName name="solver_adj" localSheetId="4" hidden="1">Distâncias!$B$112:$B$115</definedName>
    <definedName name="solver_adj" localSheetId="3" hidden="1">'Padronização &amp; Def. Grupos'!$B$57:$B$61</definedName>
    <definedName name="solver_adj" localSheetId="13" hidden="1">'Simul. - Otimiz. 2 Segmentos'!$A$5:$B$5,'Simul. - Otimiz. 2 Segmentos'!$L$5:$M$5</definedName>
    <definedName name="solver_adj" localSheetId="12" hidden="1">'Simul. - Otimiz. Base Completa'!$A$5:$B$5,'Simul. - Otimiz. Base Completa'!$L$5:$M$5</definedName>
    <definedName name="solver_cvg" localSheetId="2" hidden="1">0.0001</definedName>
    <definedName name="solver_cvg" localSheetId="6" hidden="1">0.0001</definedName>
    <definedName name="solver_cvg" localSheetId="8" hidden="1">0.0001</definedName>
    <definedName name="solver_cvg" localSheetId="10" hidden="1">0.0001</definedName>
    <definedName name="solver_cvg" localSheetId="15" hidden="1">0.0001</definedName>
    <definedName name="solver_cvg" localSheetId="4" hidden="1">0.0001</definedName>
    <definedName name="solver_cvg" localSheetId="3" hidden="1">0.0001</definedName>
    <definedName name="solver_cvg" localSheetId="13" hidden="1">0.0001</definedName>
    <definedName name="solver_cvg" localSheetId="12" hidden="1">0.0001</definedName>
    <definedName name="solver_drv" localSheetId="2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5" hidden="1">1</definedName>
    <definedName name="solver_drv" localSheetId="4" hidden="1">1</definedName>
    <definedName name="solver_drv" localSheetId="3" hidden="1">1</definedName>
    <definedName name="solver_drv" localSheetId="13" hidden="1">1</definedName>
    <definedName name="solver_drv" localSheetId="12" hidden="1">1</definedName>
    <definedName name="solver_eng" localSheetId="2" hidden="1">3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5" hidden="1">1</definedName>
    <definedName name="solver_eng" localSheetId="4" hidden="1">3</definedName>
    <definedName name="solver_eng" localSheetId="3" hidden="1">3</definedName>
    <definedName name="solver_eng" localSheetId="13" hidden="1">3</definedName>
    <definedName name="solver_eng" localSheetId="12" hidden="1">3</definedName>
    <definedName name="solver_est" localSheetId="2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5" hidden="1">1</definedName>
    <definedName name="solver_est" localSheetId="4" hidden="1">1</definedName>
    <definedName name="solver_est" localSheetId="3" hidden="1">1</definedName>
    <definedName name="solver_est" localSheetId="13" hidden="1">1</definedName>
    <definedName name="solver_est" localSheetId="12" hidden="1">1</definedName>
    <definedName name="solver_itr" localSheetId="2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5" hidden="1">2147483647</definedName>
    <definedName name="solver_itr" localSheetId="4" hidden="1">2147483647</definedName>
    <definedName name="solver_itr" localSheetId="3" hidden="1">2147483647</definedName>
    <definedName name="solver_itr" localSheetId="13" hidden="1">2147483647</definedName>
    <definedName name="solver_itr" localSheetId="12" hidden="1">2147483647</definedName>
    <definedName name="solver_lhs1" localSheetId="2" hidden="1">'Base Codificada'!#REF!</definedName>
    <definedName name="solver_lhs1" localSheetId="6" hidden="1">'Curva Dem. Base Completa'!#REF!</definedName>
    <definedName name="solver_lhs1" localSheetId="8" hidden="1">'Curva Demanda Grupo 2'!#REF!</definedName>
    <definedName name="solver_lhs1" localSheetId="10" hidden="1">'Curva Demanda Grupo 3'!#REF!</definedName>
    <definedName name="solver_lhs1" localSheetId="15" hidden="1">'Demanda Grupo 3 - Preço Segment'!$O$26</definedName>
    <definedName name="solver_lhs1" localSheetId="4" hidden="1">Distâncias!$B$112:$B$115</definedName>
    <definedName name="solver_lhs1" localSheetId="3" hidden="1">'Padronização &amp; Def. Grupos'!$B$57:$B$61</definedName>
    <definedName name="solver_lhs1" localSheetId="13" hidden="1">'Simul. - Otimiz. 2 Segmentos'!$A$5:$B$5</definedName>
    <definedName name="solver_lhs1" localSheetId="12" hidden="1">'Simul. - Otimiz. Base Completa'!$A$5:$B$5</definedName>
    <definedName name="solver_lhs2" localSheetId="2" hidden="1">'Base Codificada'!#REF!</definedName>
    <definedName name="solver_lhs2" localSheetId="6" hidden="1">'Curva Dem. Base Completa'!#REF!</definedName>
    <definedName name="solver_lhs2" localSheetId="8" hidden="1">'Curva Demanda Grupo 2'!#REF!</definedName>
    <definedName name="solver_lhs2" localSheetId="10" hidden="1">'Curva Demanda Grupo 3'!#REF!</definedName>
    <definedName name="solver_lhs2" localSheetId="15" hidden="1">'Demanda Grupo 3 - Preço Segment'!$M$26:$N$26</definedName>
    <definedName name="solver_lhs2" localSheetId="4" hidden="1">Distâncias!$B$112:$B$115</definedName>
    <definedName name="solver_lhs2" localSheetId="3" hidden="1">'Padronização &amp; Def. Grupos'!$B$57:$B$61</definedName>
    <definedName name="solver_lhs2" localSheetId="13" hidden="1">'Simul. - Otimiz. 2 Segmentos'!$A$5:$B$5</definedName>
    <definedName name="solver_lhs2" localSheetId="12" hidden="1">'Simul. - Otimiz. Base Completa'!$A$5:$B$5</definedName>
    <definedName name="solver_lhs3" localSheetId="2" hidden="1">'Base Codificada'!#REF!</definedName>
    <definedName name="solver_lhs3" localSheetId="6" hidden="1">'Curva Dem. Base Completa'!#REF!</definedName>
    <definedName name="solver_lhs3" localSheetId="8" hidden="1">'Curva Demanda Grupo 2'!#REF!</definedName>
    <definedName name="solver_lhs3" localSheetId="10" hidden="1">'Curva Demanda Grupo 3'!#REF!</definedName>
    <definedName name="solver_lhs3" localSheetId="15" hidden="1">'Demanda Grupo 3 - Preço Segment'!#REF!</definedName>
    <definedName name="solver_lhs3" localSheetId="4" hidden="1">Distâncias!$B$112:$B$115</definedName>
    <definedName name="solver_lhs3" localSheetId="3" hidden="1">'Padronização &amp; Def. Grupos'!$B$57:$B$61</definedName>
    <definedName name="solver_lhs3" localSheetId="13" hidden="1">'Simul. - Otimiz. 2 Segmentos'!$L$5:$M$5</definedName>
    <definedName name="solver_lhs3" localSheetId="12" hidden="1">'Simul. - Otimiz. Base Completa'!$L$5:$M$5</definedName>
    <definedName name="solver_lhs4" localSheetId="2" hidden="1">'Base Codificada'!#REF!</definedName>
    <definedName name="solver_lhs4" localSheetId="6" hidden="1">'Curva Dem. Base Completa'!#REF!</definedName>
    <definedName name="solver_lhs4" localSheetId="8" hidden="1">'Curva Demanda Grupo 2'!#REF!</definedName>
    <definedName name="solver_lhs4" localSheetId="10" hidden="1">'Curva Demanda Grupo 3'!#REF!</definedName>
    <definedName name="solver_lhs4" localSheetId="15" hidden="1">'Demanda Grupo 3 - Preço Segment'!$M$26:$N$26</definedName>
    <definedName name="solver_lhs4" localSheetId="4" hidden="1">Distâncias!$B$112:$B$115</definedName>
    <definedName name="solver_lhs4" localSheetId="3" hidden="1">'Padronização &amp; Def. Grupos'!$B$57:$B$61</definedName>
    <definedName name="solver_lhs4" localSheetId="13" hidden="1">'Simul. - Otimiz. 2 Segmentos'!$L$5:$M$5</definedName>
    <definedName name="solver_lhs4" localSheetId="12" hidden="1">'Simul. - Otimiz. Base Completa'!$L$5:$M$5</definedName>
    <definedName name="solver_lhs5" localSheetId="6" hidden="1">'Curva Dem. Base Completa'!#REF!</definedName>
    <definedName name="solver_lhs5" localSheetId="8" hidden="1">'Curva Demanda Grupo 2'!#REF!</definedName>
    <definedName name="solver_lhs5" localSheetId="10" hidden="1">'Curva Demanda Grupo 3'!#REF!</definedName>
    <definedName name="solver_lhs5" localSheetId="15" hidden="1">'Demanda Grupo 3 - Preço Segment'!$O$26</definedName>
    <definedName name="solver_lhs5" localSheetId="13" hidden="1">'Simul. - Otimiz. 2 Segmentos'!$U$3</definedName>
    <definedName name="solver_lhs5" localSheetId="12" hidden="1">'Simul. - Otimiz. Base Completa'!$M$5</definedName>
    <definedName name="solver_lhs6" localSheetId="6" hidden="1">'Curva Dem. Base Completa'!#REF!</definedName>
    <definedName name="solver_lhs6" localSheetId="8" hidden="1">'Curva Demanda Grupo 2'!#REF!</definedName>
    <definedName name="solver_lhs6" localSheetId="10" hidden="1">'Curva Demanda Grupo 3'!#REF!</definedName>
    <definedName name="solver_lhs6" localSheetId="15" hidden="1">'Demanda Grupo 3 - Preço Segment'!$O$26</definedName>
    <definedName name="solver_lhs6" localSheetId="13" hidden="1">'Simul. - Otimiz. 2 Segmentos'!$U$3</definedName>
    <definedName name="solver_lhs6" localSheetId="12" hidden="1">'Simul. - Otimiz. Base Completa'!$U$3</definedName>
    <definedName name="solver_lhs7" localSheetId="13" hidden="1">'Simul. - Otimiz. 2 Segmentos'!$U$3</definedName>
    <definedName name="solver_lhs7" localSheetId="12" hidden="1">'Simul. - Otimiz. Base Completa'!$U$3</definedName>
    <definedName name="solver_lhs8" localSheetId="13" hidden="1">'Simul. - Otimiz. 2 Segmentos'!$U$3</definedName>
    <definedName name="solver_lhs8" localSheetId="12" hidden="1">'Simul. - Otimiz. Base Completa'!$U$3</definedName>
    <definedName name="solver_mip" localSheetId="2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5" hidden="1">2147483647</definedName>
    <definedName name="solver_mip" localSheetId="4" hidden="1">2147483647</definedName>
    <definedName name="solver_mip" localSheetId="3" hidden="1">2147483647</definedName>
    <definedName name="solver_mip" localSheetId="13" hidden="1">2147483647</definedName>
    <definedName name="solver_mip" localSheetId="12" hidden="1">2147483647</definedName>
    <definedName name="solver_mni" localSheetId="2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5" hidden="1">30</definedName>
    <definedName name="solver_mni" localSheetId="4" hidden="1">30</definedName>
    <definedName name="solver_mni" localSheetId="3" hidden="1">30</definedName>
    <definedName name="solver_mni" localSheetId="13" hidden="1">30</definedName>
    <definedName name="solver_mni" localSheetId="12" hidden="1">30</definedName>
    <definedName name="solver_mrt" localSheetId="2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5" hidden="1">0.075</definedName>
    <definedName name="solver_mrt" localSheetId="4" hidden="1">0.075</definedName>
    <definedName name="solver_mrt" localSheetId="3" hidden="1">0.075</definedName>
    <definedName name="solver_mrt" localSheetId="13" hidden="1">0.075</definedName>
    <definedName name="solver_mrt" localSheetId="12" hidden="1">0.075</definedName>
    <definedName name="solver_msl" localSheetId="2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5" hidden="1">2</definedName>
    <definedName name="solver_msl" localSheetId="4" hidden="1">2</definedName>
    <definedName name="solver_msl" localSheetId="3" hidden="1">2</definedName>
    <definedName name="solver_msl" localSheetId="13" hidden="1">2</definedName>
    <definedName name="solver_msl" localSheetId="12" hidden="1">2</definedName>
    <definedName name="solver_neg" localSheetId="2" hidden="1">1</definedName>
    <definedName name="solver_neg" localSheetId="6" hidden="1">1</definedName>
    <definedName name="solver_neg" localSheetId="8" hidden="1">1</definedName>
    <definedName name="solver_neg" localSheetId="10" hidden="1">1</definedName>
    <definedName name="solver_neg" localSheetId="15" hidden="1">1</definedName>
    <definedName name="solver_neg" localSheetId="4" hidden="1">1</definedName>
    <definedName name="solver_neg" localSheetId="3" hidden="1">1</definedName>
    <definedName name="solver_neg" localSheetId="13" hidden="1">1</definedName>
    <definedName name="solver_neg" localSheetId="12" hidden="1">1</definedName>
    <definedName name="solver_nod" localSheetId="2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5" hidden="1">2147483647</definedName>
    <definedName name="solver_nod" localSheetId="4" hidden="1">2147483647</definedName>
    <definedName name="solver_nod" localSheetId="3" hidden="1">2147483647</definedName>
    <definedName name="solver_nod" localSheetId="13" hidden="1">2147483647</definedName>
    <definedName name="solver_nod" localSheetId="12" hidden="1">2147483647</definedName>
    <definedName name="solver_num" localSheetId="2" hidden="1">3</definedName>
    <definedName name="solver_num" localSheetId="6" hidden="1">0</definedName>
    <definedName name="solver_num" localSheetId="8" hidden="1">0</definedName>
    <definedName name="solver_num" localSheetId="10" hidden="1">0</definedName>
    <definedName name="solver_num" localSheetId="15" hidden="1">0</definedName>
    <definedName name="solver_num" localSheetId="4" hidden="1">3</definedName>
    <definedName name="solver_num" localSheetId="3" hidden="1">3</definedName>
    <definedName name="solver_num" localSheetId="13" hidden="1">5</definedName>
    <definedName name="solver_num" localSheetId="12" hidden="1">6</definedName>
    <definedName name="solver_nwt" localSheetId="2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5" hidden="1">1</definedName>
    <definedName name="solver_nwt" localSheetId="4" hidden="1">1</definedName>
    <definedName name="solver_nwt" localSheetId="3" hidden="1">1</definedName>
    <definedName name="solver_nwt" localSheetId="13" hidden="1">1</definedName>
    <definedName name="solver_nwt" localSheetId="12" hidden="1">1</definedName>
    <definedName name="solver_opt" localSheetId="2" hidden="1">'Base Codificada'!#REF!</definedName>
    <definedName name="solver_opt" localSheetId="6" hidden="1">'Curva Dem. Base Completa'!$L$74</definedName>
    <definedName name="solver_opt" localSheetId="8" hidden="1">'Curva Demanda Grupo 2'!#REF!</definedName>
    <definedName name="solver_opt" localSheetId="10" hidden="1">'Curva Demanda Grupo 3'!#REF!</definedName>
    <definedName name="solver_opt" localSheetId="15" hidden="1">'Demanda Grupo 3 - Preço Segment'!$Q$23</definedName>
    <definedName name="solver_opt" localSheetId="4" hidden="1">Distâncias!$H$117</definedName>
    <definedName name="solver_opt" localSheetId="3" hidden="1">'Padronização &amp; Def. Grupos'!$I$65</definedName>
    <definedName name="solver_opt" localSheetId="13" hidden="1">'Simul. - Otimiz. 2 Segmentos'!$V$14</definedName>
    <definedName name="solver_opt" localSheetId="12" hidden="1">'Simul. - Otimiz. Base Completa'!$V$14</definedName>
    <definedName name="solver_pre" localSheetId="2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5" hidden="1">0.000001</definedName>
    <definedName name="solver_pre" localSheetId="4" hidden="1">0.000001</definedName>
    <definedName name="solver_pre" localSheetId="3" hidden="1">0.000001</definedName>
    <definedName name="solver_pre" localSheetId="13" hidden="1">0.000001</definedName>
    <definedName name="solver_pre" localSheetId="12" hidden="1">0.000001</definedName>
    <definedName name="solver_rbv" localSheetId="2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5" hidden="1">1</definedName>
    <definedName name="solver_rbv" localSheetId="4" hidden="1">1</definedName>
    <definedName name="solver_rbv" localSheetId="3" hidden="1">1</definedName>
    <definedName name="solver_rbv" localSheetId="13" hidden="1">1</definedName>
    <definedName name="solver_rbv" localSheetId="12" hidden="1">1</definedName>
    <definedName name="solver_rel1" localSheetId="2" hidden="1">1</definedName>
    <definedName name="solver_rel1" localSheetId="6" hidden="1">2</definedName>
    <definedName name="solver_rel1" localSheetId="8" hidden="1">2</definedName>
    <definedName name="solver_rel1" localSheetId="10" hidden="1">2</definedName>
    <definedName name="solver_rel1" localSheetId="15" hidden="1">2</definedName>
    <definedName name="solver_rel1" localSheetId="4" hidden="1">1</definedName>
    <definedName name="solver_rel1" localSheetId="3" hidden="1">1</definedName>
    <definedName name="solver_rel1" localSheetId="13" hidden="1">1</definedName>
    <definedName name="solver_rel1" localSheetId="12" hidden="1">1</definedName>
    <definedName name="solver_rel2" localSheetId="2" hidden="1">4</definedName>
    <definedName name="solver_rel2" localSheetId="6" hidden="1">1</definedName>
    <definedName name="solver_rel2" localSheetId="8" hidden="1">3</definedName>
    <definedName name="solver_rel2" localSheetId="10" hidden="1">3</definedName>
    <definedName name="solver_rel2" localSheetId="15" hidden="1">3</definedName>
    <definedName name="solver_rel2" localSheetId="4" hidden="1">4</definedName>
    <definedName name="solver_rel2" localSheetId="3" hidden="1">4</definedName>
    <definedName name="solver_rel2" localSheetId="13" hidden="1">3</definedName>
    <definedName name="solver_rel2" localSheetId="12" hidden="1">3</definedName>
    <definedName name="solver_rel3" localSheetId="2" hidden="1">3</definedName>
    <definedName name="solver_rel3" localSheetId="6" hidden="1">3</definedName>
    <definedName name="solver_rel3" localSheetId="8" hidden="1">2</definedName>
    <definedName name="solver_rel3" localSheetId="10" hidden="1">2</definedName>
    <definedName name="solver_rel3" localSheetId="15" hidden="1">2</definedName>
    <definedName name="solver_rel3" localSheetId="4" hidden="1">3</definedName>
    <definedName name="solver_rel3" localSheetId="3" hidden="1">3</definedName>
    <definedName name="solver_rel3" localSheetId="13" hidden="1">1</definedName>
    <definedName name="solver_rel3" localSheetId="12" hidden="1">1</definedName>
    <definedName name="solver_rel4" localSheetId="2" hidden="1">3</definedName>
    <definedName name="solver_rel4" localSheetId="6" hidden="1">3</definedName>
    <definedName name="solver_rel4" localSheetId="8" hidden="1">3</definedName>
    <definedName name="solver_rel4" localSheetId="10" hidden="1">3</definedName>
    <definedName name="solver_rel4" localSheetId="15" hidden="1">3</definedName>
    <definedName name="solver_rel4" localSheetId="4" hidden="1">3</definedName>
    <definedName name="solver_rel4" localSheetId="3" hidden="1">4</definedName>
    <definedName name="solver_rel4" localSheetId="13" hidden="1">3</definedName>
    <definedName name="solver_rel4" localSheetId="12" hidden="1">3</definedName>
    <definedName name="solver_rel5" localSheetId="6" hidden="1">2</definedName>
    <definedName name="solver_rel5" localSheetId="8" hidden="1">2</definedName>
    <definedName name="solver_rel5" localSheetId="10" hidden="1">2</definedName>
    <definedName name="solver_rel5" localSheetId="15" hidden="1">2</definedName>
    <definedName name="solver_rel5" localSheetId="13" hidden="1">2</definedName>
    <definedName name="solver_rel5" localSheetId="12" hidden="1">2</definedName>
    <definedName name="solver_rel6" localSheetId="6" hidden="1">2</definedName>
    <definedName name="solver_rel6" localSheetId="8" hidden="1">2</definedName>
    <definedName name="solver_rel6" localSheetId="10" hidden="1">2</definedName>
    <definedName name="solver_rel6" localSheetId="15" hidden="1">2</definedName>
    <definedName name="solver_rel6" localSheetId="13" hidden="1">2</definedName>
    <definedName name="solver_rel6" localSheetId="12" hidden="1">2</definedName>
    <definedName name="solver_rel7" localSheetId="13" hidden="1">2</definedName>
    <definedName name="solver_rel7" localSheetId="12" hidden="1">2</definedName>
    <definedName name="solver_rel8" localSheetId="13" hidden="1">2</definedName>
    <definedName name="solver_rel8" localSheetId="12" hidden="1">2</definedName>
    <definedName name="solver_rhs1" localSheetId="2" hidden="1">50</definedName>
    <definedName name="solver_rhs1" localSheetId="6" hidden="1">0</definedName>
    <definedName name="solver_rhs1" localSheetId="8" hidden="1">20000</definedName>
    <definedName name="solver_rhs1" localSheetId="10" hidden="1">20000</definedName>
    <definedName name="solver_rhs1" localSheetId="15" hidden="1">20000</definedName>
    <definedName name="solver_rhs1" localSheetId="4" hidden="1">50</definedName>
    <definedName name="solver_rhs1" localSheetId="3" hidden="1">50</definedName>
    <definedName name="solver_rhs1" localSheetId="13" hidden="1">200</definedName>
    <definedName name="solver_rhs1" localSheetId="12" hidden="1">200</definedName>
    <definedName name="solver_rhs2" localSheetId="2" hidden="1">"número inteiro"</definedName>
    <definedName name="solver_rhs2" localSheetId="6" hidden="1">120</definedName>
    <definedName name="solver_rhs2" localSheetId="8" hidden="1">0</definedName>
    <definedName name="solver_rhs2" localSheetId="10" hidden="1">0</definedName>
    <definedName name="solver_rhs2" localSheetId="15" hidden="1">0</definedName>
    <definedName name="solver_rhs2" localSheetId="4" hidden="1">"número inteiro"</definedName>
    <definedName name="solver_rhs2" localSheetId="3" hidden="1">"número inteiro"</definedName>
    <definedName name="solver_rhs2" localSheetId="13" hidden="1">10</definedName>
    <definedName name="solver_rhs2" localSheetId="12" hidden="1">10</definedName>
    <definedName name="solver_rhs3" localSheetId="2" hidden="1">1</definedName>
    <definedName name="solver_rhs3" localSheetId="6" hidden="1">0</definedName>
    <definedName name="solver_rhs3" localSheetId="8" hidden="1">0</definedName>
    <definedName name="solver_rhs3" localSheetId="10" hidden="1">0</definedName>
    <definedName name="solver_rhs3" localSheetId="15" hidden="1">0</definedName>
    <definedName name="solver_rhs3" localSheetId="4" hidden="1">1</definedName>
    <definedName name="solver_rhs3" localSheetId="3" hidden="1">1</definedName>
    <definedName name="solver_rhs3" localSheetId="13" hidden="1">'Simul. - Otimiz. 2 Segmentos'!$U$4</definedName>
    <definedName name="solver_rhs3" localSheetId="12" hidden="1">'Simul. - Otimiz. Base Completa'!$U$4</definedName>
    <definedName name="solver_rhs4" localSheetId="2" hidden="1">1</definedName>
    <definedName name="solver_rhs4" localSheetId="6" hidden="1">0</definedName>
    <definedName name="solver_rhs4" localSheetId="8" hidden="1">0</definedName>
    <definedName name="solver_rhs4" localSheetId="10" hidden="1">0</definedName>
    <definedName name="solver_rhs4" localSheetId="15" hidden="1">0</definedName>
    <definedName name="solver_rhs4" localSheetId="4" hidden="1">1</definedName>
    <definedName name="solver_rhs4" localSheetId="3" hidden="1">"número inteiro"</definedName>
    <definedName name="solver_rhs4" localSheetId="13" hidden="1">0</definedName>
    <definedName name="solver_rhs4" localSheetId="12" hidden="1">0</definedName>
    <definedName name="solver_rhs5" localSheetId="6" hidden="1">20000</definedName>
    <definedName name="solver_rhs5" localSheetId="8" hidden="1">20000</definedName>
    <definedName name="solver_rhs5" localSheetId="10" hidden="1">20000</definedName>
    <definedName name="solver_rhs5" localSheetId="15" hidden="1">20000</definedName>
    <definedName name="solver_rhs5" localSheetId="13" hidden="1">'Simul. - Otimiz. 2 Segmentos'!$U$4</definedName>
    <definedName name="solver_rhs5" localSheetId="12" hidden="1">0</definedName>
    <definedName name="solver_rhs6" localSheetId="6" hidden="1">20000</definedName>
    <definedName name="solver_rhs6" localSheetId="8" hidden="1">20000</definedName>
    <definedName name="solver_rhs6" localSheetId="10" hidden="1">20000</definedName>
    <definedName name="solver_rhs6" localSheetId="15" hidden="1">20000</definedName>
    <definedName name="solver_rhs6" localSheetId="13" hidden="1">'Simul. - Otimiz. 2 Segmentos'!$U$4</definedName>
    <definedName name="solver_rhs6" localSheetId="12" hidden="1">'Simul. - Otimiz. Base Completa'!$U$4</definedName>
    <definedName name="solver_rhs7" localSheetId="13" hidden="1">'Simul. - Otimiz. 2 Segmentos'!$U$4</definedName>
    <definedName name="solver_rhs7" localSheetId="12" hidden="1">'Simul. - Otimiz. Base Completa'!$U$4</definedName>
    <definedName name="solver_rhs8" localSheetId="13" hidden="1">'Simul. - Otimiz. 2 Segmentos'!$U$4</definedName>
    <definedName name="solver_rhs8" localSheetId="12" hidden="1">'Simul. - Otimiz. Base Completa'!$U$4</definedName>
    <definedName name="solver_rlx" localSheetId="2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5" hidden="1">2</definedName>
    <definedName name="solver_rlx" localSheetId="4" hidden="1">2</definedName>
    <definedName name="solver_rlx" localSheetId="3" hidden="1">2</definedName>
    <definedName name="solver_rlx" localSheetId="13" hidden="1">2</definedName>
    <definedName name="solver_rlx" localSheetId="12" hidden="1">2</definedName>
    <definedName name="solver_rsd" localSheetId="2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5" hidden="1">0</definedName>
    <definedName name="solver_rsd" localSheetId="4" hidden="1">0</definedName>
    <definedName name="solver_rsd" localSheetId="3" hidden="1">0</definedName>
    <definedName name="solver_rsd" localSheetId="13" hidden="1">0</definedName>
    <definedName name="solver_rsd" localSheetId="12" hidden="1">0</definedName>
    <definedName name="solver_scl" localSheetId="2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5" hidden="1">1</definedName>
    <definedName name="solver_scl" localSheetId="4" hidden="1">1</definedName>
    <definedName name="solver_scl" localSheetId="3" hidden="1">1</definedName>
    <definedName name="solver_scl" localSheetId="13" hidden="1">1</definedName>
    <definedName name="solver_scl" localSheetId="12" hidden="1">1</definedName>
    <definedName name="solver_sho" localSheetId="2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5" hidden="1">2</definedName>
    <definedName name="solver_sho" localSheetId="4" hidden="1">2</definedName>
    <definedName name="solver_sho" localSheetId="3" hidden="1">2</definedName>
    <definedName name="solver_sho" localSheetId="13" hidden="1">2</definedName>
    <definedName name="solver_sho" localSheetId="12" hidden="1">2</definedName>
    <definedName name="solver_ssz" localSheetId="2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5" hidden="1">100</definedName>
    <definedName name="solver_ssz" localSheetId="4" hidden="1">100</definedName>
    <definedName name="solver_ssz" localSheetId="3" hidden="1">100</definedName>
    <definedName name="solver_ssz" localSheetId="13" hidden="1">100</definedName>
    <definedName name="solver_ssz" localSheetId="12" hidden="1">100</definedName>
    <definedName name="solver_tim" localSheetId="2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5" hidden="1">2147483647</definedName>
    <definedName name="solver_tim" localSheetId="4" hidden="1">2147483647</definedName>
    <definedName name="solver_tim" localSheetId="3" hidden="1">2147483647</definedName>
    <definedName name="solver_tim" localSheetId="13" hidden="1">2147483647</definedName>
    <definedName name="solver_tim" localSheetId="12" hidden="1">2147483647</definedName>
    <definedName name="solver_tol" localSheetId="2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5" hidden="1">0.01</definedName>
    <definedName name="solver_tol" localSheetId="4" hidden="1">0.01</definedName>
    <definedName name="solver_tol" localSheetId="3" hidden="1">0.01</definedName>
    <definedName name="solver_tol" localSheetId="13" hidden="1">0.01</definedName>
    <definedName name="solver_tol" localSheetId="12" hidden="1">0.01</definedName>
    <definedName name="solver_typ" localSheetId="2" hidden="1">2</definedName>
    <definedName name="solver_typ" localSheetId="6" hidden="1">1</definedName>
    <definedName name="solver_typ" localSheetId="8" hidden="1">1</definedName>
    <definedName name="solver_typ" localSheetId="10" hidden="1">1</definedName>
    <definedName name="solver_typ" localSheetId="15" hidden="1">1</definedName>
    <definedName name="solver_typ" localSheetId="4" hidden="1">2</definedName>
    <definedName name="solver_typ" localSheetId="3" hidden="1">2</definedName>
    <definedName name="solver_typ" localSheetId="13" hidden="1">1</definedName>
    <definedName name="solver_typ" localSheetId="12" hidden="1">1</definedName>
    <definedName name="solver_val" localSheetId="2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5" hidden="1">0</definedName>
    <definedName name="solver_val" localSheetId="4" hidden="1">0</definedName>
    <definedName name="solver_val" localSheetId="3" hidden="1">0</definedName>
    <definedName name="solver_val" localSheetId="13" hidden="1">0</definedName>
    <definedName name="solver_val" localSheetId="12" hidden="1">0</definedName>
    <definedName name="solver_ver" localSheetId="2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5" hidden="1">3</definedName>
    <definedName name="solver_ver" localSheetId="4" hidden="1">3</definedName>
    <definedName name="solver_ver" localSheetId="3" hidden="1">3</definedName>
    <definedName name="solver_ver" localSheetId="13" hidden="1">3</definedName>
    <definedName name="solver_ver" localSheetId="12" hidden="1">3</definedName>
  </definedNames>
  <calcPr calcId="191029"/>
  <pivotCaches>
    <pivotCache cacheId="0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8" l="1"/>
  <c r="E5" i="28" s="1"/>
  <c r="I5" i="28" s="1"/>
  <c r="A6" i="28"/>
  <c r="A7" i="28" s="1"/>
  <c r="V18" i="28"/>
  <c r="V17" i="28"/>
  <c r="V16" i="28"/>
  <c r="V15" i="28"/>
  <c r="M6" i="28"/>
  <c r="M7" i="28" s="1"/>
  <c r="M8" i="28" s="1"/>
  <c r="M9" i="28" s="1"/>
  <c r="M10" i="28" s="1"/>
  <c r="M11" i="28" s="1"/>
  <c r="M12" i="28" s="1"/>
  <c r="M13" i="28" s="1"/>
  <c r="M14" i="28" s="1"/>
  <c r="M15" i="28" s="1"/>
  <c r="M16" i="28" s="1"/>
  <c r="M17" i="28" s="1"/>
  <c r="M18" i="28" s="1"/>
  <c r="M19" i="28" s="1"/>
  <c r="M20" i="28" s="1"/>
  <c r="M21" i="28" s="1"/>
  <c r="M22" i="28" s="1"/>
  <c r="M23" i="28" s="1"/>
  <c r="M24" i="28" s="1"/>
  <c r="M25" i="28" s="1"/>
  <c r="M26" i="28" s="1"/>
  <c r="M27" i="28" s="1"/>
  <c r="M28" i="28" s="1"/>
  <c r="M29" i="28" s="1"/>
  <c r="M30" i="28" s="1"/>
  <c r="M31" i="28" s="1"/>
  <c r="M32" i="28" s="1"/>
  <c r="M33" i="28" s="1"/>
  <c r="M34" i="28" s="1"/>
  <c r="M35" i="28" s="1"/>
  <c r="M36" i="28" s="1"/>
  <c r="M37" i="28" s="1"/>
  <c r="M38" i="28" s="1"/>
  <c r="M39" i="28" s="1"/>
  <c r="M40" i="28" s="1"/>
  <c r="M41" i="28" s="1"/>
  <c r="M42" i="28" s="1"/>
  <c r="M43" i="28" s="1"/>
  <c r="M44" i="28" s="1"/>
  <c r="M45" i="28" s="1"/>
  <c r="M46" i="28" s="1"/>
  <c r="M47" i="28" s="1"/>
  <c r="M48" i="28" s="1"/>
  <c r="M49" i="28" s="1"/>
  <c r="M50" i="28" s="1"/>
  <c r="M51" i="28" s="1"/>
  <c r="M52" i="28" s="1"/>
  <c r="M53" i="28" s="1"/>
  <c r="M54" i="28" s="1"/>
  <c r="M55" i="28" s="1"/>
  <c r="M56" i="28" s="1"/>
  <c r="M57" i="28" s="1"/>
  <c r="M58" i="28" s="1"/>
  <c r="M59" i="28" s="1"/>
  <c r="M60" i="28" s="1"/>
  <c r="M61" i="28" s="1"/>
  <c r="M62" i="28" s="1"/>
  <c r="M63" i="28" s="1"/>
  <c r="M64" i="28" s="1"/>
  <c r="M65" i="28" s="1"/>
  <c r="M66" i="28" s="1"/>
  <c r="M67" i="28" s="1"/>
  <c r="M68" i="28" s="1"/>
  <c r="M69" i="28" s="1"/>
  <c r="M70" i="28" s="1"/>
  <c r="M71" i="28" s="1"/>
  <c r="M72" i="28" s="1"/>
  <c r="M73" i="28" s="1"/>
  <c r="M74" i="28" s="1"/>
  <c r="M75" i="28" s="1"/>
  <c r="M76" i="28" s="1"/>
  <c r="M77" i="28" s="1"/>
  <c r="M78" i="28" s="1"/>
  <c r="M79" i="28" s="1"/>
  <c r="M80" i="28" s="1"/>
  <c r="M81" i="28" s="1"/>
  <c r="M82" i="28" s="1"/>
  <c r="M83" i="28" s="1"/>
  <c r="M84" i="28" s="1"/>
  <c r="M85" i="28" s="1"/>
  <c r="M86" i="28" s="1"/>
  <c r="M87" i="28" s="1"/>
  <c r="M88" i="28" s="1"/>
  <c r="M89" i="28" s="1"/>
  <c r="M90" i="28" s="1"/>
  <c r="M91" i="28" s="1"/>
  <c r="M92" i="28" s="1"/>
  <c r="M93" i="28" s="1"/>
  <c r="M94" i="28" s="1"/>
  <c r="M95" i="28" s="1"/>
  <c r="M96" i="28" s="1"/>
  <c r="M97" i="28" s="1"/>
  <c r="M98" i="28" s="1"/>
  <c r="M99" i="28" s="1"/>
  <c r="M100" i="28" s="1"/>
  <c r="M101" i="28" s="1"/>
  <c r="M102" i="28" s="1"/>
  <c r="M103" i="28" s="1"/>
  <c r="M104" i="28" s="1"/>
  <c r="M105" i="28" s="1"/>
  <c r="M106" i="28" s="1"/>
  <c r="M107" i="28" s="1"/>
  <c r="M108" i="28" s="1"/>
  <c r="M109" i="28" s="1"/>
  <c r="M110" i="28" s="1"/>
  <c r="M111" i="28" s="1"/>
  <c r="M112" i="28" s="1"/>
  <c r="M113" i="28" s="1"/>
  <c r="M114" i="28" s="1"/>
  <c r="M115" i="28" s="1"/>
  <c r="M116" i="28" s="1"/>
  <c r="M117" i="28" s="1"/>
  <c r="M118" i="28" s="1"/>
  <c r="M119" i="28" s="1"/>
  <c r="M120" i="28" s="1"/>
  <c r="M121" i="28" s="1"/>
  <c r="M122" i="28" s="1"/>
  <c r="M123" i="28" s="1"/>
  <c r="M124" i="28" s="1"/>
  <c r="M125" i="28" s="1"/>
  <c r="M126" i="28" s="1"/>
  <c r="M127" i="28" s="1"/>
  <c r="M128" i="28" s="1"/>
  <c r="M129" i="28" s="1"/>
  <c r="M130" i="28" s="1"/>
  <c r="M131" i="28" s="1"/>
  <c r="M132" i="28" s="1"/>
  <c r="M133" i="28" s="1"/>
  <c r="M134" i="28" s="1"/>
  <c r="M135" i="28" s="1"/>
  <c r="M136" i="28" s="1"/>
  <c r="M137" i="28" s="1"/>
  <c r="M138" i="28" s="1"/>
  <c r="M139" i="28" s="1"/>
  <c r="M140" i="28" s="1"/>
  <c r="M141" i="28" s="1"/>
  <c r="M142" i="28" s="1"/>
  <c r="M143" i="28" s="1"/>
  <c r="M144" i="28" s="1"/>
  <c r="M145" i="28" s="1"/>
  <c r="M146" i="28" s="1"/>
  <c r="M147" i="28" s="1"/>
  <c r="M148" i="28" s="1"/>
  <c r="M149" i="28" s="1"/>
  <c r="M150" i="28" s="1"/>
  <c r="M151" i="28" s="1"/>
  <c r="M152" i="28" s="1"/>
  <c r="M153" i="28" s="1"/>
  <c r="M154" i="28" s="1"/>
  <c r="M155" i="28" s="1"/>
  <c r="M156" i="28" s="1"/>
  <c r="M157" i="28" s="1"/>
  <c r="M158" i="28" s="1"/>
  <c r="M159" i="28" s="1"/>
  <c r="M160" i="28" s="1"/>
  <c r="M161" i="28" s="1"/>
  <c r="M162" i="28" s="1"/>
  <c r="M163" i="28" s="1"/>
  <c r="M164" i="28" s="1"/>
  <c r="M165" i="28" s="1"/>
  <c r="M166" i="28" s="1"/>
  <c r="M167" i="28" s="1"/>
  <c r="M168" i="28" s="1"/>
  <c r="M169" i="28" s="1"/>
  <c r="M170" i="28" s="1"/>
  <c r="M171" i="28" s="1"/>
  <c r="M172" i="28" s="1"/>
  <c r="M173" i="28" s="1"/>
  <c r="M174" i="28" s="1"/>
  <c r="M175" i="28" s="1"/>
  <c r="M176" i="28" s="1"/>
  <c r="M177" i="28" s="1"/>
  <c r="M178" i="28" s="1"/>
  <c r="M179" i="28" s="1"/>
  <c r="M180" i="28" s="1"/>
  <c r="M181" i="28" s="1"/>
  <c r="M182" i="28" s="1"/>
  <c r="M183" i="28" s="1"/>
  <c r="M184" i="28" s="1"/>
  <c r="M185" i="28" s="1"/>
  <c r="M186" i="28" s="1"/>
  <c r="M187" i="28" s="1"/>
  <c r="M188" i="28" s="1"/>
  <c r="M189" i="28" s="1"/>
  <c r="M190" i="28" s="1"/>
  <c r="M191" i="28" s="1"/>
  <c r="M192" i="28" s="1"/>
  <c r="M193" i="28" s="1"/>
  <c r="M194" i="28" s="1"/>
  <c r="M195" i="28" s="1"/>
  <c r="M196" i="28" s="1"/>
  <c r="M197" i="28" s="1"/>
  <c r="M198" i="28" s="1"/>
  <c r="M199" i="28" s="1"/>
  <c r="M200" i="28" s="1"/>
  <c r="M201" i="28" s="1"/>
  <c r="M202" i="28" s="1"/>
  <c r="M203" i="28" s="1"/>
  <c r="M204" i="28" s="1"/>
  <c r="M205" i="28" s="1"/>
  <c r="M206" i="28" s="1"/>
  <c r="M207" i="28" s="1"/>
  <c r="M208" i="28" s="1"/>
  <c r="M209" i="28" s="1"/>
  <c r="M210" i="28" s="1"/>
  <c r="M211" i="28" s="1"/>
  <c r="M212" i="28" s="1"/>
  <c r="M213" i="28" s="1"/>
  <c r="M214" i="28" s="1"/>
  <c r="M215" i="28" s="1"/>
  <c r="M216" i="28" s="1"/>
  <c r="M217" i="28" s="1"/>
  <c r="M218" i="28" s="1"/>
  <c r="M219" i="28" s="1"/>
  <c r="M220" i="28" s="1"/>
  <c r="M221" i="28" s="1"/>
  <c r="M222" i="28" s="1"/>
  <c r="M223" i="28" s="1"/>
  <c r="M224" i="28" s="1"/>
  <c r="M225" i="28" s="1"/>
  <c r="M226" i="28" s="1"/>
  <c r="M227" i="28" s="1"/>
  <c r="M228" i="28" s="1"/>
  <c r="M229" i="28" s="1"/>
  <c r="M230" i="28" s="1"/>
  <c r="M231" i="28" s="1"/>
  <c r="M232" i="28" s="1"/>
  <c r="M233" i="28" s="1"/>
  <c r="M234" i="28" s="1"/>
  <c r="M235" i="28" s="1"/>
  <c r="M236" i="28" s="1"/>
  <c r="M237" i="28" s="1"/>
  <c r="M238" i="28" s="1"/>
  <c r="M239" i="28" s="1"/>
  <c r="M240" i="28" s="1"/>
  <c r="M241" i="28" s="1"/>
  <c r="M242" i="28" s="1"/>
  <c r="M243" i="28" s="1"/>
  <c r="M244" i="28" s="1"/>
  <c r="M245" i="28" s="1"/>
  <c r="M246" i="28" s="1"/>
  <c r="M247" i="28" s="1"/>
  <c r="M248" i="28" s="1"/>
  <c r="M249" i="28" s="1"/>
  <c r="M250" i="28" s="1"/>
  <c r="M251" i="28" s="1"/>
  <c r="M252" i="28" s="1"/>
  <c r="M253" i="28" s="1"/>
  <c r="M254" i="28" s="1"/>
  <c r="M255" i="28" s="1"/>
  <c r="M256" i="28" s="1"/>
  <c r="M257" i="28" s="1"/>
  <c r="M258" i="28" s="1"/>
  <c r="M259" i="28" s="1"/>
  <c r="M260" i="28" s="1"/>
  <c r="M261" i="28" s="1"/>
  <c r="M262" i="28" s="1"/>
  <c r="M263" i="28" s="1"/>
  <c r="M264" i="28" s="1"/>
  <c r="M265" i="28" s="1"/>
  <c r="M266" i="28" s="1"/>
  <c r="M267" i="28" s="1"/>
  <c r="M268" i="28" s="1"/>
  <c r="M269" i="28" s="1"/>
  <c r="M270" i="28" s="1"/>
  <c r="M271" i="28" s="1"/>
  <c r="M272" i="28" s="1"/>
  <c r="M273" i="28" s="1"/>
  <c r="M274" i="28" s="1"/>
  <c r="M275" i="28" s="1"/>
  <c r="M276" i="28" s="1"/>
  <c r="M277" i="28" s="1"/>
  <c r="M278" i="28" s="1"/>
  <c r="M279" i="28" s="1"/>
  <c r="M280" i="28" s="1"/>
  <c r="M281" i="28" s="1"/>
  <c r="M282" i="28" s="1"/>
  <c r="M283" i="28" s="1"/>
  <c r="M284" i="28" s="1"/>
  <c r="M285" i="28" s="1"/>
  <c r="M286" i="28" s="1"/>
  <c r="M287" i="28" s="1"/>
  <c r="M288" i="28" s="1"/>
  <c r="M289" i="28" s="1"/>
  <c r="M290" i="28" s="1"/>
  <c r="M291" i="28" s="1"/>
  <c r="M292" i="28" s="1"/>
  <c r="M293" i="28" s="1"/>
  <c r="M294" i="28" s="1"/>
  <c r="M295" i="28" s="1"/>
  <c r="M296" i="28" s="1"/>
  <c r="M297" i="28" s="1"/>
  <c r="M298" i="28" s="1"/>
  <c r="M299" i="28" s="1"/>
  <c r="M300" i="28" s="1"/>
  <c r="M301" i="28" s="1"/>
  <c r="M302" i="28" s="1"/>
  <c r="M303" i="28" s="1"/>
  <c r="M304" i="28" s="1"/>
  <c r="M305" i="28" s="1"/>
  <c r="M306" i="28" s="1"/>
  <c r="M307" i="28" s="1"/>
  <c r="M308" i="28" s="1"/>
  <c r="M309" i="28" s="1"/>
  <c r="M310" i="28" s="1"/>
  <c r="M311" i="28" s="1"/>
  <c r="M312" i="28" s="1"/>
  <c r="M313" i="28" s="1"/>
  <c r="M314" i="28" s="1"/>
  <c r="M315" i="28" s="1"/>
  <c r="M316" i="28" s="1"/>
  <c r="M317" i="28" s="1"/>
  <c r="M318" i="28" s="1"/>
  <c r="M319" i="28" s="1"/>
  <c r="M320" i="28" s="1"/>
  <c r="M321" i="28" s="1"/>
  <c r="M322" i="28" s="1"/>
  <c r="M323" i="28" s="1"/>
  <c r="M324" i="28" s="1"/>
  <c r="M325" i="28" s="1"/>
  <c r="M326" i="28" s="1"/>
  <c r="M327" i="28" s="1"/>
  <c r="M328" i="28" s="1"/>
  <c r="M329" i="28" s="1"/>
  <c r="M330" i="28" s="1"/>
  <c r="M331" i="28" s="1"/>
  <c r="M332" i="28" s="1"/>
  <c r="M333" i="28" s="1"/>
  <c r="M334" i="28" s="1"/>
  <c r="M335" i="28" s="1"/>
  <c r="M336" i="28" s="1"/>
  <c r="M337" i="28" s="1"/>
  <c r="M338" i="28" s="1"/>
  <c r="M339" i="28" s="1"/>
  <c r="M340" i="28" s="1"/>
  <c r="M341" i="28" s="1"/>
  <c r="M342" i="28" s="1"/>
  <c r="M343" i="28" s="1"/>
  <c r="M344" i="28" s="1"/>
  <c r="M345" i="28" s="1"/>
  <c r="M346" i="28" s="1"/>
  <c r="M347" i="28" s="1"/>
  <c r="M348" i="28" s="1"/>
  <c r="M349" i="28" s="1"/>
  <c r="M350" i="28" s="1"/>
  <c r="M351" i="28" s="1"/>
  <c r="M352" i="28" s="1"/>
  <c r="M353" i="28" s="1"/>
  <c r="M354" i="28" s="1"/>
  <c r="M355" i="28" s="1"/>
  <c r="M356" i="28" s="1"/>
  <c r="M357" i="28" s="1"/>
  <c r="M358" i="28" s="1"/>
  <c r="M359" i="28" s="1"/>
  <c r="M360" i="28" s="1"/>
  <c r="M361" i="28" s="1"/>
  <c r="M362" i="28" s="1"/>
  <c r="M363" i="28" s="1"/>
  <c r="M364" i="28" s="1"/>
  <c r="M365" i="28" s="1"/>
  <c r="M366" i="28" s="1"/>
  <c r="M367" i="28" s="1"/>
  <c r="M368" i="28" s="1"/>
  <c r="M369" i="28" s="1"/>
  <c r="M370" i="28" s="1"/>
  <c r="M371" i="28" s="1"/>
  <c r="M372" i="28" s="1"/>
  <c r="M373" i="28" s="1"/>
  <c r="M374" i="28" s="1"/>
  <c r="M375" i="28" s="1"/>
  <c r="M376" i="28" s="1"/>
  <c r="M377" i="28" s="1"/>
  <c r="M378" i="28" s="1"/>
  <c r="M379" i="28" s="1"/>
  <c r="M380" i="28" s="1"/>
  <c r="M381" i="28" s="1"/>
  <c r="M382" i="28" s="1"/>
  <c r="M383" i="28" s="1"/>
  <c r="M384" i="28" s="1"/>
  <c r="M385" i="28" s="1"/>
  <c r="M386" i="28" s="1"/>
  <c r="M387" i="28" s="1"/>
  <c r="M388" i="28" s="1"/>
  <c r="M389" i="28" s="1"/>
  <c r="M390" i="28" s="1"/>
  <c r="M391" i="28" s="1"/>
  <c r="M392" i="28" s="1"/>
  <c r="M393" i="28" s="1"/>
  <c r="M394" i="28" s="1"/>
  <c r="M395" i="28" s="1"/>
  <c r="M396" i="28" s="1"/>
  <c r="M397" i="28" s="1"/>
  <c r="M398" i="28" s="1"/>
  <c r="M399" i="28" s="1"/>
  <c r="M400" i="28" s="1"/>
  <c r="M401" i="28" s="1"/>
  <c r="M402" i="28" s="1"/>
  <c r="M403" i="28" s="1"/>
  <c r="M404" i="28" s="1"/>
  <c r="M405" i="28" s="1"/>
  <c r="M406" i="28" s="1"/>
  <c r="M407" i="28" s="1"/>
  <c r="M408" i="28" s="1"/>
  <c r="M409" i="28" s="1"/>
  <c r="M410" i="28" s="1"/>
  <c r="M411" i="28" s="1"/>
  <c r="M412" i="28" s="1"/>
  <c r="M413" i="28" s="1"/>
  <c r="M414" i="28" s="1"/>
  <c r="M415" i="28" s="1"/>
  <c r="M416" i="28" s="1"/>
  <c r="M417" i="28" s="1"/>
  <c r="M418" i="28" s="1"/>
  <c r="M419" i="28" s="1"/>
  <c r="M420" i="28" s="1"/>
  <c r="M421" i="28" s="1"/>
  <c r="M422" i="28" s="1"/>
  <c r="M423" i="28" s="1"/>
  <c r="M424" i="28" s="1"/>
  <c r="M425" i="28" s="1"/>
  <c r="M426" i="28" s="1"/>
  <c r="M427" i="28" s="1"/>
  <c r="M428" i="28" s="1"/>
  <c r="M429" i="28" s="1"/>
  <c r="M430" i="28" s="1"/>
  <c r="M431" i="28" s="1"/>
  <c r="M432" i="28" s="1"/>
  <c r="M433" i="28" s="1"/>
  <c r="M434" i="28" s="1"/>
  <c r="M435" i="28" s="1"/>
  <c r="M436" i="28" s="1"/>
  <c r="M437" i="28" s="1"/>
  <c r="M438" i="28" s="1"/>
  <c r="M439" i="28" s="1"/>
  <c r="M440" i="28" s="1"/>
  <c r="M441" i="28" s="1"/>
  <c r="M442" i="28" s="1"/>
  <c r="M443" i="28" s="1"/>
  <c r="M444" i="28" s="1"/>
  <c r="M445" i="28" s="1"/>
  <c r="M446" i="28" s="1"/>
  <c r="M447" i="28" s="1"/>
  <c r="M448" i="28" s="1"/>
  <c r="M449" i="28" s="1"/>
  <c r="M450" i="28" s="1"/>
  <c r="M451" i="28" s="1"/>
  <c r="M452" i="28" s="1"/>
  <c r="M453" i="28" s="1"/>
  <c r="M454" i="28" s="1"/>
  <c r="M455" i="28" s="1"/>
  <c r="M456" i="28" s="1"/>
  <c r="M457" i="28" s="1"/>
  <c r="M458" i="28" s="1"/>
  <c r="M459" i="28" s="1"/>
  <c r="M460" i="28" s="1"/>
  <c r="M461" i="28" s="1"/>
  <c r="M462" i="28" s="1"/>
  <c r="M463" i="28" s="1"/>
  <c r="M464" i="28" s="1"/>
  <c r="M465" i="28" s="1"/>
  <c r="M466" i="28" s="1"/>
  <c r="M467" i="28" s="1"/>
  <c r="M468" i="28" s="1"/>
  <c r="M469" i="28" s="1"/>
  <c r="M470" i="28" s="1"/>
  <c r="M471" i="28" s="1"/>
  <c r="M472" i="28" s="1"/>
  <c r="M473" i="28" s="1"/>
  <c r="M474" i="28" s="1"/>
  <c r="M475" i="28" s="1"/>
  <c r="M476" i="28" s="1"/>
  <c r="M477" i="28" s="1"/>
  <c r="M478" i="28" s="1"/>
  <c r="M479" i="28" s="1"/>
  <c r="M480" i="28" s="1"/>
  <c r="M481" i="28" s="1"/>
  <c r="M482" i="28" s="1"/>
  <c r="M483" i="28" s="1"/>
  <c r="M484" i="28" s="1"/>
  <c r="M485" i="28" s="1"/>
  <c r="M486" i="28" s="1"/>
  <c r="M487" i="28" s="1"/>
  <c r="M488" i="28" s="1"/>
  <c r="M489" i="28" s="1"/>
  <c r="M490" i="28" s="1"/>
  <c r="M491" i="28" s="1"/>
  <c r="M492" i="28" s="1"/>
  <c r="M493" i="28" s="1"/>
  <c r="M494" i="28" s="1"/>
  <c r="M495" i="28" s="1"/>
  <c r="M496" i="28" s="1"/>
  <c r="M497" i="28" s="1"/>
  <c r="M498" i="28" s="1"/>
  <c r="M499" i="28" s="1"/>
  <c r="M500" i="28" s="1"/>
  <c r="M501" i="28" s="1"/>
  <c r="M502" i="28" s="1"/>
  <c r="M503" i="28" s="1"/>
  <c r="M504" i="28" s="1"/>
  <c r="M505" i="28" s="1"/>
  <c r="M506" i="28" s="1"/>
  <c r="M507" i="28" s="1"/>
  <c r="M508" i="28" s="1"/>
  <c r="M509" i="28" s="1"/>
  <c r="M510" i="28" s="1"/>
  <c r="M511" i="28" s="1"/>
  <c r="M512" i="28" s="1"/>
  <c r="M513" i="28" s="1"/>
  <c r="M514" i="28" s="1"/>
  <c r="M515" i="28" s="1"/>
  <c r="M516" i="28" s="1"/>
  <c r="M517" i="28" s="1"/>
  <c r="M518" i="28" s="1"/>
  <c r="M519" i="28" s="1"/>
  <c r="M520" i="28" s="1"/>
  <c r="M521" i="28" s="1"/>
  <c r="M522" i="28" s="1"/>
  <c r="M523" i="28" s="1"/>
  <c r="M524" i="28" s="1"/>
  <c r="M525" i="28" s="1"/>
  <c r="M526" i="28" s="1"/>
  <c r="M527" i="28" s="1"/>
  <c r="M528" i="28" s="1"/>
  <c r="M529" i="28" s="1"/>
  <c r="M530" i="28" s="1"/>
  <c r="M531" i="28" s="1"/>
  <c r="M532" i="28" s="1"/>
  <c r="M533" i="28" s="1"/>
  <c r="M534" i="28" s="1"/>
  <c r="M535" i="28" s="1"/>
  <c r="M536" i="28" s="1"/>
  <c r="M537" i="28" s="1"/>
  <c r="M538" i="28" s="1"/>
  <c r="M539" i="28" s="1"/>
  <c r="M540" i="28" s="1"/>
  <c r="M541" i="28" s="1"/>
  <c r="M542" i="28" s="1"/>
  <c r="M543" i="28" s="1"/>
  <c r="M544" i="28" s="1"/>
  <c r="M545" i="28" s="1"/>
  <c r="M546" i="28" s="1"/>
  <c r="M547" i="28" s="1"/>
  <c r="M548" i="28" s="1"/>
  <c r="M549" i="28" s="1"/>
  <c r="M550" i="28" s="1"/>
  <c r="M551" i="28" s="1"/>
  <c r="M552" i="28" s="1"/>
  <c r="M553" i="28" s="1"/>
  <c r="M554" i="28" s="1"/>
  <c r="M555" i="28" s="1"/>
  <c r="M556" i="28" s="1"/>
  <c r="M557" i="28" s="1"/>
  <c r="M558" i="28" s="1"/>
  <c r="M559" i="28" s="1"/>
  <c r="M560" i="28" s="1"/>
  <c r="M561" i="28" s="1"/>
  <c r="M562" i="28" s="1"/>
  <c r="M563" i="28" s="1"/>
  <c r="M564" i="28" s="1"/>
  <c r="M565" i="28" s="1"/>
  <c r="M566" i="28" s="1"/>
  <c r="M567" i="28" s="1"/>
  <c r="M568" i="28" s="1"/>
  <c r="M569" i="28" s="1"/>
  <c r="M570" i="28" s="1"/>
  <c r="M571" i="28" s="1"/>
  <c r="M572" i="28" s="1"/>
  <c r="M573" i="28" s="1"/>
  <c r="M574" i="28" s="1"/>
  <c r="M575" i="28" s="1"/>
  <c r="M576" i="28" s="1"/>
  <c r="M577" i="28" s="1"/>
  <c r="M578" i="28" s="1"/>
  <c r="M579" i="28" s="1"/>
  <c r="M580" i="28" s="1"/>
  <c r="M581" i="28" s="1"/>
  <c r="M582" i="28" s="1"/>
  <c r="M583" i="28" s="1"/>
  <c r="M584" i="28" s="1"/>
  <c r="M585" i="28" s="1"/>
  <c r="M586" i="28" s="1"/>
  <c r="M587" i="28" s="1"/>
  <c r="M588" i="28" s="1"/>
  <c r="M589" i="28" s="1"/>
  <c r="M590" i="28" s="1"/>
  <c r="M591" i="28" s="1"/>
  <c r="M592" i="28" s="1"/>
  <c r="M593" i="28" s="1"/>
  <c r="M594" i="28" s="1"/>
  <c r="M595" i="28" s="1"/>
  <c r="M596" i="28" s="1"/>
  <c r="M597" i="28" s="1"/>
  <c r="M598" i="28" s="1"/>
  <c r="M599" i="28" s="1"/>
  <c r="M600" i="28" s="1"/>
  <c r="M601" i="28" s="1"/>
  <c r="M602" i="28" s="1"/>
  <c r="M603" i="28" s="1"/>
  <c r="M604" i="28" s="1"/>
  <c r="M605" i="28" s="1"/>
  <c r="M606" i="28" s="1"/>
  <c r="M607" i="28" s="1"/>
  <c r="M608" i="28" s="1"/>
  <c r="M609" i="28" s="1"/>
  <c r="M610" i="28" s="1"/>
  <c r="M611" i="28" s="1"/>
  <c r="M612" i="28" s="1"/>
  <c r="M613" i="28" s="1"/>
  <c r="M614" i="28" s="1"/>
  <c r="M615" i="28" s="1"/>
  <c r="M616" i="28" s="1"/>
  <c r="M617" i="28" s="1"/>
  <c r="M618" i="28" s="1"/>
  <c r="M619" i="28" s="1"/>
  <c r="M620" i="28" s="1"/>
  <c r="M621" i="28" s="1"/>
  <c r="M622" i="28" s="1"/>
  <c r="M623" i="28" s="1"/>
  <c r="M624" i="28" s="1"/>
  <c r="M625" i="28" s="1"/>
  <c r="M626" i="28" s="1"/>
  <c r="M627" i="28" s="1"/>
  <c r="M628" i="28" s="1"/>
  <c r="M629" i="28" s="1"/>
  <c r="M630" i="28" s="1"/>
  <c r="M631" i="28" s="1"/>
  <c r="M632" i="28" s="1"/>
  <c r="M633" i="28" s="1"/>
  <c r="M634" i="28" s="1"/>
  <c r="M635" i="28" s="1"/>
  <c r="M636" i="28" s="1"/>
  <c r="M637" i="28" s="1"/>
  <c r="M638" i="28" s="1"/>
  <c r="M639" i="28" s="1"/>
  <c r="M640" i="28" s="1"/>
  <c r="M641" i="28" s="1"/>
  <c r="M642" i="28" s="1"/>
  <c r="M643" i="28" s="1"/>
  <c r="M644" i="28" s="1"/>
  <c r="M645" i="28" s="1"/>
  <c r="M646" i="28" s="1"/>
  <c r="M647" i="28" s="1"/>
  <c r="M648" i="28" s="1"/>
  <c r="M649" i="28" s="1"/>
  <c r="M650" i="28" s="1"/>
  <c r="M651" i="28" s="1"/>
  <c r="M652" i="28" s="1"/>
  <c r="M653" i="28" s="1"/>
  <c r="M654" i="28" s="1"/>
  <c r="M655" i="28" s="1"/>
  <c r="M656" i="28" s="1"/>
  <c r="M657" i="28" s="1"/>
  <c r="M658" i="28" s="1"/>
  <c r="M659" i="28" s="1"/>
  <c r="M660" i="28" s="1"/>
  <c r="M661" i="28" s="1"/>
  <c r="M662" i="28" s="1"/>
  <c r="M663" i="28" s="1"/>
  <c r="M664" i="28" s="1"/>
  <c r="M665" i="28" s="1"/>
  <c r="M666" i="28" s="1"/>
  <c r="M667" i="28" s="1"/>
  <c r="M668" i="28" s="1"/>
  <c r="M669" i="28" s="1"/>
  <c r="M670" i="28" s="1"/>
  <c r="M671" i="28" s="1"/>
  <c r="M672" i="28" s="1"/>
  <c r="M673" i="28" s="1"/>
  <c r="M674" i="28" s="1"/>
  <c r="M675" i="28" s="1"/>
  <c r="M676" i="28" s="1"/>
  <c r="M677" i="28" s="1"/>
  <c r="M678" i="28" s="1"/>
  <c r="M679" i="28" s="1"/>
  <c r="M680" i="28" s="1"/>
  <c r="M681" i="28" s="1"/>
  <c r="M682" i="28" s="1"/>
  <c r="M683" i="28" s="1"/>
  <c r="M684" i="28" s="1"/>
  <c r="M685" i="28" s="1"/>
  <c r="M686" i="28" s="1"/>
  <c r="M687" i="28" s="1"/>
  <c r="M688" i="28" s="1"/>
  <c r="M689" i="28" s="1"/>
  <c r="M690" i="28" s="1"/>
  <c r="M691" i="28" s="1"/>
  <c r="M692" i="28" s="1"/>
  <c r="M693" i="28" s="1"/>
  <c r="M694" i="28" s="1"/>
  <c r="M695" i="28" s="1"/>
  <c r="M696" i="28" s="1"/>
  <c r="M697" i="28" s="1"/>
  <c r="M698" i="28" s="1"/>
  <c r="M699" i="28" s="1"/>
  <c r="M700" i="28" s="1"/>
  <c r="M701" i="28" s="1"/>
  <c r="M702" i="28" s="1"/>
  <c r="M703" i="28" s="1"/>
  <c r="M704" i="28" s="1"/>
  <c r="M705" i="28" s="1"/>
  <c r="M706" i="28" s="1"/>
  <c r="M707" i="28" s="1"/>
  <c r="M708" i="28" s="1"/>
  <c r="M709" i="28" s="1"/>
  <c r="M710" i="28" s="1"/>
  <c r="M711" i="28" s="1"/>
  <c r="M712" i="28" s="1"/>
  <c r="M713" i="28" s="1"/>
  <c r="M714" i="28" s="1"/>
  <c r="M715" i="28" s="1"/>
  <c r="M716" i="28" s="1"/>
  <c r="M717" i="28" s="1"/>
  <c r="M718" i="28" s="1"/>
  <c r="M719" i="28" s="1"/>
  <c r="M720" i="28" s="1"/>
  <c r="M721" i="28" s="1"/>
  <c r="M722" i="28" s="1"/>
  <c r="M723" i="28" s="1"/>
  <c r="M724" i="28" s="1"/>
  <c r="M725" i="28" s="1"/>
  <c r="M726" i="28" s="1"/>
  <c r="M727" i="28" s="1"/>
  <c r="M728" i="28" s="1"/>
  <c r="M729" i="28" s="1"/>
  <c r="M730" i="28" s="1"/>
  <c r="M731" i="28" s="1"/>
  <c r="M732" i="28" s="1"/>
  <c r="M733" i="28" s="1"/>
  <c r="M734" i="28" s="1"/>
  <c r="M735" i="28" s="1"/>
  <c r="M736" i="28" s="1"/>
  <c r="M737" i="28" s="1"/>
  <c r="M738" i="28" s="1"/>
  <c r="M739" i="28" s="1"/>
  <c r="M740" i="28" s="1"/>
  <c r="M741" i="28" s="1"/>
  <c r="M742" i="28" s="1"/>
  <c r="M743" i="28" s="1"/>
  <c r="M744" i="28" s="1"/>
  <c r="M745" i="28" s="1"/>
  <c r="M746" i="28" s="1"/>
  <c r="M747" i="28" s="1"/>
  <c r="M748" i="28" s="1"/>
  <c r="M749" i="28" s="1"/>
  <c r="M750" i="28" s="1"/>
  <c r="M751" i="28" s="1"/>
  <c r="M752" i="28" s="1"/>
  <c r="M753" i="28" s="1"/>
  <c r="M754" i="28" s="1"/>
  <c r="M755" i="28" s="1"/>
  <c r="M756" i="28" s="1"/>
  <c r="M757" i="28" s="1"/>
  <c r="M758" i="28" s="1"/>
  <c r="M759" i="28" s="1"/>
  <c r="M760" i="28" s="1"/>
  <c r="M761" i="28" s="1"/>
  <c r="M762" i="28" s="1"/>
  <c r="M763" i="28" s="1"/>
  <c r="M764" i="28" s="1"/>
  <c r="M765" i="28" s="1"/>
  <c r="M766" i="28" s="1"/>
  <c r="M767" i="28" s="1"/>
  <c r="M768" i="28" s="1"/>
  <c r="M769" i="28" s="1"/>
  <c r="M770" i="28" s="1"/>
  <c r="M771" i="28" s="1"/>
  <c r="M772" i="28" s="1"/>
  <c r="M773" i="28" s="1"/>
  <c r="M774" i="28" s="1"/>
  <c r="M775" i="28" s="1"/>
  <c r="M776" i="28" s="1"/>
  <c r="M777" i="28" s="1"/>
  <c r="M778" i="28" s="1"/>
  <c r="M779" i="28" s="1"/>
  <c r="M780" i="28" s="1"/>
  <c r="M781" i="28" s="1"/>
  <c r="M782" i="28" s="1"/>
  <c r="M783" i="28" s="1"/>
  <c r="M784" i="28" s="1"/>
  <c r="M785" i="28" s="1"/>
  <c r="M786" i="28" s="1"/>
  <c r="M787" i="28" s="1"/>
  <c r="M788" i="28" s="1"/>
  <c r="M789" i="28" s="1"/>
  <c r="M790" i="28" s="1"/>
  <c r="M791" i="28" s="1"/>
  <c r="M792" i="28" s="1"/>
  <c r="M793" i="28" s="1"/>
  <c r="M794" i="28" s="1"/>
  <c r="M795" i="28" s="1"/>
  <c r="M796" i="28" s="1"/>
  <c r="M797" i="28" s="1"/>
  <c r="M798" i="28" s="1"/>
  <c r="M799" i="28" s="1"/>
  <c r="M800" i="28" s="1"/>
  <c r="M801" i="28" s="1"/>
  <c r="M802" i="28" s="1"/>
  <c r="M803" i="28" s="1"/>
  <c r="M804" i="28" s="1"/>
  <c r="M805" i="28" s="1"/>
  <c r="M806" i="28" s="1"/>
  <c r="M807" i="28" s="1"/>
  <c r="M808" i="28" s="1"/>
  <c r="M809" i="28" s="1"/>
  <c r="M810" i="28" s="1"/>
  <c r="M811" i="28" s="1"/>
  <c r="M812" i="28" s="1"/>
  <c r="M813" i="28" s="1"/>
  <c r="M814" i="28" s="1"/>
  <c r="M815" i="28" s="1"/>
  <c r="M816" i="28" s="1"/>
  <c r="M817" i="28" s="1"/>
  <c r="M818" i="28" s="1"/>
  <c r="M819" i="28" s="1"/>
  <c r="M820" i="28" s="1"/>
  <c r="M821" i="28" s="1"/>
  <c r="M822" i="28" s="1"/>
  <c r="M823" i="28" s="1"/>
  <c r="M824" i="28" s="1"/>
  <c r="M825" i="28" s="1"/>
  <c r="M826" i="28" s="1"/>
  <c r="M827" i="28" s="1"/>
  <c r="M828" i="28" s="1"/>
  <c r="M829" i="28" s="1"/>
  <c r="M830" i="28" s="1"/>
  <c r="M831" i="28" s="1"/>
  <c r="M832" i="28" s="1"/>
  <c r="M833" i="28" s="1"/>
  <c r="M834" i="28" s="1"/>
  <c r="M835" i="28" s="1"/>
  <c r="M836" i="28" s="1"/>
  <c r="M837" i="28" s="1"/>
  <c r="M838" i="28" s="1"/>
  <c r="M839" i="28" s="1"/>
  <c r="M840" i="28" s="1"/>
  <c r="M841" i="28" s="1"/>
  <c r="M842" i="28" s="1"/>
  <c r="M843" i="28" s="1"/>
  <c r="M844" i="28" s="1"/>
  <c r="M845" i="28" s="1"/>
  <c r="M846" i="28" s="1"/>
  <c r="M847" i="28" s="1"/>
  <c r="M848" i="28" s="1"/>
  <c r="M849" i="28" s="1"/>
  <c r="M850" i="28" s="1"/>
  <c r="M851" i="28" s="1"/>
  <c r="M852" i="28" s="1"/>
  <c r="M853" i="28" s="1"/>
  <c r="M854" i="28" s="1"/>
  <c r="M855" i="28" s="1"/>
  <c r="M856" i="28" s="1"/>
  <c r="M857" i="28" s="1"/>
  <c r="M858" i="28" s="1"/>
  <c r="M859" i="28" s="1"/>
  <c r="M860" i="28" s="1"/>
  <c r="M861" i="28" s="1"/>
  <c r="M862" i="28" s="1"/>
  <c r="M863" i="28" s="1"/>
  <c r="M864" i="28" s="1"/>
  <c r="M865" i="28" s="1"/>
  <c r="M866" i="28" s="1"/>
  <c r="M867" i="28" s="1"/>
  <c r="M868" i="28" s="1"/>
  <c r="M869" i="28" s="1"/>
  <c r="M870" i="28" s="1"/>
  <c r="M871" i="28" s="1"/>
  <c r="M872" i="28" s="1"/>
  <c r="M873" i="28" s="1"/>
  <c r="M874" i="28" s="1"/>
  <c r="M875" i="28" s="1"/>
  <c r="M876" i="28" s="1"/>
  <c r="M877" i="28" s="1"/>
  <c r="M878" i="28" s="1"/>
  <c r="M879" i="28" s="1"/>
  <c r="M880" i="28" s="1"/>
  <c r="M881" i="28" s="1"/>
  <c r="M882" i="28" s="1"/>
  <c r="M883" i="28" s="1"/>
  <c r="M884" i="28" s="1"/>
  <c r="M885" i="28" s="1"/>
  <c r="M886" i="28" s="1"/>
  <c r="M887" i="28" s="1"/>
  <c r="M888" i="28" s="1"/>
  <c r="M889" i="28" s="1"/>
  <c r="M890" i="28" s="1"/>
  <c r="M891" i="28" s="1"/>
  <c r="M892" i="28" s="1"/>
  <c r="M893" i="28" s="1"/>
  <c r="M894" i="28" s="1"/>
  <c r="M895" i="28" s="1"/>
  <c r="M896" i="28" s="1"/>
  <c r="M897" i="28" s="1"/>
  <c r="M898" i="28" s="1"/>
  <c r="M899" i="28" s="1"/>
  <c r="M900" i="28" s="1"/>
  <c r="M901" i="28" s="1"/>
  <c r="M902" i="28" s="1"/>
  <c r="M903" i="28" s="1"/>
  <c r="M904" i="28" s="1"/>
  <c r="M905" i="28" s="1"/>
  <c r="M906" i="28" s="1"/>
  <c r="M907" i="28" s="1"/>
  <c r="M908" i="28" s="1"/>
  <c r="M909" i="28" s="1"/>
  <c r="M910" i="28" s="1"/>
  <c r="M911" i="28" s="1"/>
  <c r="M912" i="28" s="1"/>
  <c r="M913" i="28" s="1"/>
  <c r="M914" i="28" s="1"/>
  <c r="M915" i="28" s="1"/>
  <c r="M916" i="28" s="1"/>
  <c r="M917" i="28" s="1"/>
  <c r="M918" i="28" s="1"/>
  <c r="M919" i="28" s="1"/>
  <c r="M920" i="28" s="1"/>
  <c r="M921" i="28" s="1"/>
  <c r="M922" i="28" s="1"/>
  <c r="M923" i="28" s="1"/>
  <c r="M924" i="28" s="1"/>
  <c r="M925" i="28" s="1"/>
  <c r="M926" i="28" s="1"/>
  <c r="M927" i="28" s="1"/>
  <c r="M928" i="28" s="1"/>
  <c r="M929" i="28" s="1"/>
  <c r="M930" i="28" s="1"/>
  <c r="M931" i="28" s="1"/>
  <c r="M932" i="28" s="1"/>
  <c r="M933" i="28" s="1"/>
  <c r="M934" i="28" s="1"/>
  <c r="M935" i="28" s="1"/>
  <c r="M936" i="28" s="1"/>
  <c r="M937" i="28" s="1"/>
  <c r="M938" i="28" s="1"/>
  <c r="M939" i="28" s="1"/>
  <c r="M940" i="28" s="1"/>
  <c r="M941" i="28" s="1"/>
  <c r="M942" i="28" s="1"/>
  <c r="M943" i="28" s="1"/>
  <c r="M944" i="28" s="1"/>
  <c r="M945" i="28" s="1"/>
  <c r="M946" i="28" s="1"/>
  <c r="M947" i="28" s="1"/>
  <c r="M948" i="28" s="1"/>
  <c r="M949" i="28" s="1"/>
  <c r="M950" i="28" s="1"/>
  <c r="M951" i="28" s="1"/>
  <c r="M952" i="28" s="1"/>
  <c r="M953" i="28" s="1"/>
  <c r="M954" i="28" s="1"/>
  <c r="M955" i="28" s="1"/>
  <c r="M956" i="28" s="1"/>
  <c r="M957" i="28" s="1"/>
  <c r="M958" i="28" s="1"/>
  <c r="M959" i="28" s="1"/>
  <c r="M960" i="28" s="1"/>
  <c r="M961" i="28" s="1"/>
  <c r="M962" i="28" s="1"/>
  <c r="M963" i="28" s="1"/>
  <c r="M964" i="28" s="1"/>
  <c r="M965" i="28" s="1"/>
  <c r="M966" i="28" s="1"/>
  <c r="M967" i="28" s="1"/>
  <c r="M968" i="28" s="1"/>
  <c r="M969" i="28" s="1"/>
  <c r="M970" i="28" s="1"/>
  <c r="M971" i="28" s="1"/>
  <c r="M972" i="28" s="1"/>
  <c r="M973" i="28" s="1"/>
  <c r="M974" i="28" s="1"/>
  <c r="M975" i="28" s="1"/>
  <c r="M976" i="28" s="1"/>
  <c r="M977" i="28" s="1"/>
  <c r="M978" i="28" s="1"/>
  <c r="M979" i="28" s="1"/>
  <c r="M980" i="28" s="1"/>
  <c r="M981" i="28" s="1"/>
  <c r="M982" i="28" s="1"/>
  <c r="M983" i="28" s="1"/>
  <c r="M984" i="28" s="1"/>
  <c r="M985" i="28" s="1"/>
  <c r="M986" i="28" s="1"/>
  <c r="M987" i="28" s="1"/>
  <c r="M988" i="28" s="1"/>
  <c r="M989" i="28" s="1"/>
  <c r="M990" i="28" s="1"/>
  <c r="M991" i="28" s="1"/>
  <c r="M992" i="28" s="1"/>
  <c r="M993" i="28" s="1"/>
  <c r="M994" i="28" s="1"/>
  <c r="M995" i="28" s="1"/>
  <c r="M996" i="28" s="1"/>
  <c r="M997" i="28" s="1"/>
  <c r="M998" i="28" s="1"/>
  <c r="M999" i="28" s="1"/>
  <c r="M1000" i="28" s="1"/>
  <c r="M1001" i="28" s="1"/>
  <c r="M1002" i="28" s="1"/>
  <c r="M1003" i="28" s="1"/>
  <c r="M1004" i="28" s="1"/>
  <c r="L6" i="28"/>
  <c r="L7" i="28" s="1"/>
  <c r="B6" i="28"/>
  <c r="D6" i="28" s="1"/>
  <c r="F6" i="28" s="1"/>
  <c r="N5" i="28"/>
  <c r="D5" i="28"/>
  <c r="F5" i="28" s="1"/>
  <c r="J5" i="28" s="1"/>
  <c r="U3" i="28"/>
  <c r="F3" i="28"/>
  <c r="E3" i="28"/>
  <c r="D3" i="28"/>
  <c r="C3" i="28"/>
  <c r="F1" i="28"/>
  <c r="V18" i="23"/>
  <c r="V17" i="23"/>
  <c r="V16" i="23"/>
  <c r="V15" i="23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19" i="23" s="1"/>
  <c r="B120" i="23" s="1"/>
  <c r="B121" i="23" s="1"/>
  <c r="B122" i="23" s="1"/>
  <c r="B123" i="23" s="1"/>
  <c r="B124" i="23" s="1"/>
  <c r="B125" i="23" s="1"/>
  <c r="B126" i="23" s="1"/>
  <c r="B127" i="23" s="1"/>
  <c r="B128" i="23" s="1"/>
  <c r="B129" i="23" s="1"/>
  <c r="B130" i="23" s="1"/>
  <c r="B131" i="23" s="1"/>
  <c r="B132" i="23" s="1"/>
  <c r="B133" i="23" s="1"/>
  <c r="B134" i="23" s="1"/>
  <c r="B135" i="23" s="1"/>
  <c r="B136" i="23" s="1"/>
  <c r="B137" i="23" s="1"/>
  <c r="B138" i="23" s="1"/>
  <c r="B139" i="23" s="1"/>
  <c r="B140" i="23" s="1"/>
  <c r="B141" i="23" s="1"/>
  <c r="B142" i="23" s="1"/>
  <c r="B143" i="23" s="1"/>
  <c r="B144" i="23" s="1"/>
  <c r="B145" i="23" s="1"/>
  <c r="B146" i="23" s="1"/>
  <c r="B147" i="23" s="1"/>
  <c r="B148" i="23" s="1"/>
  <c r="B149" i="23" s="1"/>
  <c r="B150" i="23" s="1"/>
  <c r="B151" i="23" s="1"/>
  <c r="B152" i="23" s="1"/>
  <c r="B153" i="23" s="1"/>
  <c r="B154" i="23" s="1"/>
  <c r="B155" i="23" s="1"/>
  <c r="B156" i="23" s="1"/>
  <c r="B157" i="23" s="1"/>
  <c r="B158" i="23" s="1"/>
  <c r="B159" i="23" s="1"/>
  <c r="B160" i="23" s="1"/>
  <c r="B161" i="23" s="1"/>
  <c r="B162" i="23" s="1"/>
  <c r="B163" i="23" s="1"/>
  <c r="B164" i="23" s="1"/>
  <c r="B165" i="23" s="1"/>
  <c r="B166" i="23" s="1"/>
  <c r="B167" i="23" s="1"/>
  <c r="B168" i="23" s="1"/>
  <c r="B169" i="23" s="1"/>
  <c r="B170" i="23" s="1"/>
  <c r="B171" i="23" s="1"/>
  <c r="B172" i="23" s="1"/>
  <c r="B173" i="23" s="1"/>
  <c r="B174" i="23" s="1"/>
  <c r="B175" i="23" s="1"/>
  <c r="B176" i="23" s="1"/>
  <c r="B177" i="23" s="1"/>
  <c r="B178" i="23" s="1"/>
  <c r="B179" i="23" s="1"/>
  <c r="B180" i="23" s="1"/>
  <c r="B181" i="23" s="1"/>
  <c r="B182" i="23" s="1"/>
  <c r="B183" i="23" s="1"/>
  <c r="B184" i="23" s="1"/>
  <c r="B185" i="23" s="1"/>
  <c r="B186" i="23" s="1"/>
  <c r="B187" i="23" s="1"/>
  <c r="B188" i="23" s="1"/>
  <c r="B189" i="23" s="1"/>
  <c r="B190" i="23" s="1"/>
  <c r="B191" i="23" s="1"/>
  <c r="B192" i="23" s="1"/>
  <c r="B193" i="23" s="1"/>
  <c r="B194" i="23" s="1"/>
  <c r="B195" i="23" s="1"/>
  <c r="B196" i="23" s="1"/>
  <c r="B197" i="23" s="1"/>
  <c r="B198" i="23" s="1"/>
  <c r="B199" i="23" s="1"/>
  <c r="B200" i="23" s="1"/>
  <c r="B201" i="23" s="1"/>
  <c r="B202" i="23" s="1"/>
  <c r="B203" i="23" s="1"/>
  <c r="B204" i="23" s="1"/>
  <c r="B205" i="23" s="1"/>
  <c r="B206" i="23" s="1"/>
  <c r="B207" i="23" s="1"/>
  <c r="B208" i="23" s="1"/>
  <c r="B209" i="23" s="1"/>
  <c r="B210" i="23" s="1"/>
  <c r="B211" i="23" s="1"/>
  <c r="B212" i="23" s="1"/>
  <c r="B213" i="23" s="1"/>
  <c r="B214" i="23" s="1"/>
  <c r="B215" i="23" s="1"/>
  <c r="B216" i="23" s="1"/>
  <c r="B217" i="23" s="1"/>
  <c r="B218" i="23" s="1"/>
  <c r="B219" i="23" s="1"/>
  <c r="B220" i="23" s="1"/>
  <c r="B221" i="23" s="1"/>
  <c r="B222" i="23" s="1"/>
  <c r="B223" i="23" s="1"/>
  <c r="B224" i="23" s="1"/>
  <c r="B225" i="23" s="1"/>
  <c r="B226" i="23" s="1"/>
  <c r="B227" i="23" s="1"/>
  <c r="B228" i="23" s="1"/>
  <c r="B229" i="23" s="1"/>
  <c r="B230" i="23" s="1"/>
  <c r="B231" i="23" s="1"/>
  <c r="B232" i="23" s="1"/>
  <c r="B233" i="23" s="1"/>
  <c r="B234" i="23" s="1"/>
  <c r="B235" i="23" s="1"/>
  <c r="B236" i="23" s="1"/>
  <c r="B237" i="23" s="1"/>
  <c r="B238" i="23" s="1"/>
  <c r="B239" i="23" s="1"/>
  <c r="B240" i="23" s="1"/>
  <c r="B241" i="23" s="1"/>
  <c r="B242" i="23" s="1"/>
  <c r="B243" i="23" s="1"/>
  <c r="B244" i="23" s="1"/>
  <c r="B245" i="23" s="1"/>
  <c r="B246" i="23" s="1"/>
  <c r="B247" i="23" s="1"/>
  <c r="B248" i="23" s="1"/>
  <c r="B249" i="23" s="1"/>
  <c r="B250" i="23" s="1"/>
  <c r="B251" i="23" s="1"/>
  <c r="B252" i="23" s="1"/>
  <c r="B253" i="23" s="1"/>
  <c r="B254" i="23" s="1"/>
  <c r="B255" i="23" s="1"/>
  <c r="B256" i="23" s="1"/>
  <c r="B257" i="23" s="1"/>
  <c r="B258" i="23" s="1"/>
  <c r="B259" i="23" s="1"/>
  <c r="B260" i="23" s="1"/>
  <c r="B261" i="23" s="1"/>
  <c r="B262" i="23" s="1"/>
  <c r="B263" i="23" s="1"/>
  <c r="B264" i="23" s="1"/>
  <c r="B265" i="23" s="1"/>
  <c r="B266" i="23" s="1"/>
  <c r="B267" i="23" s="1"/>
  <c r="B268" i="23" s="1"/>
  <c r="B269" i="23" s="1"/>
  <c r="B270" i="23" s="1"/>
  <c r="B271" i="23" s="1"/>
  <c r="B272" i="23" s="1"/>
  <c r="B273" i="23" s="1"/>
  <c r="B274" i="23" s="1"/>
  <c r="B275" i="23" s="1"/>
  <c r="B276" i="23" s="1"/>
  <c r="B277" i="23" s="1"/>
  <c r="B278" i="23" s="1"/>
  <c r="B279" i="23" s="1"/>
  <c r="B280" i="23" s="1"/>
  <c r="B281" i="23" s="1"/>
  <c r="B282" i="23" s="1"/>
  <c r="B283" i="23" s="1"/>
  <c r="B284" i="23" s="1"/>
  <c r="B285" i="23" s="1"/>
  <c r="B286" i="23" s="1"/>
  <c r="B287" i="23" s="1"/>
  <c r="B288" i="23" s="1"/>
  <c r="B289" i="23" s="1"/>
  <c r="B290" i="23" s="1"/>
  <c r="B291" i="23" s="1"/>
  <c r="B292" i="23" s="1"/>
  <c r="B293" i="23" s="1"/>
  <c r="B294" i="23" s="1"/>
  <c r="B295" i="23" s="1"/>
  <c r="B296" i="23" s="1"/>
  <c r="B297" i="23" s="1"/>
  <c r="B298" i="23" s="1"/>
  <c r="B299" i="23" s="1"/>
  <c r="B300" i="23" s="1"/>
  <c r="B301" i="23" s="1"/>
  <c r="B302" i="23" s="1"/>
  <c r="B303" i="23" s="1"/>
  <c r="B304" i="23" s="1"/>
  <c r="B305" i="23" s="1"/>
  <c r="B306" i="23" s="1"/>
  <c r="B307" i="23" s="1"/>
  <c r="B308" i="23" s="1"/>
  <c r="B309" i="23" s="1"/>
  <c r="B310" i="23" s="1"/>
  <c r="B311" i="23" s="1"/>
  <c r="B312" i="23" s="1"/>
  <c r="B313" i="23" s="1"/>
  <c r="B314" i="23" s="1"/>
  <c r="B315" i="23" s="1"/>
  <c r="B316" i="23" s="1"/>
  <c r="B317" i="23" s="1"/>
  <c r="B318" i="23" s="1"/>
  <c r="B319" i="23" s="1"/>
  <c r="B320" i="23" s="1"/>
  <c r="B321" i="23" s="1"/>
  <c r="B322" i="23" s="1"/>
  <c r="B323" i="23" s="1"/>
  <c r="B324" i="23" s="1"/>
  <c r="B325" i="23" s="1"/>
  <c r="B326" i="23" s="1"/>
  <c r="B327" i="23" s="1"/>
  <c r="B328" i="23" s="1"/>
  <c r="B329" i="23" s="1"/>
  <c r="B330" i="23" s="1"/>
  <c r="B331" i="23" s="1"/>
  <c r="B332" i="23" s="1"/>
  <c r="B333" i="23" s="1"/>
  <c r="B334" i="23" s="1"/>
  <c r="B335" i="23" s="1"/>
  <c r="B336" i="23" s="1"/>
  <c r="B337" i="23" s="1"/>
  <c r="B338" i="23" s="1"/>
  <c r="B339" i="23" s="1"/>
  <c r="B340" i="23" s="1"/>
  <c r="B341" i="23" s="1"/>
  <c r="B342" i="23" s="1"/>
  <c r="B343" i="23" s="1"/>
  <c r="B344" i="23" s="1"/>
  <c r="B345" i="23" s="1"/>
  <c r="B346" i="23" s="1"/>
  <c r="B347" i="23" s="1"/>
  <c r="B348" i="23" s="1"/>
  <c r="B349" i="23" s="1"/>
  <c r="B350" i="23" s="1"/>
  <c r="B351" i="23" s="1"/>
  <c r="B352" i="23" s="1"/>
  <c r="B353" i="23" s="1"/>
  <c r="B354" i="23" s="1"/>
  <c r="B355" i="23" s="1"/>
  <c r="B356" i="23" s="1"/>
  <c r="B357" i="23" s="1"/>
  <c r="B358" i="23" s="1"/>
  <c r="B359" i="23" s="1"/>
  <c r="B360" i="23" s="1"/>
  <c r="B361" i="23" s="1"/>
  <c r="B362" i="23" s="1"/>
  <c r="B363" i="23" s="1"/>
  <c r="B364" i="23" s="1"/>
  <c r="B365" i="23" s="1"/>
  <c r="B366" i="23" s="1"/>
  <c r="B367" i="23" s="1"/>
  <c r="B368" i="23" s="1"/>
  <c r="B369" i="23" s="1"/>
  <c r="B370" i="23" s="1"/>
  <c r="B371" i="23" s="1"/>
  <c r="B372" i="23" s="1"/>
  <c r="B373" i="23" s="1"/>
  <c r="B374" i="23" s="1"/>
  <c r="B375" i="23" s="1"/>
  <c r="B376" i="23" s="1"/>
  <c r="B377" i="23" s="1"/>
  <c r="B378" i="23" s="1"/>
  <c r="B379" i="23" s="1"/>
  <c r="B380" i="23" s="1"/>
  <c r="B381" i="23" s="1"/>
  <c r="B382" i="23" s="1"/>
  <c r="B383" i="23" s="1"/>
  <c r="B384" i="23" s="1"/>
  <c r="B385" i="23" s="1"/>
  <c r="B386" i="23" s="1"/>
  <c r="B387" i="23" s="1"/>
  <c r="B388" i="23" s="1"/>
  <c r="B389" i="23" s="1"/>
  <c r="B390" i="23" s="1"/>
  <c r="B391" i="23" s="1"/>
  <c r="B392" i="23" s="1"/>
  <c r="B393" i="23" s="1"/>
  <c r="B394" i="23" s="1"/>
  <c r="B395" i="23" s="1"/>
  <c r="B396" i="23" s="1"/>
  <c r="B397" i="23" s="1"/>
  <c r="B398" i="23" s="1"/>
  <c r="B399" i="23" s="1"/>
  <c r="B400" i="23" s="1"/>
  <c r="B401" i="23" s="1"/>
  <c r="B402" i="23" s="1"/>
  <c r="B403" i="23" s="1"/>
  <c r="B404" i="23" s="1"/>
  <c r="B405" i="23" s="1"/>
  <c r="B406" i="23" s="1"/>
  <c r="B407" i="23" s="1"/>
  <c r="B408" i="23" s="1"/>
  <c r="B409" i="23" s="1"/>
  <c r="B410" i="23" s="1"/>
  <c r="B411" i="23" s="1"/>
  <c r="B412" i="23" s="1"/>
  <c r="B413" i="23" s="1"/>
  <c r="B414" i="23" s="1"/>
  <c r="B415" i="23" s="1"/>
  <c r="B416" i="23" s="1"/>
  <c r="B417" i="23" s="1"/>
  <c r="B418" i="23" s="1"/>
  <c r="B419" i="23" s="1"/>
  <c r="B420" i="23" s="1"/>
  <c r="B421" i="23" s="1"/>
  <c r="B422" i="23" s="1"/>
  <c r="B423" i="23" s="1"/>
  <c r="B424" i="23" s="1"/>
  <c r="B425" i="23" s="1"/>
  <c r="B426" i="23" s="1"/>
  <c r="B427" i="23" s="1"/>
  <c r="B428" i="23" s="1"/>
  <c r="B429" i="23" s="1"/>
  <c r="B430" i="23" s="1"/>
  <c r="B431" i="23" s="1"/>
  <c r="B432" i="23" s="1"/>
  <c r="B433" i="23" s="1"/>
  <c r="B434" i="23" s="1"/>
  <c r="B435" i="23" s="1"/>
  <c r="B436" i="23" s="1"/>
  <c r="B437" i="23" s="1"/>
  <c r="B438" i="23" s="1"/>
  <c r="B439" i="23" s="1"/>
  <c r="B440" i="23" s="1"/>
  <c r="B441" i="23" s="1"/>
  <c r="B442" i="23" s="1"/>
  <c r="B443" i="23" s="1"/>
  <c r="B444" i="23" s="1"/>
  <c r="B445" i="23" s="1"/>
  <c r="B446" i="23" s="1"/>
  <c r="B447" i="23" s="1"/>
  <c r="B448" i="23" s="1"/>
  <c r="B449" i="23" s="1"/>
  <c r="B450" i="23" s="1"/>
  <c r="B451" i="23" s="1"/>
  <c r="B452" i="23" s="1"/>
  <c r="B453" i="23" s="1"/>
  <c r="B454" i="23" s="1"/>
  <c r="B455" i="23" s="1"/>
  <c r="B456" i="23" s="1"/>
  <c r="B457" i="23" s="1"/>
  <c r="B458" i="23" s="1"/>
  <c r="B459" i="23" s="1"/>
  <c r="B460" i="23" s="1"/>
  <c r="B461" i="23" s="1"/>
  <c r="B462" i="23" s="1"/>
  <c r="B463" i="23" s="1"/>
  <c r="B464" i="23" s="1"/>
  <c r="B465" i="23" s="1"/>
  <c r="B466" i="23" s="1"/>
  <c r="B467" i="23" s="1"/>
  <c r="B468" i="23" s="1"/>
  <c r="B469" i="23" s="1"/>
  <c r="B470" i="23" s="1"/>
  <c r="B471" i="23" s="1"/>
  <c r="B472" i="23" s="1"/>
  <c r="B473" i="23" s="1"/>
  <c r="B474" i="23" s="1"/>
  <c r="B475" i="23" s="1"/>
  <c r="B476" i="23" s="1"/>
  <c r="B477" i="23" s="1"/>
  <c r="B478" i="23" s="1"/>
  <c r="B479" i="23" s="1"/>
  <c r="B480" i="23" s="1"/>
  <c r="B481" i="23" s="1"/>
  <c r="B482" i="23" s="1"/>
  <c r="B483" i="23" s="1"/>
  <c r="B484" i="23" s="1"/>
  <c r="B485" i="23" s="1"/>
  <c r="B486" i="23" s="1"/>
  <c r="B487" i="23" s="1"/>
  <c r="B488" i="23" s="1"/>
  <c r="B489" i="23" s="1"/>
  <c r="B490" i="23" s="1"/>
  <c r="B491" i="23" s="1"/>
  <c r="B492" i="23" s="1"/>
  <c r="B493" i="23" s="1"/>
  <c r="B494" i="23" s="1"/>
  <c r="B495" i="23" s="1"/>
  <c r="B496" i="23" s="1"/>
  <c r="B497" i="23" s="1"/>
  <c r="B498" i="23" s="1"/>
  <c r="B499" i="23" s="1"/>
  <c r="B500" i="23" s="1"/>
  <c r="B501" i="23" s="1"/>
  <c r="B502" i="23" s="1"/>
  <c r="B503" i="23" s="1"/>
  <c r="B504" i="23" s="1"/>
  <c r="B505" i="23" s="1"/>
  <c r="B506" i="23" s="1"/>
  <c r="B507" i="23" s="1"/>
  <c r="B508" i="23" s="1"/>
  <c r="B509" i="23" s="1"/>
  <c r="B510" i="23" s="1"/>
  <c r="B511" i="23" s="1"/>
  <c r="B512" i="23" s="1"/>
  <c r="B513" i="23" s="1"/>
  <c r="B514" i="23" s="1"/>
  <c r="B515" i="23" s="1"/>
  <c r="B516" i="23" s="1"/>
  <c r="B517" i="23" s="1"/>
  <c r="B518" i="23" s="1"/>
  <c r="B519" i="23" s="1"/>
  <c r="B520" i="23" s="1"/>
  <c r="B521" i="23" s="1"/>
  <c r="B522" i="23" s="1"/>
  <c r="B523" i="23" s="1"/>
  <c r="B524" i="23" s="1"/>
  <c r="B525" i="23" s="1"/>
  <c r="B526" i="23" s="1"/>
  <c r="B527" i="23" s="1"/>
  <c r="B528" i="23" s="1"/>
  <c r="B529" i="23" s="1"/>
  <c r="B530" i="23" s="1"/>
  <c r="B531" i="23" s="1"/>
  <c r="B532" i="23" s="1"/>
  <c r="B533" i="23" s="1"/>
  <c r="B534" i="23" s="1"/>
  <c r="B535" i="23" s="1"/>
  <c r="B536" i="23" s="1"/>
  <c r="B537" i="23" s="1"/>
  <c r="B538" i="23" s="1"/>
  <c r="B539" i="23" s="1"/>
  <c r="B540" i="23" s="1"/>
  <c r="B541" i="23" s="1"/>
  <c r="B542" i="23" s="1"/>
  <c r="B543" i="23" s="1"/>
  <c r="B544" i="23" s="1"/>
  <c r="B545" i="23" s="1"/>
  <c r="B546" i="23" s="1"/>
  <c r="B547" i="23" s="1"/>
  <c r="B548" i="23" s="1"/>
  <c r="B549" i="23" s="1"/>
  <c r="B550" i="23" s="1"/>
  <c r="B551" i="23" s="1"/>
  <c r="B552" i="23" s="1"/>
  <c r="B553" i="23" s="1"/>
  <c r="B554" i="23" s="1"/>
  <c r="B555" i="23" s="1"/>
  <c r="B556" i="23" s="1"/>
  <c r="B557" i="23" s="1"/>
  <c r="B558" i="23" s="1"/>
  <c r="B559" i="23" s="1"/>
  <c r="B560" i="23" s="1"/>
  <c r="B561" i="23" s="1"/>
  <c r="B562" i="23" s="1"/>
  <c r="B563" i="23" s="1"/>
  <c r="B564" i="23" s="1"/>
  <c r="B565" i="23" s="1"/>
  <c r="B566" i="23" s="1"/>
  <c r="B567" i="23" s="1"/>
  <c r="B568" i="23" s="1"/>
  <c r="B569" i="23" s="1"/>
  <c r="B570" i="23" s="1"/>
  <c r="B571" i="23" s="1"/>
  <c r="B572" i="23" s="1"/>
  <c r="B573" i="23" s="1"/>
  <c r="B574" i="23" s="1"/>
  <c r="B575" i="23" s="1"/>
  <c r="B576" i="23" s="1"/>
  <c r="B577" i="23" s="1"/>
  <c r="B578" i="23" s="1"/>
  <c r="B579" i="23" s="1"/>
  <c r="B580" i="23" s="1"/>
  <c r="B581" i="23" s="1"/>
  <c r="B582" i="23" s="1"/>
  <c r="B583" i="23" s="1"/>
  <c r="B584" i="23" s="1"/>
  <c r="B585" i="23" s="1"/>
  <c r="B586" i="23" s="1"/>
  <c r="B587" i="23" s="1"/>
  <c r="B588" i="23" s="1"/>
  <c r="B589" i="23" s="1"/>
  <c r="B590" i="23" s="1"/>
  <c r="B591" i="23" s="1"/>
  <c r="B592" i="23" s="1"/>
  <c r="B593" i="23" s="1"/>
  <c r="B594" i="23" s="1"/>
  <c r="B595" i="23" s="1"/>
  <c r="B596" i="23" s="1"/>
  <c r="B597" i="23" s="1"/>
  <c r="B598" i="23" s="1"/>
  <c r="B599" i="23" s="1"/>
  <c r="B600" i="23" s="1"/>
  <c r="B601" i="23" s="1"/>
  <c r="B602" i="23" s="1"/>
  <c r="B603" i="23" s="1"/>
  <c r="B604" i="23" s="1"/>
  <c r="B605" i="23" s="1"/>
  <c r="B606" i="23" s="1"/>
  <c r="B607" i="23" s="1"/>
  <c r="B608" i="23" s="1"/>
  <c r="B609" i="23" s="1"/>
  <c r="B610" i="23" s="1"/>
  <c r="B611" i="23" s="1"/>
  <c r="B612" i="23" s="1"/>
  <c r="B613" i="23" s="1"/>
  <c r="B614" i="23" s="1"/>
  <c r="B615" i="23" s="1"/>
  <c r="B616" i="23" s="1"/>
  <c r="B617" i="23" s="1"/>
  <c r="B618" i="23" s="1"/>
  <c r="B619" i="23" s="1"/>
  <c r="B620" i="23" s="1"/>
  <c r="B621" i="23" s="1"/>
  <c r="B622" i="23" s="1"/>
  <c r="B623" i="23" s="1"/>
  <c r="B624" i="23" s="1"/>
  <c r="B625" i="23" s="1"/>
  <c r="B626" i="23" s="1"/>
  <c r="B627" i="23" s="1"/>
  <c r="B628" i="23" s="1"/>
  <c r="B629" i="23" s="1"/>
  <c r="B630" i="23" s="1"/>
  <c r="B631" i="23" s="1"/>
  <c r="B632" i="23" s="1"/>
  <c r="B633" i="23" s="1"/>
  <c r="B634" i="23" s="1"/>
  <c r="B635" i="23" s="1"/>
  <c r="B636" i="23" s="1"/>
  <c r="B637" i="23" s="1"/>
  <c r="B638" i="23" s="1"/>
  <c r="B639" i="23" s="1"/>
  <c r="B640" i="23" s="1"/>
  <c r="B641" i="23" s="1"/>
  <c r="B642" i="23" s="1"/>
  <c r="B643" i="23" s="1"/>
  <c r="B644" i="23" s="1"/>
  <c r="B645" i="23" s="1"/>
  <c r="B646" i="23" s="1"/>
  <c r="B647" i="23" s="1"/>
  <c r="B648" i="23" s="1"/>
  <c r="B649" i="23" s="1"/>
  <c r="B650" i="23" s="1"/>
  <c r="B651" i="23" s="1"/>
  <c r="B652" i="23" s="1"/>
  <c r="B653" i="23" s="1"/>
  <c r="B654" i="23" s="1"/>
  <c r="B655" i="23" s="1"/>
  <c r="B656" i="23" s="1"/>
  <c r="B657" i="23" s="1"/>
  <c r="B658" i="23" s="1"/>
  <c r="B659" i="23" s="1"/>
  <c r="B660" i="23" s="1"/>
  <c r="B661" i="23" s="1"/>
  <c r="B662" i="23" s="1"/>
  <c r="B663" i="23" s="1"/>
  <c r="B664" i="23" s="1"/>
  <c r="B665" i="23" s="1"/>
  <c r="B666" i="23" s="1"/>
  <c r="B667" i="23" s="1"/>
  <c r="B668" i="23" s="1"/>
  <c r="B669" i="23" s="1"/>
  <c r="B670" i="23" s="1"/>
  <c r="B671" i="23" s="1"/>
  <c r="B672" i="23" s="1"/>
  <c r="B673" i="23" s="1"/>
  <c r="B674" i="23" s="1"/>
  <c r="B675" i="23" s="1"/>
  <c r="B676" i="23" s="1"/>
  <c r="B677" i="23" s="1"/>
  <c r="B678" i="23" s="1"/>
  <c r="B679" i="23" s="1"/>
  <c r="B680" i="23" s="1"/>
  <c r="B681" i="23" s="1"/>
  <c r="B682" i="23" s="1"/>
  <c r="B683" i="23" s="1"/>
  <c r="B684" i="23" s="1"/>
  <c r="B685" i="23" s="1"/>
  <c r="B686" i="23" s="1"/>
  <c r="B687" i="23" s="1"/>
  <c r="B688" i="23" s="1"/>
  <c r="B689" i="23" s="1"/>
  <c r="B690" i="23" s="1"/>
  <c r="B691" i="23" s="1"/>
  <c r="B692" i="23" s="1"/>
  <c r="B693" i="23" s="1"/>
  <c r="B694" i="23" s="1"/>
  <c r="B695" i="23" s="1"/>
  <c r="B696" i="23" s="1"/>
  <c r="B697" i="23" s="1"/>
  <c r="B698" i="23" s="1"/>
  <c r="B699" i="23" s="1"/>
  <c r="B700" i="23" s="1"/>
  <c r="B701" i="23" s="1"/>
  <c r="B702" i="23" s="1"/>
  <c r="B703" i="23" s="1"/>
  <c r="B704" i="23" s="1"/>
  <c r="B705" i="23" s="1"/>
  <c r="B706" i="23" s="1"/>
  <c r="B707" i="23" s="1"/>
  <c r="B708" i="23" s="1"/>
  <c r="B709" i="23" s="1"/>
  <c r="B710" i="23" s="1"/>
  <c r="B711" i="23" s="1"/>
  <c r="B712" i="23" s="1"/>
  <c r="B713" i="23" s="1"/>
  <c r="B714" i="23" s="1"/>
  <c r="B715" i="23" s="1"/>
  <c r="B716" i="23" s="1"/>
  <c r="B717" i="23" s="1"/>
  <c r="B718" i="23" s="1"/>
  <c r="B719" i="23" s="1"/>
  <c r="B720" i="23" s="1"/>
  <c r="B721" i="23" s="1"/>
  <c r="B722" i="23" s="1"/>
  <c r="B723" i="23" s="1"/>
  <c r="B724" i="23" s="1"/>
  <c r="B725" i="23" s="1"/>
  <c r="B726" i="23" s="1"/>
  <c r="B727" i="23" s="1"/>
  <c r="B728" i="23" s="1"/>
  <c r="B729" i="23" s="1"/>
  <c r="B730" i="23" s="1"/>
  <c r="B731" i="23" s="1"/>
  <c r="B732" i="23" s="1"/>
  <c r="B733" i="23" s="1"/>
  <c r="B734" i="23" s="1"/>
  <c r="B735" i="23" s="1"/>
  <c r="B736" i="23" s="1"/>
  <c r="B737" i="23" s="1"/>
  <c r="B738" i="23" s="1"/>
  <c r="B739" i="23" s="1"/>
  <c r="B740" i="23" s="1"/>
  <c r="B741" i="23" s="1"/>
  <c r="B742" i="23" s="1"/>
  <c r="B743" i="23" s="1"/>
  <c r="B744" i="23" s="1"/>
  <c r="B745" i="23" s="1"/>
  <c r="B746" i="23" s="1"/>
  <c r="B747" i="23" s="1"/>
  <c r="B748" i="23" s="1"/>
  <c r="B749" i="23" s="1"/>
  <c r="B750" i="23" s="1"/>
  <c r="B751" i="23" s="1"/>
  <c r="B752" i="23" s="1"/>
  <c r="B753" i="23" s="1"/>
  <c r="B754" i="23" s="1"/>
  <c r="B755" i="23" s="1"/>
  <c r="B756" i="23" s="1"/>
  <c r="B757" i="23" s="1"/>
  <c r="B758" i="23" s="1"/>
  <c r="B759" i="23" s="1"/>
  <c r="B760" i="23" s="1"/>
  <c r="B761" i="23" s="1"/>
  <c r="B762" i="23" s="1"/>
  <c r="B763" i="23" s="1"/>
  <c r="B764" i="23" s="1"/>
  <c r="B765" i="23" s="1"/>
  <c r="B766" i="23" s="1"/>
  <c r="B767" i="23" s="1"/>
  <c r="B768" i="23" s="1"/>
  <c r="B769" i="23" s="1"/>
  <c r="B770" i="23" s="1"/>
  <c r="B771" i="23" s="1"/>
  <c r="B772" i="23" s="1"/>
  <c r="B773" i="23" s="1"/>
  <c r="B774" i="23" s="1"/>
  <c r="B775" i="23" s="1"/>
  <c r="B776" i="23" s="1"/>
  <c r="B777" i="23" s="1"/>
  <c r="B778" i="23" s="1"/>
  <c r="B779" i="23" s="1"/>
  <c r="B780" i="23" s="1"/>
  <c r="B781" i="23" s="1"/>
  <c r="B782" i="23" s="1"/>
  <c r="B783" i="23" s="1"/>
  <c r="B784" i="23" s="1"/>
  <c r="B785" i="23" s="1"/>
  <c r="B786" i="23" s="1"/>
  <c r="B787" i="23" s="1"/>
  <c r="B788" i="23" s="1"/>
  <c r="B789" i="23" s="1"/>
  <c r="B790" i="23" s="1"/>
  <c r="B791" i="23" s="1"/>
  <c r="B792" i="23" s="1"/>
  <c r="B793" i="23" s="1"/>
  <c r="B794" i="23" s="1"/>
  <c r="B795" i="23" s="1"/>
  <c r="B796" i="23" s="1"/>
  <c r="B797" i="23" s="1"/>
  <c r="B798" i="23" s="1"/>
  <c r="B799" i="23" s="1"/>
  <c r="B800" i="23" s="1"/>
  <c r="B801" i="23" s="1"/>
  <c r="B802" i="23" s="1"/>
  <c r="B803" i="23" s="1"/>
  <c r="B804" i="23" s="1"/>
  <c r="B805" i="23" s="1"/>
  <c r="B806" i="23" s="1"/>
  <c r="B807" i="23" s="1"/>
  <c r="B808" i="23" s="1"/>
  <c r="B809" i="23" s="1"/>
  <c r="B810" i="23" s="1"/>
  <c r="B811" i="23" s="1"/>
  <c r="B812" i="23" s="1"/>
  <c r="B813" i="23" s="1"/>
  <c r="B814" i="23" s="1"/>
  <c r="B815" i="23" s="1"/>
  <c r="B816" i="23" s="1"/>
  <c r="B817" i="23" s="1"/>
  <c r="B818" i="23" s="1"/>
  <c r="B819" i="23" s="1"/>
  <c r="B820" i="23" s="1"/>
  <c r="B821" i="23" s="1"/>
  <c r="B822" i="23" s="1"/>
  <c r="B823" i="23" s="1"/>
  <c r="B824" i="23" s="1"/>
  <c r="B825" i="23" s="1"/>
  <c r="B826" i="23" s="1"/>
  <c r="B827" i="23" s="1"/>
  <c r="B828" i="23" s="1"/>
  <c r="B829" i="23" s="1"/>
  <c r="B830" i="23" s="1"/>
  <c r="B831" i="23" s="1"/>
  <c r="B832" i="23" s="1"/>
  <c r="B833" i="23" s="1"/>
  <c r="B834" i="23" s="1"/>
  <c r="B835" i="23" s="1"/>
  <c r="B836" i="23" s="1"/>
  <c r="B837" i="23" s="1"/>
  <c r="B838" i="23" s="1"/>
  <c r="B839" i="23" s="1"/>
  <c r="B840" i="23" s="1"/>
  <c r="B841" i="23" s="1"/>
  <c r="B842" i="23" s="1"/>
  <c r="B843" i="23" s="1"/>
  <c r="B844" i="23" s="1"/>
  <c r="B845" i="23" s="1"/>
  <c r="B846" i="23" s="1"/>
  <c r="B847" i="23" s="1"/>
  <c r="B848" i="23" s="1"/>
  <c r="B849" i="23" s="1"/>
  <c r="B850" i="23" s="1"/>
  <c r="B851" i="23" s="1"/>
  <c r="B852" i="23" s="1"/>
  <c r="B853" i="23" s="1"/>
  <c r="B854" i="23" s="1"/>
  <c r="B855" i="23" s="1"/>
  <c r="B856" i="23" s="1"/>
  <c r="B857" i="23" s="1"/>
  <c r="B858" i="23" s="1"/>
  <c r="B859" i="23" s="1"/>
  <c r="B860" i="23" s="1"/>
  <c r="B861" i="23" s="1"/>
  <c r="B862" i="23" s="1"/>
  <c r="B863" i="23" s="1"/>
  <c r="B864" i="23" s="1"/>
  <c r="B865" i="23" s="1"/>
  <c r="B866" i="23" s="1"/>
  <c r="B867" i="23" s="1"/>
  <c r="B868" i="23" s="1"/>
  <c r="B869" i="23" s="1"/>
  <c r="B870" i="23" s="1"/>
  <c r="B871" i="23" s="1"/>
  <c r="B872" i="23" s="1"/>
  <c r="B873" i="23" s="1"/>
  <c r="B874" i="23" s="1"/>
  <c r="B875" i="23" s="1"/>
  <c r="B876" i="23" s="1"/>
  <c r="B877" i="23" s="1"/>
  <c r="B878" i="23" s="1"/>
  <c r="B879" i="23" s="1"/>
  <c r="B880" i="23" s="1"/>
  <c r="B881" i="23" s="1"/>
  <c r="B882" i="23" s="1"/>
  <c r="B883" i="23" s="1"/>
  <c r="B884" i="23" s="1"/>
  <c r="B885" i="23" s="1"/>
  <c r="B886" i="23" s="1"/>
  <c r="B887" i="23" s="1"/>
  <c r="B888" i="23" s="1"/>
  <c r="B889" i="23" s="1"/>
  <c r="B890" i="23" s="1"/>
  <c r="B891" i="23" s="1"/>
  <c r="B892" i="23" s="1"/>
  <c r="B893" i="23" s="1"/>
  <c r="B894" i="23" s="1"/>
  <c r="B895" i="23" s="1"/>
  <c r="B896" i="23" s="1"/>
  <c r="B897" i="23" s="1"/>
  <c r="B898" i="23" s="1"/>
  <c r="B899" i="23" s="1"/>
  <c r="B900" i="23" s="1"/>
  <c r="B901" i="23" s="1"/>
  <c r="B902" i="23" s="1"/>
  <c r="B903" i="23" s="1"/>
  <c r="B904" i="23" s="1"/>
  <c r="B905" i="23" s="1"/>
  <c r="B906" i="23" s="1"/>
  <c r="B907" i="23" s="1"/>
  <c r="B908" i="23" s="1"/>
  <c r="B909" i="23" s="1"/>
  <c r="B910" i="23" s="1"/>
  <c r="B911" i="23" s="1"/>
  <c r="B912" i="23" s="1"/>
  <c r="B913" i="23" s="1"/>
  <c r="B914" i="23" s="1"/>
  <c r="B915" i="23" s="1"/>
  <c r="B916" i="23" s="1"/>
  <c r="B917" i="23" s="1"/>
  <c r="B918" i="23" s="1"/>
  <c r="B919" i="23" s="1"/>
  <c r="B920" i="23" s="1"/>
  <c r="B921" i="23" s="1"/>
  <c r="B922" i="23" s="1"/>
  <c r="B923" i="23" s="1"/>
  <c r="B924" i="23" s="1"/>
  <c r="B925" i="23" s="1"/>
  <c r="B926" i="23" s="1"/>
  <c r="B927" i="23" s="1"/>
  <c r="B928" i="23" s="1"/>
  <c r="B929" i="23" s="1"/>
  <c r="B930" i="23" s="1"/>
  <c r="B931" i="23" s="1"/>
  <c r="B932" i="23" s="1"/>
  <c r="B933" i="23" s="1"/>
  <c r="B934" i="23" s="1"/>
  <c r="B935" i="23" s="1"/>
  <c r="B936" i="23" s="1"/>
  <c r="B937" i="23" s="1"/>
  <c r="B938" i="23" s="1"/>
  <c r="B939" i="23" s="1"/>
  <c r="B940" i="23" s="1"/>
  <c r="B941" i="23" s="1"/>
  <c r="B942" i="23" s="1"/>
  <c r="B943" i="23" s="1"/>
  <c r="B944" i="23" s="1"/>
  <c r="B945" i="23" s="1"/>
  <c r="B946" i="23" s="1"/>
  <c r="B947" i="23" s="1"/>
  <c r="B948" i="23" s="1"/>
  <c r="B949" i="23" s="1"/>
  <c r="B950" i="23" s="1"/>
  <c r="B951" i="23" s="1"/>
  <c r="B952" i="23" s="1"/>
  <c r="B953" i="23" s="1"/>
  <c r="B954" i="23" s="1"/>
  <c r="B955" i="23" s="1"/>
  <c r="B956" i="23" s="1"/>
  <c r="B957" i="23" s="1"/>
  <c r="B958" i="23" s="1"/>
  <c r="B959" i="23" s="1"/>
  <c r="B960" i="23" s="1"/>
  <c r="B961" i="23" s="1"/>
  <c r="B962" i="23" s="1"/>
  <c r="B963" i="23" s="1"/>
  <c r="B964" i="23" s="1"/>
  <c r="B965" i="23" s="1"/>
  <c r="B966" i="23" s="1"/>
  <c r="B967" i="23" s="1"/>
  <c r="B968" i="23" s="1"/>
  <c r="B969" i="23" s="1"/>
  <c r="B970" i="23" s="1"/>
  <c r="B971" i="23" s="1"/>
  <c r="B972" i="23" s="1"/>
  <c r="B973" i="23" s="1"/>
  <c r="B974" i="23" s="1"/>
  <c r="B975" i="23" s="1"/>
  <c r="B976" i="23" s="1"/>
  <c r="B977" i="23" s="1"/>
  <c r="B978" i="23" s="1"/>
  <c r="B979" i="23" s="1"/>
  <c r="B980" i="23" s="1"/>
  <c r="B981" i="23" s="1"/>
  <c r="B982" i="23" s="1"/>
  <c r="B983" i="23" s="1"/>
  <c r="B984" i="23" s="1"/>
  <c r="B985" i="23" s="1"/>
  <c r="B986" i="23" s="1"/>
  <c r="B987" i="23" s="1"/>
  <c r="B988" i="23" s="1"/>
  <c r="B989" i="23" s="1"/>
  <c r="B990" i="23" s="1"/>
  <c r="B991" i="23" s="1"/>
  <c r="B992" i="23" s="1"/>
  <c r="B993" i="23" s="1"/>
  <c r="B994" i="23" s="1"/>
  <c r="B995" i="23" s="1"/>
  <c r="B996" i="23" s="1"/>
  <c r="B997" i="23" s="1"/>
  <c r="B998" i="23" s="1"/>
  <c r="B999" i="23" s="1"/>
  <c r="B1000" i="23" s="1"/>
  <c r="B1001" i="23" s="1"/>
  <c r="B1002" i="23" s="1"/>
  <c r="B1003" i="23" s="1"/>
  <c r="B1004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A239" i="23" s="1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A263" i="23" s="1"/>
  <c r="A264" i="23" s="1"/>
  <c r="A265" i="23" s="1"/>
  <c r="A266" i="23" s="1"/>
  <c r="A267" i="23" s="1"/>
  <c r="A268" i="23" s="1"/>
  <c r="A269" i="23" s="1"/>
  <c r="A270" i="23" s="1"/>
  <c r="A271" i="23" s="1"/>
  <c r="A272" i="23" s="1"/>
  <c r="A273" i="23" s="1"/>
  <c r="A274" i="23" s="1"/>
  <c r="A275" i="23" s="1"/>
  <c r="A276" i="23" s="1"/>
  <c r="A277" i="23" s="1"/>
  <c r="A278" i="23" s="1"/>
  <c r="A279" i="23" s="1"/>
  <c r="A280" i="23" s="1"/>
  <c r="A281" i="23" s="1"/>
  <c r="A282" i="23" s="1"/>
  <c r="A283" i="23" s="1"/>
  <c r="A284" i="23" s="1"/>
  <c r="A285" i="23" s="1"/>
  <c r="A286" i="23" s="1"/>
  <c r="A287" i="23" s="1"/>
  <c r="A288" i="23" s="1"/>
  <c r="A289" i="23" s="1"/>
  <c r="A290" i="23" s="1"/>
  <c r="A291" i="23" s="1"/>
  <c r="A292" i="23" s="1"/>
  <c r="A293" i="23" s="1"/>
  <c r="A294" i="23" s="1"/>
  <c r="A295" i="23" s="1"/>
  <c r="A296" i="23" s="1"/>
  <c r="A297" i="23" s="1"/>
  <c r="A298" i="23" s="1"/>
  <c r="A299" i="23" s="1"/>
  <c r="A300" i="23" s="1"/>
  <c r="A301" i="23" s="1"/>
  <c r="A302" i="23" s="1"/>
  <c r="A303" i="23" s="1"/>
  <c r="A304" i="23" s="1"/>
  <c r="A305" i="23" s="1"/>
  <c r="A306" i="23" s="1"/>
  <c r="A307" i="23" s="1"/>
  <c r="A308" i="23" s="1"/>
  <c r="A309" i="23" s="1"/>
  <c r="A310" i="23" s="1"/>
  <c r="A311" i="23" s="1"/>
  <c r="A312" i="23" s="1"/>
  <c r="A313" i="23" s="1"/>
  <c r="A314" i="23" s="1"/>
  <c r="A315" i="23" s="1"/>
  <c r="A316" i="23" s="1"/>
  <c r="A317" i="23" s="1"/>
  <c r="A318" i="23" s="1"/>
  <c r="A319" i="23" s="1"/>
  <c r="A320" i="23" s="1"/>
  <c r="A321" i="23" s="1"/>
  <c r="A322" i="23" s="1"/>
  <c r="A323" i="23" s="1"/>
  <c r="A324" i="23" s="1"/>
  <c r="A325" i="23" s="1"/>
  <c r="A326" i="23" s="1"/>
  <c r="A327" i="23" s="1"/>
  <c r="A328" i="23" s="1"/>
  <c r="A329" i="23" s="1"/>
  <c r="A330" i="23" s="1"/>
  <c r="A331" i="23" s="1"/>
  <c r="A332" i="23" s="1"/>
  <c r="A333" i="23" s="1"/>
  <c r="A334" i="23" s="1"/>
  <c r="A335" i="23" s="1"/>
  <c r="A336" i="23" s="1"/>
  <c r="A337" i="23" s="1"/>
  <c r="A338" i="23" s="1"/>
  <c r="A339" i="23" s="1"/>
  <c r="A340" i="23" s="1"/>
  <c r="A341" i="23" s="1"/>
  <c r="A342" i="23" s="1"/>
  <c r="A343" i="23" s="1"/>
  <c r="A344" i="23" s="1"/>
  <c r="A345" i="23" s="1"/>
  <c r="A346" i="23" s="1"/>
  <c r="A347" i="23" s="1"/>
  <c r="A348" i="23" s="1"/>
  <c r="A349" i="23" s="1"/>
  <c r="A350" i="23" s="1"/>
  <c r="A351" i="23" s="1"/>
  <c r="A352" i="23" s="1"/>
  <c r="A353" i="23" s="1"/>
  <c r="A354" i="23" s="1"/>
  <c r="A355" i="23" s="1"/>
  <c r="A356" i="23" s="1"/>
  <c r="A357" i="23" s="1"/>
  <c r="A358" i="23" s="1"/>
  <c r="A359" i="23" s="1"/>
  <c r="A360" i="23" s="1"/>
  <c r="A361" i="23" s="1"/>
  <c r="A362" i="23" s="1"/>
  <c r="A363" i="23" s="1"/>
  <c r="A364" i="23" s="1"/>
  <c r="A365" i="23" s="1"/>
  <c r="A366" i="23" s="1"/>
  <c r="A367" i="23" s="1"/>
  <c r="A368" i="23" s="1"/>
  <c r="A369" i="23" s="1"/>
  <c r="A370" i="23" s="1"/>
  <c r="A371" i="23" s="1"/>
  <c r="A372" i="23" s="1"/>
  <c r="A373" i="23" s="1"/>
  <c r="A374" i="23" s="1"/>
  <c r="A375" i="23" s="1"/>
  <c r="A376" i="23" s="1"/>
  <c r="A377" i="23" s="1"/>
  <c r="A378" i="23" s="1"/>
  <c r="A379" i="23" s="1"/>
  <c r="A380" i="23" s="1"/>
  <c r="A381" i="23" s="1"/>
  <c r="A382" i="23" s="1"/>
  <c r="A383" i="23" s="1"/>
  <c r="A384" i="23" s="1"/>
  <c r="A385" i="23" s="1"/>
  <c r="A386" i="23" s="1"/>
  <c r="A387" i="23" s="1"/>
  <c r="A388" i="23" s="1"/>
  <c r="A389" i="23" s="1"/>
  <c r="A390" i="23" s="1"/>
  <c r="A391" i="23" s="1"/>
  <c r="A392" i="23" s="1"/>
  <c r="A393" i="23" s="1"/>
  <c r="A394" i="23" s="1"/>
  <c r="A395" i="23" s="1"/>
  <c r="A396" i="23" s="1"/>
  <c r="A397" i="23" s="1"/>
  <c r="A398" i="23" s="1"/>
  <c r="A399" i="23" s="1"/>
  <c r="A400" i="23" s="1"/>
  <c r="A401" i="23" s="1"/>
  <c r="A402" i="23" s="1"/>
  <c r="A403" i="23" s="1"/>
  <c r="A404" i="23" s="1"/>
  <c r="A405" i="23" s="1"/>
  <c r="A406" i="23" s="1"/>
  <c r="A407" i="23" s="1"/>
  <c r="A408" i="23" s="1"/>
  <c r="A409" i="23" s="1"/>
  <c r="A410" i="23" s="1"/>
  <c r="A411" i="23" s="1"/>
  <c r="A412" i="23" s="1"/>
  <c r="A413" i="23" s="1"/>
  <c r="A414" i="23" s="1"/>
  <c r="A415" i="23" s="1"/>
  <c r="A416" i="23" s="1"/>
  <c r="A417" i="23" s="1"/>
  <c r="A418" i="23" s="1"/>
  <c r="A419" i="23" s="1"/>
  <c r="A420" i="23" s="1"/>
  <c r="A421" i="23" s="1"/>
  <c r="A422" i="23" s="1"/>
  <c r="A423" i="23" s="1"/>
  <c r="A424" i="23" s="1"/>
  <c r="A425" i="23" s="1"/>
  <c r="A426" i="23" s="1"/>
  <c r="A427" i="23" s="1"/>
  <c r="A428" i="23" s="1"/>
  <c r="A429" i="23" s="1"/>
  <c r="A430" i="23" s="1"/>
  <c r="A431" i="23" s="1"/>
  <c r="A432" i="23" s="1"/>
  <c r="A433" i="23" s="1"/>
  <c r="A434" i="23" s="1"/>
  <c r="A435" i="23" s="1"/>
  <c r="A436" i="23" s="1"/>
  <c r="A437" i="23" s="1"/>
  <c r="A438" i="23" s="1"/>
  <c r="A439" i="23" s="1"/>
  <c r="A440" i="23" s="1"/>
  <c r="A441" i="23" s="1"/>
  <c r="A442" i="23" s="1"/>
  <c r="A443" i="23" s="1"/>
  <c r="A444" i="23" s="1"/>
  <c r="A445" i="23" s="1"/>
  <c r="A446" i="23" s="1"/>
  <c r="A447" i="23" s="1"/>
  <c r="A448" i="23" s="1"/>
  <c r="A449" i="23" s="1"/>
  <c r="A450" i="23" s="1"/>
  <c r="A451" i="23" s="1"/>
  <c r="A452" i="23" s="1"/>
  <c r="A453" i="23" s="1"/>
  <c r="A454" i="23" s="1"/>
  <c r="A455" i="23" s="1"/>
  <c r="A456" i="23" s="1"/>
  <c r="A457" i="23" s="1"/>
  <c r="A458" i="23" s="1"/>
  <c r="A459" i="23" s="1"/>
  <c r="A460" i="23" s="1"/>
  <c r="A461" i="23" s="1"/>
  <c r="A462" i="23" s="1"/>
  <c r="A463" i="23" s="1"/>
  <c r="A464" i="23" s="1"/>
  <c r="A465" i="23" s="1"/>
  <c r="A466" i="23" s="1"/>
  <c r="A467" i="23" s="1"/>
  <c r="A468" i="23" s="1"/>
  <c r="A469" i="23" s="1"/>
  <c r="A470" i="23" s="1"/>
  <c r="A471" i="23" s="1"/>
  <c r="A472" i="23" s="1"/>
  <c r="A473" i="23" s="1"/>
  <c r="A474" i="23" s="1"/>
  <c r="A475" i="23" s="1"/>
  <c r="A476" i="23" s="1"/>
  <c r="A477" i="23" s="1"/>
  <c r="A478" i="23" s="1"/>
  <c r="A479" i="23" s="1"/>
  <c r="A480" i="23" s="1"/>
  <c r="A481" i="23" s="1"/>
  <c r="A482" i="23" s="1"/>
  <c r="A483" i="23" s="1"/>
  <c r="A484" i="23" s="1"/>
  <c r="A485" i="23" s="1"/>
  <c r="A486" i="23" s="1"/>
  <c r="A487" i="23" s="1"/>
  <c r="A488" i="23" s="1"/>
  <c r="A489" i="23" s="1"/>
  <c r="A490" i="23" s="1"/>
  <c r="A491" i="23" s="1"/>
  <c r="A492" i="23" s="1"/>
  <c r="A493" i="23" s="1"/>
  <c r="A494" i="23" s="1"/>
  <c r="A495" i="23" s="1"/>
  <c r="A496" i="23" s="1"/>
  <c r="A497" i="23" s="1"/>
  <c r="A498" i="23" s="1"/>
  <c r="A499" i="23" s="1"/>
  <c r="A500" i="23" s="1"/>
  <c r="A501" i="23" s="1"/>
  <c r="A502" i="23" s="1"/>
  <c r="A503" i="23" s="1"/>
  <c r="A504" i="23" s="1"/>
  <c r="A505" i="23" s="1"/>
  <c r="A506" i="23" s="1"/>
  <c r="A507" i="23" s="1"/>
  <c r="A508" i="23" s="1"/>
  <c r="A509" i="23" s="1"/>
  <c r="A510" i="23" s="1"/>
  <c r="A511" i="23" s="1"/>
  <c r="A512" i="23" s="1"/>
  <c r="A513" i="23" s="1"/>
  <c r="A514" i="23" s="1"/>
  <c r="A515" i="23" s="1"/>
  <c r="A516" i="23" s="1"/>
  <c r="A517" i="23" s="1"/>
  <c r="A518" i="23" s="1"/>
  <c r="A519" i="23" s="1"/>
  <c r="A520" i="23" s="1"/>
  <c r="A521" i="23" s="1"/>
  <c r="A522" i="23" s="1"/>
  <c r="A523" i="23" s="1"/>
  <c r="A524" i="23" s="1"/>
  <c r="A525" i="23" s="1"/>
  <c r="A526" i="23" s="1"/>
  <c r="A527" i="23" s="1"/>
  <c r="A528" i="23" s="1"/>
  <c r="A529" i="23" s="1"/>
  <c r="A530" i="23" s="1"/>
  <c r="A531" i="23" s="1"/>
  <c r="A532" i="23" s="1"/>
  <c r="A533" i="23" s="1"/>
  <c r="A534" i="23" s="1"/>
  <c r="A535" i="23" s="1"/>
  <c r="A536" i="23" s="1"/>
  <c r="A537" i="23" s="1"/>
  <c r="A538" i="23" s="1"/>
  <c r="A539" i="23" s="1"/>
  <c r="A540" i="23" s="1"/>
  <c r="A541" i="23" s="1"/>
  <c r="A542" i="23" s="1"/>
  <c r="A543" i="23" s="1"/>
  <c r="A544" i="23" s="1"/>
  <c r="A545" i="23" s="1"/>
  <c r="A546" i="23" s="1"/>
  <c r="A547" i="23" s="1"/>
  <c r="A548" i="23" s="1"/>
  <c r="A549" i="23" s="1"/>
  <c r="A550" i="23" s="1"/>
  <c r="A551" i="23" s="1"/>
  <c r="A552" i="23" s="1"/>
  <c r="A553" i="23" s="1"/>
  <c r="A554" i="23" s="1"/>
  <c r="A555" i="23" s="1"/>
  <c r="A556" i="23" s="1"/>
  <c r="A557" i="23" s="1"/>
  <c r="A558" i="23" s="1"/>
  <c r="A559" i="23" s="1"/>
  <c r="A560" i="23" s="1"/>
  <c r="A561" i="23" s="1"/>
  <c r="A562" i="23" s="1"/>
  <c r="A563" i="23" s="1"/>
  <c r="A564" i="23" s="1"/>
  <c r="A565" i="23" s="1"/>
  <c r="A566" i="23" s="1"/>
  <c r="A567" i="23" s="1"/>
  <c r="A568" i="23" s="1"/>
  <c r="A569" i="23" s="1"/>
  <c r="A570" i="23" s="1"/>
  <c r="A571" i="23" s="1"/>
  <c r="A572" i="23" s="1"/>
  <c r="A573" i="23" s="1"/>
  <c r="A574" i="23" s="1"/>
  <c r="A575" i="23" s="1"/>
  <c r="A576" i="23" s="1"/>
  <c r="A577" i="23" s="1"/>
  <c r="A578" i="23" s="1"/>
  <c r="A579" i="23" s="1"/>
  <c r="A580" i="23" s="1"/>
  <c r="A581" i="23" s="1"/>
  <c r="A582" i="23" s="1"/>
  <c r="A583" i="23" s="1"/>
  <c r="A584" i="23" s="1"/>
  <c r="A585" i="23" s="1"/>
  <c r="A586" i="23" s="1"/>
  <c r="A587" i="23" s="1"/>
  <c r="A588" i="23" s="1"/>
  <c r="A589" i="23" s="1"/>
  <c r="A590" i="23" s="1"/>
  <c r="A591" i="23" s="1"/>
  <c r="A592" i="23" s="1"/>
  <c r="A593" i="23" s="1"/>
  <c r="A594" i="23" s="1"/>
  <c r="A595" i="23" s="1"/>
  <c r="A596" i="23" s="1"/>
  <c r="A597" i="23" s="1"/>
  <c r="A598" i="23" s="1"/>
  <c r="A599" i="23" s="1"/>
  <c r="A600" i="23" s="1"/>
  <c r="A601" i="23" s="1"/>
  <c r="A602" i="23" s="1"/>
  <c r="A603" i="23" s="1"/>
  <c r="A604" i="23" s="1"/>
  <c r="A605" i="23" s="1"/>
  <c r="A606" i="23" s="1"/>
  <c r="A607" i="23" s="1"/>
  <c r="A608" i="23" s="1"/>
  <c r="A609" i="23" s="1"/>
  <c r="A610" i="23" s="1"/>
  <c r="A611" i="23" s="1"/>
  <c r="A612" i="23" s="1"/>
  <c r="A613" i="23" s="1"/>
  <c r="A614" i="23" s="1"/>
  <c r="A615" i="23" s="1"/>
  <c r="A616" i="23" s="1"/>
  <c r="A617" i="23" s="1"/>
  <c r="A618" i="23" s="1"/>
  <c r="A619" i="23" s="1"/>
  <c r="A620" i="23" s="1"/>
  <c r="A621" i="23" s="1"/>
  <c r="A622" i="23" s="1"/>
  <c r="A623" i="23" s="1"/>
  <c r="A624" i="23" s="1"/>
  <c r="A625" i="23" s="1"/>
  <c r="A626" i="23" s="1"/>
  <c r="A627" i="23" s="1"/>
  <c r="A628" i="23" s="1"/>
  <c r="A629" i="23" s="1"/>
  <c r="A630" i="23" s="1"/>
  <c r="A631" i="23" s="1"/>
  <c r="A632" i="23" s="1"/>
  <c r="A633" i="23" s="1"/>
  <c r="A634" i="23" s="1"/>
  <c r="A635" i="23" s="1"/>
  <c r="A636" i="23" s="1"/>
  <c r="A637" i="23" s="1"/>
  <c r="A638" i="23" s="1"/>
  <c r="A639" i="23" s="1"/>
  <c r="A640" i="23" s="1"/>
  <c r="A641" i="23" s="1"/>
  <c r="A642" i="23" s="1"/>
  <c r="A643" i="23" s="1"/>
  <c r="A644" i="23" s="1"/>
  <c r="A645" i="23" s="1"/>
  <c r="A646" i="23" s="1"/>
  <c r="A647" i="23" s="1"/>
  <c r="A648" i="23" s="1"/>
  <c r="A649" i="23" s="1"/>
  <c r="A650" i="23" s="1"/>
  <c r="A651" i="23" s="1"/>
  <c r="A652" i="23" s="1"/>
  <c r="A653" i="23" s="1"/>
  <c r="A654" i="23" s="1"/>
  <c r="A655" i="23" s="1"/>
  <c r="A656" i="23" s="1"/>
  <c r="A657" i="23" s="1"/>
  <c r="A658" i="23" s="1"/>
  <c r="A659" i="23" s="1"/>
  <c r="A660" i="23" s="1"/>
  <c r="A661" i="23" s="1"/>
  <c r="A662" i="23" s="1"/>
  <c r="A663" i="23" s="1"/>
  <c r="A664" i="23" s="1"/>
  <c r="A665" i="23" s="1"/>
  <c r="A666" i="23" s="1"/>
  <c r="A667" i="23" s="1"/>
  <c r="A668" i="23" s="1"/>
  <c r="A669" i="23" s="1"/>
  <c r="A670" i="23" s="1"/>
  <c r="A671" i="23" s="1"/>
  <c r="A672" i="23" s="1"/>
  <c r="A673" i="23" s="1"/>
  <c r="A674" i="23" s="1"/>
  <c r="A675" i="23" s="1"/>
  <c r="A676" i="23" s="1"/>
  <c r="A677" i="23" s="1"/>
  <c r="A678" i="23" s="1"/>
  <c r="A679" i="23" s="1"/>
  <c r="A680" i="23" s="1"/>
  <c r="A681" i="23" s="1"/>
  <c r="A682" i="23" s="1"/>
  <c r="A683" i="23" s="1"/>
  <c r="A684" i="23" s="1"/>
  <c r="A685" i="23" s="1"/>
  <c r="A686" i="23" s="1"/>
  <c r="A687" i="23" s="1"/>
  <c r="A688" i="23" s="1"/>
  <c r="A689" i="23" s="1"/>
  <c r="A690" i="23" s="1"/>
  <c r="A691" i="23" s="1"/>
  <c r="A692" i="23" s="1"/>
  <c r="A693" i="23" s="1"/>
  <c r="A694" i="23" s="1"/>
  <c r="A695" i="23" s="1"/>
  <c r="A696" i="23" s="1"/>
  <c r="A697" i="23" s="1"/>
  <c r="A698" i="23" s="1"/>
  <c r="A699" i="23" s="1"/>
  <c r="A700" i="23" s="1"/>
  <c r="A701" i="23" s="1"/>
  <c r="A702" i="23" s="1"/>
  <c r="A703" i="23" s="1"/>
  <c r="A704" i="23" s="1"/>
  <c r="A705" i="23" s="1"/>
  <c r="A706" i="23" s="1"/>
  <c r="A707" i="23" s="1"/>
  <c r="A708" i="23" s="1"/>
  <c r="A709" i="23" s="1"/>
  <c r="A710" i="23" s="1"/>
  <c r="A711" i="23" s="1"/>
  <c r="A712" i="23" s="1"/>
  <c r="A713" i="23" s="1"/>
  <c r="A714" i="23" s="1"/>
  <c r="A715" i="23" s="1"/>
  <c r="A716" i="23" s="1"/>
  <c r="A717" i="23" s="1"/>
  <c r="A718" i="23" s="1"/>
  <c r="A719" i="23" s="1"/>
  <c r="A720" i="23" s="1"/>
  <c r="A721" i="23" s="1"/>
  <c r="A722" i="23" s="1"/>
  <c r="A723" i="23" s="1"/>
  <c r="A724" i="23" s="1"/>
  <c r="A725" i="23" s="1"/>
  <c r="A726" i="23" s="1"/>
  <c r="A727" i="23" s="1"/>
  <c r="A728" i="23" s="1"/>
  <c r="A729" i="23" s="1"/>
  <c r="A730" i="23" s="1"/>
  <c r="A731" i="23" s="1"/>
  <c r="A732" i="23" s="1"/>
  <c r="A733" i="23" s="1"/>
  <c r="A734" i="23" s="1"/>
  <c r="A735" i="23" s="1"/>
  <c r="A736" i="23" s="1"/>
  <c r="A737" i="23" s="1"/>
  <c r="A738" i="23" s="1"/>
  <c r="A739" i="23" s="1"/>
  <c r="A740" i="23" s="1"/>
  <c r="A741" i="23" s="1"/>
  <c r="A742" i="23" s="1"/>
  <c r="A743" i="23" s="1"/>
  <c r="A744" i="23" s="1"/>
  <c r="A745" i="23" s="1"/>
  <c r="A746" i="23" s="1"/>
  <c r="A747" i="23" s="1"/>
  <c r="A748" i="23" s="1"/>
  <c r="A749" i="23" s="1"/>
  <c r="A750" i="23" s="1"/>
  <c r="A751" i="23" s="1"/>
  <c r="A752" i="23" s="1"/>
  <c r="A753" i="23" s="1"/>
  <c r="A754" i="23" s="1"/>
  <c r="A755" i="23" s="1"/>
  <c r="A756" i="23" s="1"/>
  <c r="A757" i="23" s="1"/>
  <c r="A758" i="23" s="1"/>
  <c r="A759" i="23" s="1"/>
  <c r="A760" i="23" s="1"/>
  <c r="A761" i="23" s="1"/>
  <c r="A762" i="23" s="1"/>
  <c r="A763" i="23" s="1"/>
  <c r="A764" i="23" s="1"/>
  <c r="A765" i="23" s="1"/>
  <c r="A766" i="23" s="1"/>
  <c r="A767" i="23" s="1"/>
  <c r="A768" i="23" s="1"/>
  <c r="A769" i="23" s="1"/>
  <c r="A770" i="23" s="1"/>
  <c r="A771" i="23" s="1"/>
  <c r="A772" i="23" s="1"/>
  <c r="A773" i="23" s="1"/>
  <c r="A774" i="23" s="1"/>
  <c r="A775" i="23" s="1"/>
  <c r="A776" i="23" s="1"/>
  <c r="A777" i="23" s="1"/>
  <c r="A778" i="23" s="1"/>
  <c r="A779" i="23" s="1"/>
  <c r="A780" i="23" s="1"/>
  <c r="A781" i="23" s="1"/>
  <c r="A782" i="23" s="1"/>
  <c r="A783" i="23" s="1"/>
  <c r="A784" i="23" s="1"/>
  <c r="A785" i="23" s="1"/>
  <c r="A786" i="23" s="1"/>
  <c r="A787" i="23" s="1"/>
  <c r="A788" i="23" s="1"/>
  <c r="A789" i="23" s="1"/>
  <c r="A790" i="23" s="1"/>
  <c r="A791" i="23" s="1"/>
  <c r="A792" i="23" s="1"/>
  <c r="A793" i="23" s="1"/>
  <c r="A794" i="23" s="1"/>
  <c r="A795" i="23" s="1"/>
  <c r="A796" i="23" s="1"/>
  <c r="A797" i="23" s="1"/>
  <c r="A798" i="23" s="1"/>
  <c r="A799" i="23" s="1"/>
  <c r="A800" i="23" s="1"/>
  <c r="A801" i="23" s="1"/>
  <c r="A802" i="23" s="1"/>
  <c r="A803" i="23" s="1"/>
  <c r="A804" i="23" s="1"/>
  <c r="A805" i="23" s="1"/>
  <c r="A806" i="23" s="1"/>
  <c r="A807" i="23" s="1"/>
  <c r="A808" i="23" s="1"/>
  <c r="A809" i="23" s="1"/>
  <c r="A810" i="23" s="1"/>
  <c r="A811" i="23" s="1"/>
  <c r="A812" i="23" s="1"/>
  <c r="A813" i="23" s="1"/>
  <c r="A814" i="23" s="1"/>
  <c r="A815" i="23" s="1"/>
  <c r="A816" i="23" s="1"/>
  <c r="A817" i="23" s="1"/>
  <c r="A818" i="23" s="1"/>
  <c r="A819" i="23" s="1"/>
  <c r="A820" i="23" s="1"/>
  <c r="A821" i="23" s="1"/>
  <c r="A822" i="23" s="1"/>
  <c r="A823" i="23" s="1"/>
  <c r="A824" i="23" s="1"/>
  <c r="A825" i="23" s="1"/>
  <c r="A826" i="23" s="1"/>
  <c r="A827" i="23" s="1"/>
  <c r="A828" i="23" s="1"/>
  <c r="A829" i="23" s="1"/>
  <c r="A830" i="23" s="1"/>
  <c r="A831" i="23" s="1"/>
  <c r="A832" i="23" s="1"/>
  <c r="A833" i="23" s="1"/>
  <c r="A834" i="23" s="1"/>
  <c r="A835" i="23" s="1"/>
  <c r="A836" i="23" s="1"/>
  <c r="A837" i="23" s="1"/>
  <c r="A838" i="23" s="1"/>
  <c r="A839" i="23" s="1"/>
  <c r="A840" i="23" s="1"/>
  <c r="A841" i="23" s="1"/>
  <c r="A842" i="23" s="1"/>
  <c r="A843" i="23" s="1"/>
  <c r="A844" i="23" s="1"/>
  <c r="A845" i="23" s="1"/>
  <c r="A846" i="23" s="1"/>
  <c r="A847" i="23" s="1"/>
  <c r="A848" i="23" s="1"/>
  <c r="A849" i="23" s="1"/>
  <c r="A850" i="23" s="1"/>
  <c r="A851" i="23" s="1"/>
  <c r="A852" i="23" s="1"/>
  <c r="A853" i="23" s="1"/>
  <c r="A854" i="23" s="1"/>
  <c r="A855" i="23" s="1"/>
  <c r="A856" i="23" s="1"/>
  <c r="A857" i="23" s="1"/>
  <c r="A858" i="23" s="1"/>
  <c r="A859" i="23" s="1"/>
  <c r="A860" i="23" s="1"/>
  <c r="A861" i="23" s="1"/>
  <c r="A862" i="23" s="1"/>
  <c r="A863" i="23" s="1"/>
  <c r="A864" i="23" s="1"/>
  <c r="A865" i="23" s="1"/>
  <c r="A866" i="23" s="1"/>
  <c r="A867" i="23" s="1"/>
  <c r="A868" i="23" s="1"/>
  <c r="A869" i="23" s="1"/>
  <c r="A870" i="23" s="1"/>
  <c r="A871" i="23" s="1"/>
  <c r="A872" i="23" s="1"/>
  <c r="A873" i="23" s="1"/>
  <c r="A874" i="23" s="1"/>
  <c r="A875" i="23" s="1"/>
  <c r="A876" i="23" s="1"/>
  <c r="A877" i="23" s="1"/>
  <c r="A878" i="23" s="1"/>
  <c r="A879" i="23" s="1"/>
  <c r="A880" i="23" s="1"/>
  <c r="A881" i="23" s="1"/>
  <c r="A882" i="23" s="1"/>
  <c r="A883" i="23" s="1"/>
  <c r="A884" i="23" s="1"/>
  <c r="A885" i="23" s="1"/>
  <c r="A886" i="23" s="1"/>
  <c r="A887" i="23" s="1"/>
  <c r="A888" i="23" s="1"/>
  <c r="A889" i="23" s="1"/>
  <c r="A890" i="23" s="1"/>
  <c r="A891" i="23" s="1"/>
  <c r="A892" i="23" s="1"/>
  <c r="A893" i="23" s="1"/>
  <c r="A894" i="23" s="1"/>
  <c r="A895" i="23" s="1"/>
  <c r="A896" i="23" s="1"/>
  <c r="A897" i="23" s="1"/>
  <c r="A898" i="23" s="1"/>
  <c r="A899" i="23" s="1"/>
  <c r="A900" i="23" s="1"/>
  <c r="A901" i="23" s="1"/>
  <c r="A902" i="23" s="1"/>
  <c r="A903" i="23" s="1"/>
  <c r="A904" i="23" s="1"/>
  <c r="A905" i="23" s="1"/>
  <c r="A906" i="23" s="1"/>
  <c r="A907" i="23" s="1"/>
  <c r="A908" i="23" s="1"/>
  <c r="A909" i="23" s="1"/>
  <c r="A910" i="23" s="1"/>
  <c r="A911" i="23" s="1"/>
  <c r="A912" i="23" s="1"/>
  <c r="A913" i="23" s="1"/>
  <c r="A914" i="23" s="1"/>
  <c r="A915" i="23" s="1"/>
  <c r="A916" i="23" s="1"/>
  <c r="A917" i="23" s="1"/>
  <c r="A918" i="23" s="1"/>
  <c r="A919" i="23" s="1"/>
  <c r="A920" i="23" s="1"/>
  <c r="A921" i="23" s="1"/>
  <c r="A922" i="23" s="1"/>
  <c r="A923" i="23" s="1"/>
  <c r="A924" i="23" s="1"/>
  <c r="A925" i="23" s="1"/>
  <c r="A926" i="23" s="1"/>
  <c r="A927" i="23" s="1"/>
  <c r="A928" i="23" s="1"/>
  <c r="A929" i="23" s="1"/>
  <c r="A930" i="23" s="1"/>
  <c r="A931" i="23" s="1"/>
  <c r="A932" i="23" s="1"/>
  <c r="A933" i="23" s="1"/>
  <c r="A934" i="23" s="1"/>
  <c r="A935" i="23" s="1"/>
  <c r="A936" i="23" s="1"/>
  <c r="A937" i="23" s="1"/>
  <c r="A938" i="23" s="1"/>
  <c r="A939" i="23" s="1"/>
  <c r="A940" i="23" s="1"/>
  <c r="A941" i="23" s="1"/>
  <c r="A942" i="23" s="1"/>
  <c r="A943" i="23" s="1"/>
  <c r="A944" i="23" s="1"/>
  <c r="A945" i="23" s="1"/>
  <c r="A946" i="23" s="1"/>
  <c r="A947" i="23" s="1"/>
  <c r="A948" i="23" s="1"/>
  <c r="A949" i="23" s="1"/>
  <c r="A950" i="23" s="1"/>
  <c r="A951" i="23" s="1"/>
  <c r="A952" i="23" s="1"/>
  <c r="A953" i="23" s="1"/>
  <c r="A954" i="23" s="1"/>
  <c r="A955" i="23" s="1"/>
  <c r="A956" i="23" s="1"/>
  <c r="A957" i="23" s="1"/>
  <c r="A958" i="23" s="1"/>
  <c r="A959" i="23" s="1"/>
  <c r="A960" i="23" s="1"/>
  <c r="A961" i="23" s="1"/>
  <c r="A962" i="23" s="1"/>
  <c r="A963" i="23" s="1"/>
  <c r="A964" i="23" s="1"/>
  <c r="A965" i="23" s="1"/>
  <c r="A966" i="23" s="1"/>
  <c r="A967" i="23" s="1"/>
  <c r="A968" i="23" s="1"/>
  <c r="A969" i="23" s="1"/>
  <c r="A970" i="23" s="1"/>
  <c r="A971" i="23" s="1"/>
  <c r="A972" i="23" s="1"/>
  <c r="A973" i="23" s="1"/>
  <c r="A974" i="23" s="1"/>
  <c r="A975" i="23" s="1"/>
  <c r="A976" i="23" s="1"/>
  <c r="A977" i="23" s="1"/>
  <c r="A978" i="23" s="1"/>
  <c r="A979" i="23" s="1"/>
  <c r="A980" i="23" s="1"/>
  <c r="A981" i="23" s="1"/>
  <c r="A982" i="23" s="1"/>
  <c r="A983" i="23" s="1"/>
  <c r="A984" i="23" s="1"/>
  <c r="A985" i="23" s="1"/>
  <c r="A986" i="23" s="1"/>
  <c r="A987" i="23" s="1"/>
  <c r="A988" i="23" s="1"/>
  <c r="A989" i="23" s="1"/>
  <c r="A990" i="23" s="1"/>
  <c r="A991" i="23" s="1"/>
  <c r="A992" i="23" s="1"/>
  <c r="A993" i="23" s="1"/>
  <c r="A994" i="23" s="1"/>
  <c r="A995" i="23" s="1"/>
  <c r="A996" i="23" s="1"/>
  <c r="A997" i="23" s="1"/>
  <c r="A998" i="23" s="1"/>
  <c r="A999" i="23" s="1"/>
  <c r="A1000" i="23" s="1"/>
  <c r="A1001" i="23" s="1"/>
  <c r="A1002" i="23" s="1"/>
  <c r="A1003" i="23" s="1"/>
  <c r="A1004" i="23" s="1"/>
  <c r="H3" i="28" a="1"/>
  <c r="O3" i="28" a="1"/>
  <c r="G3" i="28" a="1"/>
  <c r="K3" i="28" a="1"/>
  <c r="K3" i="23" a="1"/>
  <c r="H3" i="23" a="1"/>
  <c r="B7" i="28" l="1"/>
  <c r="C6" i="28"/>
  <c r="E6" i="28" s="1"/>
  <c r="I6" i="28" s="1"/>
  <c r="C7" i="28"/>
  <c r="E7" i="28" s="1"/>
  <c r="I7" i="28" s="1"/>
  <c r="A8" i="28"/>
  <c r="P5" i="28"/>
  <c r="J6" i="28"/>
  <c r="K3" i="28"/>
  <c r="N3" i="28" s="1"/>
  <c r="G3" i="28"/>
  <c r="I3" i="28" s="1"/>
  <c r="P3" i="28" s="1"/>
  <c r="O3" i="28"/>
  <c r="H3" i="28"/>
  <c r="J3" i="28" s="1"/>
  <c r="N7" i="28"/>
  <c r="L8" i="28"/>
  <c r="N6" i="28"/>
  <c r="K3" i="23"/>
  <c r="N3" i="23" s="1"/>
  <c r="H3" i="23"/>
  <c r="B8" i="28" l="1"/>
  <c r="D7" i="28"/>
  <c r="F7" i="28" s="1"/>
  <c r="J7" i="28" s="1"/>
  <c r="P7" i="28" s="1"/>
  <c r="A9" i="28"/>
  <c r="C8" i="28"/>
  <c r="E8" i="28" s="1"/>
  <c r="I8" i="28" s="1"/>
  <c r="P6" i="28"/>
  <c r="L9" i="28"/>
  <c r="N8" i="28"/>
  <c r="B9" i="28" l="1"/>
  <c r="D8" i="28"/>
  <c r="F8" i="28" s="1"/>
  <c r="J8" i="28" s="1"/>
  <c r="P8" i="28" s="1"/>
  <c r="A10" i="28"/>
  <c r="C9" i="28"/>
  <c r="E9" i="28" s="1"/>
  <c r="I9" i="28" s="1"/>
  <c r="L10" i="28"/>
  <c r="N9" i="28"/>
  <c r="F1" i="23"/>
  <c r="U3" i="23"/>
  <c r="D5" i="23"/>
  <c r="F5" i="23" s="1"/>
  <c r="C5" i="23"/>
  <c r="E5" i="23" s="1"/>
  <c r="N5" i="23"/>
  <c r="F3" i="23"/>
  <c r="J3" i="23" s="1"/>
  <c r="D9" i="28" l="1"/>
  <c r="F9" i="28" s="1"/>
  <c r="J9" i="28" s="1"/>
  <c r="P9" i="28" s="1"/>
  <c r="B10" i="28"/>
  <c r="A11" i="28"/>
  <c r="C10" i="28"/>
  <c r="E10" i="28" s="1"/>
  <c r="I10" i="28" s="1"/>
  <c r="N10" i="28"/>
  <c r="L11" i="28"/>
  <c r="I5" i="23"/>
  <c r="J5" i="23"/>
  <c r="O3" i="23" a="1"/>
  <c r="B11" i="28" l="1"/>
  <c r="D10" i="28"/>
  <c r="F10" i="28" s="1"/>
  <c r="J10" i="28" s="1"/>
  <c r="P10" i="28" s="1"/>
  <c r="A12" i="28"/>
  <c r="C11" i="28"/>
  <c r="E11" i="28" s="1"/>
  <c r="I11" i="28" s="1"/>
  <c r="L12" i="28"/>
  <c r="N11" i="28"/>
  <c r="O3" i="23"/>
  <c r="M6" i="23"/>
  <c r="M7" i="23" s="1"/>
  <c r="M8" i="23" s="1"/>
  <c r="M9" i="23" s="1"/>
  <c r="M10" i="23" s="1"/>
  <c r="M11" i="23" s="1"/>
  <c r="M12" i="23" s="1"/>
  <c r="M13" i="23" s="1"/>
  <c r="M14" i="23" s="1"/>
  <c r="M15" i="23" s="1"/>
  <c r="M16" i="23" s="1"/>
  <c r="M17" i="23" s="1"/>
  <c r="M18" i="23" s="1"/>
  <c r="M19" i="23" s="1"/>
  <c r="M20" i="23" s="1"/>
  <c r="M21" i="23" s="1"/>
  <c r="M22" i="23" s="1"/>
  <c r="M23" i="23" s="1"/>
  <c r="M24" i="23" s="1"/>
  <c r="M25" i="23" s="1"/>
  <c r="M26" i="23" s="1"/>
  <c r="M27" i="23" s="1"/>
  <c r="M28" i="23" s="1"/>
  <c r="M29" i="23" s="1"/>
  <c r="M30" i="23" s="1"/>
  <c r="M31" i="23" s="1"/>
  <c r="M32" i="23" s="1"/>
  <c r="M33" i="23" s="1"/>
  <c r="M34" i="23" s="1"/>
  <c r="M35" i="23" s="1"/>
  <c r="M36" i="23" s="1"/>
  <c r="M37" i="23" s="1"/>
  <c r="M38" i="23" s="1"/>
  <c r="M39" i="23" s="1"/>
  <c r="M40" i="23" s="1"/>
  <c r="M41" i="23" s="1"/>
  <c r="M42" i="23" s="1"/>
  <c r="M43" i="23" s="1"/>
  <c r="M44" i="23" s="1"/>
  <c r="M45" i="23" s="1"/>
  <c r="M46" i="23" s="1"/>
  <c r="M47" i="23" s="1"/>
  <c r="M48" i="23" s="1"/>
  <c r="M49" i="23" s="1"/>
  <c r="M50" i="23" s="1"/>
  <c r="M51" i="23" s="1"/>
  <c r="M52" i="23" s="1"/>
  <c r="M53" i="23" s="1"/>
  <c r="M54" i="23" s="1"/>
  <c r="M55" i="23" s="1"/>
  <c r="M56" i="23" s="1"/>
  <c r="M57" i="23" s="1"/>
  <c r="M58" i="23" s="1"/>
  <c r="M59" i="23" s="1"/>
  <c r="M60" i="23" s="1"/>
  <c r="M61" i="23" s="1"/>
  <c r="M62" i="23" s="1"/>
  <c r="M63" i="23" s="1"/>
  <c r="M64" i="23" s="1"/>
  <c r="M65" i="23" s="1"/>
  <c r="M66" i="23" s="1"/>
  <c r="M67" i="23" s="1"/>
  <c r="M68" i="23" s="1"/>
  <c r="M69" i="23" s="1"/>
  <c r="M70" i="23" s="1"/>
  <c r="M71" i="23" s="1"/>
  <c r="M72" i="23" s="1"/>
  <c r="M73" i="23" s="1"/>
  <c r="M74" i="23" s="1"/>
  <c r="M75" i="23" s="1"/>
  <c r="M76" i="23" s="1"/>
  <c r="M77" i="23" s="1"/>
  <c r="M78" i="23" s="1"/>
  <c r="M79" i="23" s="1"/>
  <c r="M80" i="23" s="1"/>
  <c r="M81" i="23" s="1"/>
  <c r="M82" i="23" s="1"/>
  <c r="M83" i="23" s="1"/>
  <c r="M84" i="23" s="1"/>
  <c r="M85" i="23" s="1"/>
  <c r="M86" i="23" s="1"/>
  <c r="M87" i="23" s="1"/>
  <c r="M88" i="23" s="1"/>
  <c r="M89" i="23" s="1"/>
  <c r="M90" i="23" s="1"/>
  <c r="M91" i="23" s="1"/>
  <c r="M92" i="23" s="1"/>
  <c r="M93" i="23" s="1"/>
  <c r="M94" i="23" s="1"/>
  <c r="M95" i="23" s="1"/>
  <c r="M96" i="23" s="1"/>
  <c r="M97" i="23" s="1"/>
  <c r="M98" i="23" s="1"/>
  <c r="M99" i="23" s="1"/>
  <c r="M100" i="23" s="1"/>
  <c r="M101" i="23" s="1"/>
  <c r="M102" i="23" s="1"/>
  <c r="M103" i="23" s="1"/>
  <c r="M104" i="23" s="1"/>
  <c r="M105" i="23" s="1"/>
  <c r="M106" i="23" s="1"/>
  <c r="M107" i="23" s="1"/>
  <c r="M108" i="23" s="1"/>
  <c r="M109" i="23" s="1"/>
  <c r="M110" i="23" s="1"/>
  <c r="M111" i="23" s="1"/>
  <c r="M112" i="23" s="1"/>
  <c r="M113" i="23" s="1"/>
  <c r="M114" i="23" s="1"/>
  <c r="M115" i="23" s="1"/>
  <c r="M116" i="23" s="1"/>
  <c r="M117" i="23" s="1"/>
  <c r="M118" i="23" s="1"/>
  <c r="M119" i="23" s="1"/>
  <c r="M120" i="23" s="1"/>
  <c r="M121" i="23" s="1"/>
  <c r="M122" i="23" s="1"/>
  <c r="M123" i="23" s="1"/>
  <c r="M124" i="23" s="1"/>
  <c r="M125" i="23" s="1"/>
  <c r="M126" i="23" s="1"/>
  <c r="M127" i="23" s="1"/>
  <c r="M128" i="23" s="1"/>
  <c r="M129" i="23" s="1"/>
  <c r="M130" i="23" s="1"/>
  <c r="M131" i="23" s="1"/>
  <c r="M132" i="23" s="1"/>
  <c r="M133" i="23" s="1"/>
  <c r="M134" i="23" s="1"/>
  <c r="M135" i="23" s="1"/>
  <c r="M136" i="23" s="1"/>
  <c r="M137" i="23" s="1"/>
  <c r="M138" i="23" s="1"/>
  <c r="M139" i="23" s="1"/>
  <c r="M140" i="23" s="1"/>
  <c r="M141" i="23" s="1"/>
  <c r="M142" i="23" s="1"/>
  <c r="M143" i="23" s="1"/>
  <c r="M144" i="23" s="1"/>
  <c r="M145" i="23" s="1"/>
  <c r="M146" i="23" s="1"/>
  <c r="M147" i="23" s="1"/>
  <c r="M148" i="23" s="1"/>
  <c r="M149" i="23" s="1"/>
  <c r="M150" i="23" s="1"/>
  <c r="M151" i="23" s="1"/>
  <c r="M152" i="23" s="1"/>
  <c r="M153" i="23" s="1"/>
  <c r="M154" i="23" s="1"/>
  <c r="M155" i="23" s="1"/>
  <c r="M156" i="23" s="1"/>
  <c r="M157" i="23" s="1"/>
  <c r="M158" i="23" s="1"/>
  <c r="M159" i="23" s="1"/>
  <c r="M160" i="23" s="1"/>
  <c r="M161" i="23" s="1"/>
  <c r="M162" i="23" s="1"/>
  <c r="M163" i="23" s="1"/>
  <c r="M164" i="23" s="1"/>
  <c r="M165" i="23" s="1"/>
  <c r="M166" i="23" s="1"/>
  <c r="M167" i="23" s="1"/>
  <c r="M168" i="23" s="1"/>
  <c r="M169" i="23" s="1"/>
  <c r="M170" i="23" s="1"/>
  <c r="M171" i="23" s="1"/>
  <c r="M172" i="23" s="1"/>
  <c r="M173" i="23" s="1"/>
  <c r="M174" i="23" s="1"/>
  <c r="M175" i="23" s="1"/>
  <c r="M176" i="23" s="1"/>
  <c r="M177" i="23" s="1"/>
  <c r="M178" i="23" s="1"/>
  <c r="M179" i="23" s="1"/>
  <c r="M180" i="23" s="1"/>
  <c r="M181" i="23" s="1"/>
  <c r="M182" i="23" s="1"/>
  <c r="M183" i="23" s="1"/>
  <c r="M184" i="23" s="1"/>
  <c r="M185" i="23" s="1"/>
  <c r="M186" i="23" s="1"/>
  <c r="M187" i="23" s="1"/>
  <c r="M188" i="23" s="1"/>
  <c r="M189" i="23" s="1"/>
  <c r="M190" i="23" s="1"/>
  <c r="M191" i="23" s="1"/>
  <c r="M192" i="23" s="1"/>
  <c r="M193" i="23" s="1"/>
  <c r="M194" i="23" s="1"/>
  <c r="M195" i="23" s="1"/>
  <c r="M196" i="23" s="1"/>
  <c r="M197" i="23" s="1"/>
  <c r="M198" i="23" s="1"/>
  <c r="M199" i="23" s="1"/>
  <c r="M200" i="23" s="1"/>
  <c r="M201" i="23" s="1"/>
  <c r="M202" i="23" s="1"/>
  <c r="M203" i="23" s="1"/>
  <c r="M204" i="23" s="1"/>
  <c r="M205" i="23" s="1"/>
  <c r="M206" i="23" s="1"/>
  <c r="M207" i="23" s="1"/>
  <c r="M208" i="23" s="1"/>
  <c r="M209" i="23" s="1"/>
  <c r="M210" i="23" s="1"/>
  <c r="M211" i="23" s="1"/>
  <c r="M212" i="23" s="1"/>
  <c r="M213" i="23" s="1"/>
  <c r="M214" i="23" s="1"/>
  <c r="M215" i="23" s="1"/>
  <c r="M216" i="23" s="1"/>
  <c r="M217" i="23" s="1"/>
  <c r="M218" i="23" s="1"/>
  <c r="M219" i="23" s="1"/>
  <c r="M220" i="23" s="1"/>
  <c r="M221" i="23" s="1"/>
  <c r="M222" i="23" s="1"/>
  <c r="M223" i="23" s="1"/>
  <c r="M224" i="23" s="1"/>
  <c r="M225" i="23" s="1"/>
  <c r="M226" i="23" s="1"/>
  <c r="M227" i="23" s="1"/>
  <c r="M228" i="23" s="1"/>
  <c r="M229" i="23" s="1"/>
  <c r="M230" i="23" s="1"/>
  <c r="M231" i="23" s="1"/>
  <c r="M232" i="23" s="1"/>
  <c r="M233" i="23" s="1"/>
  <c r="M234" i="23" s="1"/>
  <c r="M235" i="23" s="1"/>
  <c r="M236" i="23" s="1"/>
  <c r="M237" i="23" s="1"/>
  <c r="M238" i="23" s="1"/>
  <c r="M239" i="23" s="1"/>
  <c r="M240" i="23" s="1"/>
  <c r="M241" i="23" s="1"/>
  <c r="M242" i="23" s="1"/>
  <c r="M243" i="23" s="1"/>
  <c r="M244" i="23" s="1"/>
  <c r="M245" i="23" s="1"/>
  <c r="M246" i="23" s="1"/>
  <c r="M247" i="23" s="1"/>
  <c r="M248" i="23" s="1"/>
  <c r="M249" i="23" s="1"/>
  <c r="M250" i="23" s="1"/>
  <c r="M251" i="23" s="1"/>
  <c r="M252" i="23" s="1"/>
  <c r="M253" i="23" s="1"/>
  <c r="M254" i="23" s="1"/>
  <c r="M255" i="23" s="1"/>
  <c r="M256" i="23" s="1"/>
  <c r="M257" i="23" s="1"/>
  <c r="M258" i="23" s="1"/>
  <c r="M259" i="23" s="1"/>
  <c r="M260" i="23" s="1"/>
  <c r="M261" i="23" s="1"/>
  <c r="M262" i="23" s="1"/>
  <c r="M263" i="23" s="1"/>
  <c r="M264" i="23" s="1"/>
  <c r="M265" i="23" s="1"/>
  <c r="M266" i="23" s="1"/>
  <c r="M267" i="23" s="1"/>
  <c r="M268" i="23" s="1"/>
  <c r="M269" i="23" s="1"/>
  <c r="M270" i="23" s="1"/>
  <c r="M271" i="23" s="1"/>
  <c r="M272" i="23" s="1"/>
  <c r="M273" i="23" s="1"/>
  <c r="M274" i="23" s="1"/>
  <c r="M275" i="23" s="1"/>
  <c r="M276" i="23" s="1"/>
  <c r="M277" i="23" s="1"/>
  <c r="M278" i="23" s="1"/>
  <c r="M279" i="23" s="1"/>
  <c r="M280" i="23" s="1"/>
  <c r="M281" i="23" s="1"/>
  <c r="M282" i="23" s="1"/>
  <c r="M283" i="23" s="1"/>
  <c r="M284" i="23" s="1"/>
  <c r="M285" i="23" s="1"/>
  <c r="M286" i="23" s="1"/>
  <c r="M287" i="23" s="1"/>
  <c r="M288" i="23" s="1"/>
  <c r="M289" i="23" s="1"/>
  <c r="M290" i="23" s="1"/>
  <c r="M291" i="23" s="1"/>
  <c r="M292" i="23" s="1"/>
  <c r="M293" i="23" s="1"/>
  <c r="M294" i="23" s="1"/>
  <c r="M295" i="23" s="1"/>
  <c r="M296" i="23" s="1"/>
  <c r="M297" i="23" s="1"/>
  <c r="M298" i="23" s="1"/>
  <c r="M299" i="23" s="1"/>
  <c r="M300" i="23" s="1"/>
  <c r="M301" i="23" s="1"/>
  <c r="M302" i="23" s="1"/>
  <c r="M303" i="23" s="1"/>
  <c r="M304" i="23" s="1"/>
  <c r="M305" i="23" s="1"/>
  <c r="M306" i="23" s="1"/>
  <c r="M307" i="23" s="1"/>
  <c r="M308" i="23" s="1"/>
  <c r="M309" i="23" s="1"/>
  <c r="M310" i="23" s="1"/>
  <c r="M311" i="23" s="1"/>
  <c r="M312" i="23" s="1"/>
  <c r="M313" i="23" s="1"/>
  <c r="M314" i="23" s="1"/>
  <c r="M315" i="23" s="1"/>
  <c r="M316" i="23" s="1"/>
  <c r="M317" i="23" s="1"/>
  <c r="M318" i="23" s="1"/>
  <c r="M319" i="23" s="1"/>
  <c r="M320" i="23" s="1"/>
  <c r="M321" i="23" s="1"/>
  <c r="M322" i="23" s="1"/>
  <c r="M323" i="23" s="1"/>
  <c r="M324" i="23" s="1"/>
  <c r="M325" i="23" s="1"/>
  <c r="M326" i="23" s="1"/>
  <c r="M327" i="23" s="1"/>
  <c r="M328" i="23" s="1"/>
  <c r="M329" i="23" s="1"/>
  <c r="M330" i="23" s="1"/>
  <c r="M331" i="23" s="1"/>
  <c r="M332" i="23" s="1"/>
  <c r="M333" i="23" s="1"/>
  <c r="M334" i="23" s="1"/>
  <c r="M335" i="23" s="1"/>
  <c r="M336" i="23" s="1"/>
  <c r="M337" i="23" s="1"/>
  <c r="M338" i="23" s="1"/>
  <c r="M339" i="23" s="1"/>
  <c r="M340" i="23" s="1"/>
  <c r="M341" i="23" s="1"/>
  <c r="M342" i="23" s="1"/>
  <c r="M343" i="23" s="1"/>
  <c r="M344" i="23" s="1"/>
  <c r="M345" i="23" s="1"/>
  <c r="M346" i="23" s="1"/>
  <c r="M347" i="23" s="1"/>
  <c r="M348" i="23" s="1"/>
  <c r="M349" i="23" s="1"/>
  <c r="M350" i="23" s="1"/>
  <c r="M351" i="23" s="1"/>
  <c r="M352" i="23" s="1"/>
  <c r="M353" i="23" s="1"/>
  <c r="M354" i="23" s="1"/>
  <c r="M355" i="23" s="1"/>
  <c r="M356" i="23" s="1"/>
  <c r="M357" i="23" s="1"/>
  <c r="M358" i="23" s="1"/>
  <c r="M359" i="23" s="1"/>
  <c r="M360" i="23" s="1"/>
  <c r="M361" i="23" s="1"/>
  <c r="M362" i="23" s="1"/>
  <c r="M363" i="23" s="1"/>
  <c r="M364" i="23" s="1"/>
  <c r="M365" i="23" s="1"/>
  <c r="M366" i="23" s="1"/>
  <c r="M367" i="23" s="1"/>
  <c r="M368" i="23" s="1"/>
  <c r="M369" i="23" s="1"/>
  <c r="M370" i="23" s="1"/>
  <c r="M371" i="23" s="1"/>
  <c r="M372" i="23" s="1"/>
  <c r="M373" i="23" s="1"/>
  <c r="M374" i="23" s="1"/>
  <c r="M375" i="23" s="1"/>
  <c r="M376" i="23" s="1"/>
  <c r="M377" i="23" s="1"/>
  <c r="M378" i="23" s="1"/>
  <c r="M379" i="23" s="1"/>
  <c r="M380" i="23" s="1"/>
  <c r="M381" i="23" s="1"/>
  <c r="M382" i="23" s="1"/>
  <c r="M383" i="23" s="1"/>
  <c r="M384" i="23" s="1"/>
  <c r="M385" i="23" s="1"/>
  <c r="M386" i="23" s="1"/>
  <c r="M387" i="23" s="1"/>
  <c r="M388" i="23" s="1"/>
  <c r="M389" i="23" s="1"/>
  <c r="M390" i="23" s="1"/>
  <c r="M391" i="23" s="1"/>
  <c r="M392" i="23" s="1"/>
  <c r="M393" i="23" s="1"/>
  <c r="M394" i="23" s="1"/>
  <c r="M395" i="23" s="1"/>
  <c r="M396" i="23" s="1"/>
  <c r="M397" i="23" s="1"/>
  <c r="M398" i="23" s="1"/>
  <c r="M399" i="23" s="1"/>
  <c r="M400" i="23" s="1"/>
  <c r="M401" i="23" s="1"/>
  <c r="M402" i="23" s="1"/>
  <c r="M403" i="23" s="1"/>
  <c r="M404" i="23" s="1"/>
  <c r="M405" i="23" s="1"/>
  <c r="M406" i="23" s="1"/>
  <c r="M407" i="23" s="1"/>
  <c r="M408" i="23" s="1"/>
  <c r="M409" i="23" s="1"/>
  <c r="M410" i="23" s="1"/>
  <c r="M411" i="23" s="1"/>
  <c r="M412" i="23" s="1"/>
  <c r="M413" i="23" s="1"/>
  <c r="M414" i="23" s="1"/>
  <c r="M415" i="23" s="1"/>
  <c r="M416" i="23" s="1"/>
  <c r="M417" i="23" s="1"/>
  <c r="M418" i="23" s="1"/>
  <c r="M419" i="23" s="1"/>
  <c r="M420" i="23" s="1"/>
  <c r="M421" i="23" s="1"/>
  <c r="M422" i="23" s="1"/>
  <c r="M423" i="23" s="1"/>
  <c r="M424" i="23" s="1"/>
  <c r="M425" i="23" s="1"/>
  <c r="M426" i="23" s="1"/>
  <c r="M427" i="23" s="1"/>
  <c r="M428" i="23" s="1"/>
  <c r="M429" i="23" s="1"/>
  <c r="M430" i="23" s="1"/>
  <c r="M431" i="23" s="1"/>
  <c r="M432" i="23" s="1"/>
  <c r="M433" i="23" s="1"/>
  <c r="M434" i="23" s="1"/>
  <c r="M435" i="23" s="1"/>
  <c r="M436" i="23" s="1"/>
  <c r="M437" i="23" s="1"/>
  <c r="M438" i="23" s="1"/>
  <c r="M439" i="23" s="1"/>
  <c r="M440" i="23" s="1"/>
  <c r="M441" i="23" s="1"/>
  <c r="M442" i="23" s="1"/>
  <c r="M443" i="23" s="1"/>
  <c r="M444" i="23" s="1"/>
  <c r="M445" i="23" s="1"/>
  <c r="M446" i="23" s="1"/>
  <c r="M447" i="23" s="1"/>
  <c r="M448" i="23" s="1"/>
  <c r="M449" i="23" s="1"/>
  <c r="M450" i="23" s="1"/>
  <c r="M451" i="23" s="1"/>
  <c r="M452" i="23" s="1"/>
  <c r="M453" i="23" s="1"/>
  <c r="M454" i="23" s="1"/>
  <c r="M455" i="23" s="1"/>
  <c r="M456" i="23" s="1"/>
  <c r="M457" i="23" s="1"/>
  <c r="M458" i="23" s="1"/>
  <c r="M459" i="23" s="1"/>
  <c r="M460" i="23" s="1"/>
  <c r="M461" i="23" s="1"/>
  <c r="M462" i="23" s="1"/>
  <c r="M463" i="23" s="1"/>
  <c r="M464" i="23" s="1"/>
  <c r="M465" i="23" s="1"/>
  <c r="M466" i="23" s="1"/>
  <c r="M467" i="23" s="1"/>
  <c r="M468" i="23" s="1"/>
  <c r="M469" i="23" s="1"/>
  <c r="M470" i="23" s="1"/>
  <c r="M471" i="23" s="1"/>
  <c r="M472" i="23" s="1"/>
  <c r="M473" i="23" s="1"/>
  <c r="M474" i="23" s="1"/>
  <c r="M475" i="23" s="1"/>
  <c r="M476" i="23" s="1"/>
  <c r="M477" i="23" s="1"/>
  <c r="M478" i="23" s="1"/>
  <c r="M479" i="23" s="1"/>
  <c r="M480" i="23" s="1"/>
  <c r="M481" i="23" s="1"/>
  <c r="M482" i="23" s="1"/>
  <c r="M483" i="23" s="1"/>
  <c r="M484" i="23" s="1"/>
  <c r="M485" i="23" s="1"/>
  <c r="M486" i="23" s="1"/>
  <c r="M487" i="23" s="1"/>
  <c r="M488" i="23" s="1"/>
  <c r="M489" i="23" s="1"/>
  <c r="M490" i="23" s="1"/>
  <c r="M491" i="23" s="1"/>
  <c r="M492" i="23" s="1"/>
  <c r="M493" i="23" s="1"/>
  <c r="M494" i="23" s="1"/>
  <c r="M495" i="23" s="1"/>
  <c r="M496" i="23" s="1"/>
  <c r="M497" i="23" s="1"/>
  <c r="M498" i="23" s="1"/>
  <c r="M499" i="23" s="1"/>
  <c r="M500" i="23" s="1"/>
  <c r="M501" i="23" s="1"/>
  <c r="M502" i="23" s="1"/>
  <c r="M503" i="23" s="1"/>
  <c r="M504" i="23" s="1"/>
  <c r="M505" i="23" s="1"/>
  <c r="M506" i="23" s="1"/>
  <c r="M507" i="23" s="1"/>
  <c r="M508" i="23" s="1"/>
  <c r="M509" i="23" s="1"/>
  <c r="M510" i="23" s="1"/>
  <c r="M511" i="23" s="1"/>
  <c r="M512" i="23" s="1"/>
  <c r="M513" i="23" s="1"/>
  <c r="M514" i="23" s="1"/>
  <c r="M515" i="23" s="1"/>
  <c r="M516" i="23" s="1"/>
  <c r="M517" i="23" s="1"/>
  <c r="M518" i="23" s="1"/>
  <c r="M519" i="23" s="1"/>
  <c r="M520" i="23" s="1"/>
  <c r="M521" i="23" s="1"/>
  <c r="M522" i="23" s="1"/>
  <c r="M523" i="23" s="1"/>
  <c r="M524" i="23" s="1"/>
  <c r="M525" i="23" s="1"/>
  <c r="M526" i="23" s="1"/>
  <c r="M527" i="23" s="1"/>
  <c r="M528" i="23" s="1"/>
  <c r="M529" i="23" s="1"/>
  <c r="M530" i="23" s="1"/>
  <c r="M531" i="23" s="1"/>
  <c r="M532" i="23" s="1"/>
  <c r="M533" i="23" s="1"/>
  <c r="M534" i="23" s="1"/>
  <c r="M535" i="23" s="1"/>
  <c r="M536" i="23" s="1"/>
  <c r="M537" i="23" s="1"/>
  <c r="M538" i="23" s="1"/>
  <c r="M539" i="23" s="1"/>
  <c r="M540" i="23" s="1"/>
  <c r="M541" i="23" s="1"/>
  <c r="M542" i="23" s="1"/>
  <c r="M543" i="23" s="1"/>
  <c r="M544" i="23" s="1"/>
  <c r="M545" i="23" s="1"/>
  <c r="M546" i="23" s="1"/>
  <c r="M547" i="23" s="1"/>
  <c r="M548" i="23" s="1"/>
  <c r="M549" i="23" s="1"/>
  <c r="M550" i="23" s="1"/>
  <c r="M551" i="23" s="1"/>
  <c r="M552" i="23" s="1"/>
  <c r="M553" i="23" s="1"/>
  <c r="M554" i="23" s="1"/>
  <c r="M555" i="23" s="1"/>
  <c r="M556" i="23" s="1"/>
  <c r="M557" i="23" s="1"/>
  <c r="M558" i="23" s="1"/>
  <c r="M559" i="23" s="1"/>
  <c r="M560" i="23" s="1"/>
  <c r="M561" i="23" s="1"/>
  <c r="M562" i="23" s="1"/>
  <c r="M563" i="23" s="1"/>
  <c r="M564" i="23" s="1"/>
  <c r="M565" i="23" s="1"/>
  <c r="M566" i="23" s="1"/>
  <c r="M567" i="23" s="1"/>
  <c r="M568" i="23" s="1"/>
  <c r="M569" i="23" s="1"/>
  <c r="M570" i="23" s="1"/>
  <c r="M571" i="23" s="1"/>
  <c r="M572" i="23" s="1"/>
  <c r="M573" i="23" s="1"/>
  <c r="M574" i="23" s="1"/>
  <c r="M575" i="23" s="1"/>
  <c r="M576" i="23" s="1"/>
  <c r="M577" i="23" s="1"/>
  <c r="M578" i="23" s="1"/>
  <c r="M579" i="23" s="1"/>
  <c r="M580" i="23" s="1"/>
  <c r="M581" i="23" s="1"/>
  <c r="M582" i="23" s="1"/>
  <c r="M583" i="23" s="1"/>
  <c r="M584" i="23" s="1"/>
  <c r="M585" i="23" s="1"/>
  <c r="M586" i="23" s="1"/>
  <c r="M587" i="23" s="1"/>
  <c r="M588" i="23" s="1"/>
  <c r="M589" i="23" s="1"/>
  <c r="M590" i="23" s="1"/>
  <c r="M591" i="23" s="1"/>
  <c r="M592" i="23" s="1"/>
  <c r="M593" i="23" s="1"/>
  <c r="M594" i="23" s="1"/>
  <c r="M595" i="23" s="1"/>
  <c r="M596" i="23" s="1"/>
  <c r="M597" i="23" s="1"/>
  <c r="M598" i="23" s="1"/>
  <c r="M599" i="23" s="1"/>
  <c r="M600" i="23" s="1"/>
  <c r="M601" i="23" s="1"/>
  <c r="M602" i="23" s="1"/>
  <c r="M603" i="23" s="1"/>
  <c r="M604" i="23" s="1"/>
  <c r="M605" i="23" s="1"/>
  <c r="M606" i="23" s="1"/>
  <c r="M607" i="23" s="1"/>
  <c r="M608" i="23" s="1"/>
  <c r="M609" i="23" s="1"/>
  <c r="M610" i="23" s="1"/>
  <c r="M611" i="23" s="1"/>
  <c r="M612" i="23" s="1"/>
  <c r="M613" i="23" s="1"/>
  <c r="M614" i="23" s="1"/>
  <c r="M615" i="23" s="1"/>
  <c r="M616" i="23" s="1"/>
  <c r="M617" i="23" s="1"/>
  <c r="M618" i="23" s="1"/>
  <c r="M619" i="23" s="1"/>
  <c r="M620" i="23" s="1"/>
  <c r="M621" i="23" s="1"/>
  <c r="M622" i="23" s="1"/>
  <c r="M623" i="23" s="1"/>
  <c r="M624" i="23" s="1"/>
  <c r="M625" i="23" s="1"/>
  <c r="M626" i="23" s="1"/>
  <c r="M627" i="23" s="1"/>
  <c r="M628" i="23" s="1"/>
  <c r="M629" i="23" s="1"/>
  <c r="M630" i="23" s="1"/>
  <c r="M631" i="23" s="1"/>
  <c r="M632" i="23" s="1"/>
  <c r="M633" i="23" s="1"/>
  <c r="M634" i="23" s="1"/>
  <c r="M635" i="23" s="1"/>
  <c r="M636" i="23" s="1"/>
  <c r="M637" i="23" s="1"/>
  <c r="M638" i="23" s="1"/>
  <c r="M639" i="23" s="1"/>
  <c r="M640" i="23" s="1"/>
  <c r="M641" i="23" s="1"/>
  <c r="M642" i="23" s="1"/>
  <c r="M643" i="23" s="1"/>
  <c r="M644" i="23" s="1"/>
  <c r="M645" i="23" s="1"/>
  <c r="M646" i="23" s="1"/>
  <c r="M647" i="23" s="1"/>
  <c r="M648" i="23" s="1"/>
  <c r="M649" i="23" s="1"/>
  <c r="M650" i="23" s="1"/>
  <c r="M651" i="23" s="1"/>
  <c r="M652" i="23" s="1"/>
  <c r="M653" i="23" s="1"/>
  <c r="M654" i="23" s="1"/>
  <c r="M655" i="23" s="1"/>
  <c r="M656" i="23" s="1"/>
  <c r="M657" i="23" s="1"/>
  <c r="M658" i="23" s="1"/>
  <c r="M659" i="23" s="1"/>
  <c r="M660" i="23" s="1"/>
  <c r="M661" i="23" s="1"/>
  <c r="M662" i="23" s="1"/>
  <c r="M663" i="23" s="1"/>
  <c r="M664" i="23" s="1"/>
  <c r="M665" i="23" s="1"/>
  <c r="M666" i="23" s="1"/>
  <c r="M667" i="23" s="1"/>
  <c r="M668" i="23" s="1"/>
  <c r="M669" i="23" s="1"/>
  <c r="M670" i="23" s="1"/>
  <c r="M671" i="23" s="1"/>
  <c r="M672" i="23" s="1"/>
  <c r="M673" i="23" s="1"/>
  <c r="M674" i="23" s="1"/>
  <c r="M675" i="23" s="1"/>
  <c r="M676" i="23" s="1"/>
  <c r="M677" i="23" s="1"/>
  <c r="M678" i="23" s="1"/>
  <c r="M679" i="23" s="1"/>
  <c r="M680" i="23" s="1"/>
  <c r="M681" i="23" s="1"/>
  <c r="M682" i="23" s="1"/>
  <c r="M683" i="23" s="1"/>
  <c r="M684" i="23" s="1"/>
  <c r="M685" i="23" s="1"/>
  <c r="M686" i="23" s="1"/>
  <c r="M687" i="23" s="1"/>
  <c r="M688" i="23" s="1"/>
  <c r="M689" i="23" s="1"/>
  <c r="M690" i="23" s="1"/>
  <c r="M691" i="23" s="1"/>
  <c r="M692" i="23" s="1"/>
  <c r="M693" i="23" s="1"/>
  <c r="M694" i="23" s="1"/>
  <c r="M695" i="23" s="1"/>
  <c r="M696" i="23" s="1"/>
  <c r="M697" i="23" s="1"/>
  <c r="M698" i="23" s="1"/>
  <c r="M699" i="23" s="1"/>
  <c r="M700" i="23" s="1"/>
  <c r="M701" i="23" s="1"/>
  <c r="M702" i="23" s="1"/>
  <c r="M703" i="23" s="1"/>
  <c r="M704" i="23" s="1"/>
  <c r="M705" i="23" s="1"/>
  <c r="M706" i="23" s="1"/>
  <c r="M707" i="23" s="1"/>
  <c r="M708" i="23" s="1"/>
  <c r="M709" i="23" s="1"/>
  <c r="M710" i="23" s="1"/>
  <c r="M711" i="23" s="1"/>
  <c r="M712" i="23" s="1"/>
  <c r="M713" i="23" s="1"/>
  <c r="M714" i="23" s="1"/>
  <c r="M715" i="23" s="1"/>
  <c r="M716" i="23" s="1"/>
  <c r="M717" i="23" s="1"/>
  <c r="M718" i="23" s="1"/>
  <c r="M719" i="23" s="1"/>
  <c r="M720" i="23" s="1"/>
  <c r="M721" i="23" s="1"/>
  <c r="M722" i="23" s="1"/>
  <c r="M723" i="23" s="1"/>
  <c r="M724" i="23" s="1"/>
  <c r="M725" i="23" s="1"/>
  <c r="M726" i="23" s="1"/>
  <c r="M727" i="23" s="1"/>
  <c r="M728" i="23" s="1"/>
  <c r="M729" i="23" s="1"/>
  <c r="M730" i="23" s="1"/>
  <c r="M731" i="23" s="1"/>
  <c r="M732" i="23" s="1"/>
  <c r="M733" i="23" s="1"/>
  <c r="M734" i="23" s="1"/>
  <c r="M735" i="23" s="1"/>
  <c r="M736" i="23" s="1"/>
  <c r="M737" i="23" s="1"/>
  <c r="M738" i="23" s="1"/>
  <c r="M739" i="23" s="1"/>
  <c r="M740" i="23" s="1"/>
  <c r="M741" i="23" s="1"/>
  <c r="M742" i="23" s="1"/>
  <c r="M743" i="23" s="1"/>
  <c r="M744" i="23" s="1"/>
  <c r="M745" i="23" s="1"/>
  <c r="M746" i="23" s="1"/>
  <c r="M747" i="23" s="1"/>
  <c r="M748" i="23" s="1"/>
  <c r="M749" i="23" s="1"/>
  <c r="M750" i="23" s="1"/>
  <c r="M751" i="23" s="1"/>
  <c r="M752" i="23" s="1"/>
  <c r="M753" i="23" s="1"/>
  <c r="M754" i="23" s="1"/>
  <c r="M755" i="23" s="1"/>
  <c r="M756" i="23" s="1"/>
  <c r="M757" i="23" s="1"/>
  <c r="M758" i="23" s="1"/>
  <c r="M759" i="23" s="1"/>
  <c r="M760" i="23" s="1"/>
  <c r="M761" i="23" s="1"/>
  <c r="M762" i="23" s="1"/>
  <c r="M763" i="23" s="1"/>
  <c r="M764" i="23" s="1"/>
  <c r="M765" i="23" s="1"/>
  <c r="M766" i="23" s="1"/>
  <c r="M767" i="23" s="1"/>
  <c r="M768" i="23" s="1"/>
  <c r="M769" i="23" s="1"/>
  <c r="M770" i="23" s="1"/>
  <c r="M771" i="23" s="1"/>
  <c r="M772" i="23" s="1"/>
  <c r="M773" i="23" s="1"/>
  <c r="M774" i="23" s="1"/>
  <c r="M775" i="23" s="1"/>
  <c r="M776" i="23" s="1"/>
  <c r="M777" i="23" s="1"/>
  <c r="M778" i="23" s="1"/>
  <c r="M779" i="23" s="1"/>
  <c r="M780" i="23" s="1"/>
  <c r="M781" i="23" s="1"/>
  <c r="M782" i="23" s="1"/>
  <c r="M783" i="23" s="1"/>
  <c r="M784" i="23" s="1"/>
  <c r="M785" i="23" s="1"/>
  <c r="M786" i="23" s="1"/>
  <c r="M787" i="23" s="1"/>
  <c r="M788" i="23" s="1"/>
  <c r="M789" i="23" s="1"/>
  <c r="M790" i="23" s="1"/>
  <c r="M791" i="23" s="1"/>
  <c r="M792" i="23" s="1"/>
  <c r="M793" i="23" s="1"/>
  <c r="M794" i="23" s="1"/>
  <c r="M795" i="23" s="1"/>
  <c r="M796" i="23" s="1"/>
  <c r="M797" i="23" s="1"/>
  <c r="M798" i="23" s="1"/>
  <c r="M799" i="23" s="1"/>
  <c r="M800" i="23" s="1"/>
  <c r="M801" i="23" s="1"/>
  <c r="M802" i="23" s="1"/>
  <c r="M803" i="23" s="1"/>
  <c r="M804" i="23" s="1"/>
  <c r="M805" i="23" s="1"/>
  <c r="M806" i="23" s="1"/>
  <c r="M807" i="23" s="1"/>
  <c r="M808" i="23" s="1"/>
  <c r="M809" i="23" s="1"/>
  <c r="M810" i="23" s="1"/>
  <c r="M811" i="23" s="1"/>
  <c r="M812" i="23" s="1"/>
  <c r="M813" i="23" s="1"/>
  <c r="M814" i="23" s="1"/>
  <c r="M815" i="23" s="1"/>
  <c r="M816" i="23" s="1"/>
  <c r="M817" i="23" s="1"/>
  <c r="M818" i="23" s="1"/>
  <c r="M819" i="23" s="1"/>
  <c r="M820" i="23" s="1"/>
  <c r="M821" i="23" s="1"/>
  <c r="M822" i="23" s="1"/>
  <c r="M823" i="23" s="1"/>
  <c r="M824" i="23" s="1"/>
  <c r="M825" i="23" s="1"/>
  <c r="M826" i="23" s="1"/>
  <c r="M827" i="23" s="1"/>
  <c r="M828" i="23" s="1"/>
  <c r="M829" i="23" s="1"/>
  <c r="M830" i="23" s="1"/>
  <c r="M831" i="23" s="1"/>
  <c r="M832" i="23" s="1"/>
  <c r="M833" i="23" s="1"/>
  <c r="M834" i="23" s="1"/>
  <c r="M835" i="23" s="1"/>
  <c r="M836" i="23" s="1"/>
  <c r="M837" i="23" s="1"/>
  <c r="M838" i="23" s="1"/>
  <c r="M839" i="23" s="1"/>
  <c r="M840" i="23" s="1"/>
  <c r="M841" i="23" s="1"/>
  <c r="M842" i="23" s="1"/>
  <c r="M843" i="23" s="1"/>
  <c r="M844" i="23" s="1"/>
  <c r="M845" i="23" s="1"/>
  <c r="M846" i="23" s="1"/>
  <c r="M847" i="23" s="1"/>
  <c r="M848" i="23" s="1"/>
  <c r="M849" i="23" s="1"/>
  <c r="M850" i="23" s="1"/>
  <c r="M851" i="23" s="1"/>
  <c r="M852" i="23" s="1"/>
  <c r="M853" i="23" s="1"/>
  <c r="M854" i="23" s="1"/>
  <c r="M855" i="23" s="1"/>
  <c r="M856" i="23" s="1"/>
  <c r="M857" i="23" s="1"/>
  <c r="M858" i="23" s="1"/>
  <c r="M859" i="23" s="1"/>
  <c r="M860" i="23" s="1"/>
  <c r="M861" i="23" s="1"/>
  <c r="M862" i="23" s="1"/>
  <c r="M863" i="23" s="1"/>
  <c r="M864" i="23" s="1"/>
  <c r="M865" i="23" s="1"/>
  <c r="M866" i="23" s="1"/>
  <c r="M867" i="23" s="1"/>
  <c r="M868" i="23" s="1"/>
  <c r="M869" i="23" s="1"/>
  <c r="M870" i="23" s="1"/>
  <c r="M871" i="23" s="1"/>
  <c r="M872" i="23" s="1"/>
  <c r="M873" i="23" s="1"/>
  <c r="M874" i="23" s="1"/>
  <c r="M875" i="23" s="1"/>
  <c r="M876" i="23" s="1"/>
  <c r="M877" i="23" s="1"/>
  <c r="M878" i="23" s="1"/>
  <c r="M879" i="23" s="1"/>
  <c r="M880" i="23" s="1"/>
  <c r="M881" i="23" s="1"/>
  <c r="M882" i="23" s="1"/>
  <c r="M883" i="23" s="1"/>
  <c r="M884" i="23" s="1"/>
  <c r="M885" i="23" s="1"/>
  <c r="M886" i="23" s="1"/>
  <c r="M887" i="23" s="1"/>
  <c r="M888" i="23" s="1"/>
  <c r="M889" i="23" s="1"/>
  <c r="M890" i="23" s="1"/>
  <c r="M891" i="23" s="1"/>
  <c r="M892" i="23" s="1"/>
  <c r="M893" i="23" s="1"/>
  <c r="M894" i="23" s="1"/>
  <c r="M895" i="23" s="1"/>
  <c r="M896" i="23" s="1"/>
  <c r="M897" i="23" s="1"/>
  <c r="M898" i="23" s="1"/>
  <c r="M899" i="23" s="1"/>
  <c r="M900" i="23" s="1"/>
  <c r="M901" i="23" s="1"/>
  <c r="M902" i="23" s="1"/>
  <c r="M903" i="23" s="1"/>
  <c r="M904" i="23" s="1"/>
  <c r="M905" i="23" s="1"/>
  <c r="M906" i="23" s="1"/>
  <c r="M907" i="23" s="1"/>
  <c r="M908" i="23" s="1"/>
  <c r="M909" i="23" s="1"/>
  <c r="M910" i="23" s="1"/>
  <c r="M911" i="23" s="1"/>
  <c r="M912" i="23" s="1"/>
  <c r="M913" i="23" s="1"/>
  <c r="M914" i="23" s="1"/>
  <c r="M915" i="23" s="1"/>
  <c r="M916" i="23" s="1"/>
  <c r="M917" i="23" s="1"/>
  <c r="M918" i="23" s="1"/>
  <c r="M919" i="23" s="1"/>
  <c r="M920" i="23" s="1"/>
  <c r="M921" i="23" s="1"/>
  <c r="M922" i="23" s="1"/>
  <c r="M923" i="23" s="1"/>
  <c r="M924" i="23" s="1"/>
  <c r="M925" i="23" s="1"/>
  <c r="M926" i="23" s="1"/>
  <c r="M927" i="23" s="1"/>
  <c r="M928" i="23" s="1"/>
  <c r="M929" i="23" s="1"/>
  <c r="M930" i="23" s="1"/>
  <c r="M931" i="23" s="1"/>
  <c r="M932" i="23" s="1"/>
  <c r="M933" i="23" s="1"/>
  <c r="M934" i="23" s="1"/>
  <c r="M935" i="23" s="1"/>
  <c r="M936" i="23" s="1"/>
  <c r="M937" i="23" s="1"/>
  <c r="M938" i="23" s="1"/>
  <c r="M939" i="23" s="1"/>
  <c r="M940" i="23" s="1"/>
  <c r="M941" i="23" s="1"/>
  <c r="M942" i="23" s="1"/>
  <c r="M943" i="23" s="1"/>
  <c r="M944" i="23" s="1"/>
  <c r="M945" i="23" s="1"/>
  <c r="M946" i="23" s="1"/>
  <c r="M947" i="23" s="1"/>
  <c r="M948" i="23" s="1"/>
  <c r="M949" i="23" s="1"/>
  <c r="M950" i="23" s="1"/>
  <c r="M951" i="23" s="1"/>
  <c r="M952" i="23" s="1"/>
  <c r="M953" i="23" s="1"/>
  <c r="M954" i="23" s="1"/>
  <c r="M955" i="23" s="1"/>
  <c r="M956" i="23" s="1"/>
  <c r="M957" i="23" s="1"/>
  <c r="M958" i="23" s="1"/>
  <c r="M959" i="23" s="1"/>
  <c r="M960" i="23" s="1"/>
  <c r="M961" i="23" s="1"/>
  <c r="M962" i="23" s="1"/>
  <c r="M963" i="23" s="1"/>
  <c r="M964" i="23" s="1"/>
  <c r="M965" i="23" s="1"/>
  <c r="M966" i="23" s="1"/>
  <c r="M967" i="23" s="1"/>
  <c r="M968" i="23" s="1"/>
  <c r="M969" i="23" s="1"/>
  <c r="M970" i="23" s="1"/>
  <c r="M971" i="23" s="1"/>
  <c r="M972" i="23" s="1"/>
  <c r="M973" i="23" s="1"/>
  <c r="M974" i="23" s="1"/>
  <c r="M975" i="23" s="1"/>
  <c r="M976" i="23" s="1"/>
  <c r="M977" i="23" s="1"/>
  <c r="M978" i="23" s="1"/>
  <c r="M979" i="23" s="1"/>
  <c r="M980" i="23" s="1"/>
  <c r="M981" i="23" s="1"/>
  <c r="M982" i="23" s="1"/>
  <c r="M983" i="23" s="1"/>
  <c r="M984" i="23" s="1"/>
  <c r="M985" i="23" s="1"/>
  <c r="M986" i="23" s="1"/>
  <c r="M987" i="23" s="1"/>
  <c r="M988" i="23" s="1"/>
  <c r="M989" i="23" s="1"/>
  <c r="M990" i="23" s="1"/>
  <c r="M991" i="23" s="1"/>
  <c r="M992" i="23" s="1"/>
  <c r="M993" i="23" s="1"/>
  <c r="M994" i="23" s="1"/>
  <c r="M995" i="23" s="1"/>
  <c r="M996" i="23" s="1"/>
  <c r="M997" i="23" s="1"/>
  <c r="M998" i="23" s="1"/>
  <c r="M999" i="23" s="1"/>
  <c r="M1000" i="23" s="1"/>
  <c r="M1001" i="23" s="1"/>
  <c r="M1002" i="23" s="1"/>
  <c r="M1003" i="23" s="1"/>
  <c r="M1004" i="23" s="1"/>
  <c r="L6" i="23"/>
  <c r="D6" i="23"/>
  <c r="F6" i="23" s="1"/>
  <c r="E3" i="23"/>
  <c r="D3" i="23"/>
  <c r="C3" i="23"/>
  <c r="G3" i="23" a="1"/>
  <c r="B12" i="28" l="1"/>
  <c r="D11" i="28"/>
  <c r="F11" i="28" s="1"/>
  <c r="J11" i="28" s="1"/>
  <c r="P11" i="28" s="1"/>
  <c r="A13" i="28"/>
  <c r="C12" i="28"/>
  <c r="E12" i="28" s="1"/>
  <c r="I12" i="28" s="1"/>
  <c r="N12" i="28"/>
  <c r="L13" i="28"/>
  <c r="J6" i="23"/>
  <c r="N6" i="23"/>
  <c r="L7" i="23"/>
  <c r="C8" i="23"/>
  <c r="E8" i="23" s="1"/>
  <c r="C7" i="23"/>
  <c r="E7" i="23" s="1"/>
  <c r="C6" i="23"/>
  <c r="E6" i="23" s="1"/>
  <c r="G3" i="23"/>
  <c r="I3" i="23" s="1"/>
  <c r="P3" i="23" s="1"/>
  <c r="D7" i="23"/>
  <c r="F7" i="23" s="1"/>
  <c r="B13" i="28" l="1"/>
  <c r="D12" i="28"/>
  <c r="F12" i="28" s="1"/>
  <c r="J12" i="28" s="1"/>
  <c r="P12" i="28" s="1"/>
  <c r="A14" i="28"/>
  <c r="C13" i="28"/>
  <c r="E13" i="28" s="1"/>
  <c r="I13" i="28" s="1"/>
  <c r="N13" i="28"/>
  <c r="L14" i="28"/>
  <c r="I6" i="23"/>
  <c r="J7" i="23"/>
  <c r="I7" i="23"/>
  <c r="L8" i="23"/>
  <c r="I8" i="23" s="1"/>
  <c r="N7" i="23"/>
  <c r="P5" i="23"/>
  <c r="C9" i="23"/>
  <c r="E9" i="23" s="1"/>
  <c r="D8" i="23"/>
  <c r="F8" i="23" s="1"/>
  <c r="B14" i="28" l="1"/>
  <c r="D13" i="28"/>
  <c r="F13" i="28" s="1"/>
  <c r="J13" i="28" s="1"/>
  <c r="P13" i="28" s="1"/>
  <c r="A15" i="28"/>
  <c r="C14" i="28"/>
  <c r="E14" i="28" s="1"/>
  <c r="I14" i="28" s="1"/>
  <c r="L15" i="28"/>
  <c r="N14" i="28"/>
  <c r="J8" i="23"/>
  <c r="C10" i="23"/>
  <c r="E10" i="23" s="1"/>
  <c r="L9" i="23"/>
  <c r="I9" i="23" s="1"/>
  <c r="N8" i="23"/>
  <c r="P6" i="23"/>
  <c r="D9" i="23"/>
  <c r="F9" i="23" s="1"/>
  <c r="B15" i="28" l="1"/>
  <c r="D14" i="28"/>
  <c r="F14" i="28" s="1"/>
  <c r="J14" i="28" s="1"/>
  <c r="P14" i="28" s="1"/>
  <c r="A16" i="28"/>
  <c r="C15" i="28"/>
  <c r="E15" i="28" s="1"/>
  <c r="I15" i="28" s="1"/>
  <c r="N15" i="28"/>
  <c r="L16" i="28"/>
  <c r="J9" i="23"/>
  <c r="P7" i="23"/>
  <c r="P8" i="23"/>
  <c r="C11" i="23"/>
  <c r="E11" i="23" s="1"/>
  <c r="N9" i="23"/>
  <c r="L10" i="23"/>
  <c r="I10" i="23" s="1"/>
  <c r="D10" i="23"/>
  <c r="F10" i="23" s="1"/>
  <c r="D15" i="28" l="1"/>
  <c r="F15" i="28" s="1"/>
  <c r="J15" i="28" s="1"/>
  <c r="P15" i="28" s="1"/>
  <c r="B16" i="28"/>
  <c r="A17" i="28"/>
  <c r="C16" i="28"/>
  <c r="E16" i="28" s="1"/>
  <c r="I16" i="28" s="1"/>
  <c r="L17" i="28"/>
  <c r="N16" i="28"/>
  <c r="J10" i="23"/>
  <c r="P9" i="23"/>
  <c r="C12" i="23"/>
  <c r="E12" i="23" s="1"/>
  <c r="N10" i="23"/>
  <c r="L11" i="23"/>
  <c r="I11" i="23" s="1"/>
  <c r="D11" i="23"/>
  <c r="F11" i="23" s="1"/>
  <c r="B17" i="28" l="1"/>
  <c r="D16" i="28"/>
  <c r="F16" i="28" s="1"/>
  <c r="J16" i="28" s="1"/>
  <c r="P16" i="28" s="1"/>
  <c r="A18" i="28"/>
  <c r="C17" i="28"/>
  <c r="E17" i="28" s="1"/>
  <c r="I17" i="28" s="1"/>
  <c r="L18" i="28"/>
  <c r="N17" i="28"/>
  <c r="J11" i="23"/>
  <c r="P10" i="23"/>
  <c r="C13" i="23"/>
  <c r="E13" i="23" s="1"/>
  <c r="N11" i="23"/>
  <c r="L12" i="23"/>
  <c r="I12" i="23" s="1"/>
  <c r="D12" i="23"/>
  <c r="F12" i="23" s="1"/>
  <c r="B18" i="28" l="1"/>
  <c r="D17" i="28"/>
  <c r="F17" i="28" s="1"/>
  <c r="J17" i="28" s="1"/>
  <c r="P17" i="28" s="1"/>
  <c r="A19" i="28"/>
  <c r="C18" i="28"/>
  <c r="E18" i="28" s="1"/>
  <c r="I18" i="28" s="1"/>
  <c r="N18" i="28"/>
  <c r="L19" i="28"/>
  <c r="J12" i="23"/>
  <c r="P11" i="23"/>
  <c r="C14" i="23"/>
  <c r="E14" i="23" s="1"/>
  <c r="N12" i="23"/>
  <c r="L13" i="23"/>
  <c r="I13" i="23" s="1"/>
  <c r="D13" i="23"/>
  <c r="F13" i="23" s="1"/>
  <c r="D18" i="28" l="1"/>
  <c r="F18" i="28" s="1"/>
  <c r="J18" i="28" s="1"/>
  <c r="P18" i="28" s="1"/>
  <c r="B19" i="28"/>
  <c r="A20" i="28"/>
  <c r="C19" i="28"/>
  <c r="E19" i="28" s="1"/>
  <c r="I19" i="28" s="1"/>
  <c r="L20" i="28"/>
  <c r="N19" i="28"/>
  <c r="J13" i="23"/>
  <c r="P12" i="23"/>
  <c r="C15" i="23"/>
  <c r="E15" i="23" s="1"/>
  <c r="N13" i="23"/>
  <c r="L14" i="23"/>
  <c r="I14" i="23" s="1"/>
  <c r="D14" i="23"/>
  <c r="F14" i="23" s="1"/>
  <c r="B20" i="28" l="1"/>
  <c r="D19" i="28"/>
  <c r="F19" i="28" s="1"/>
  <c r="J19" i="28" s="1"/>
  <c r="P19" i="28" s="1"/>
  <c r="A21" i="28"/>
  <c r="C20" i="28"/>
  <c r="E20" i="28" s="1"/>
  <c r="I20" i="28" s="1"/>
  <c r="N20" i="28"/>
  <c r="L21" i="28"/>
  <c r="J14" i="23"/>
  <c r="P13" i="23"/>
  <c r="C16" i="23"/>
  <c r="E16" i="23" s="1"/>
  <c r="N14" i="23"/>
  <c r="L15" i="23"/>
  <c r="I15" i="23" s="1"/>
  <c r="D15" i="23"/>
  <c r="F15" i="23" s="1"/>
  <c r="D20" i="28" l="1"/>
  <c r="F20" i="28" s="1"/>
  <c r="J20" i="28" s="1"/>
  <c r="P20" i="28" s="1"/>
  <c r="B21" i="28"/>
  <c r="A22" i="28"/>
  <c r="C21" i="28"/>
  <c r="E21" i="28" s="1"/>
  <c r="I21" i="28" s="1"/>
  <c r="L22" i="28"/>
  <c r="N21" i="28"/>
  <c r="J15" i="23"/>
  <c r="P14" i="23"/>
  <c r="C17" i="23"/>
  <c r="E17" i="23" s="1"/>
  <c r="N15" i="23"/>
  <c r="L16" i="23"/>
  <c r="I16" i="23" s="1"/>
  <c r="D16" i="23"/>
  <c r="F16" i="23" s="1"/>
  <c r="B22" i="28" l="1"/>
  <c r="D21" i="28"/>
  <c r="F21" i="28" s="1"/>
  <c r="J21" i="28" s="1"/>
  <c r="P21" i="28" s="1"/>
  <c r="A23" i="28"/>
  <c r="C22" i="28"/>
  <c r="E22" i="28" s="1"/>
  <c r="I22" i="28" s="1"/>
  <c r="N22" i="28"/>
  <c r="L23" i="28"/>
  <c r="J16" i="23"/>
  <c r="P15" i="23"/>
  <c r="C18" i="23"/>
  <c r="E18" i="23" s="1"/>
  <c r="N16" i="23"/>
  <c r="L17" i="23"/>
  <c r="I17" i="23" s="1"/>
  <c r="D17" i="23"/>
  <c r="F17" i="23" s="1"/>
  <c r="B23" i="28" l="1"/>
  <c r="D22" i="28"/>
  <c r="F22" i="28" s="1"/>
  <c r="J22" i="28" s="1"/>
  <c r="P22" i="28" s="1"/>
  <c r="A24" i="28"/>
  <c r="C23" i="28"/>
  <c r="E23" i="28" s="1"/>
  <c r="I23" i="28" s="1"/>
  <c r="L24" i="28"/>
  <c r="N23" i="28"/>
  <c r="J17" i="23"/>
  <c r="P16" i="23"/>
  <c r="C19" i="23"/>
  <c r="E19" i="23" s="1"/>
  <c r="N17" i="23"/>
  <c r="L18" i="23"/>
  <c r="I18" i="23" s="1"/>
  <c r="D18" i="23"/>
  <c r="F18" i="23" s="1"/>
  <c r="B24" i="28" l="1"/>
  <c r="D23" i="28"/>
  <c r="F23" i="28" s="1"/>
  <c r="J23" i="28" s="1"/>
  <c r="P23" i="28" s="1"/>
  <c r="A25" i="28"/>
  <c r="C24" i="28"/>
  <c r="E24" i="28" s="1"/>
  <c r="I24" i="28" s="1"/>
  <c r="N24" i="28"/>
  <c r="L25" i="28"/>
  <c r="J18" i="23"/>
  <c r="P17" i="23"/>
  <c r="C20" i="23"/>
  <c r="E20" i="23" s="1"/>
  <c r="N18" i="23"/>
  <c r="L19" i="23"/>
  <c r="I19" i="23" s="1"/>
  <c r="D19" i="23"/>
  <c r="F19" i="23" s="1"/>
  <c r="B25" i="28" l="1"/>
  <c r="D24" i="28"/>
  <c r="F24" i="28" s="1"/>
  <c r="J24" i="28" s="1"/>
  <c r="P24" i="28" s="1"/>
  <c r="A26" i="28"/>
  <c r="C25" i="28"/>
  <c r="E25" i="28" s="1"/>
  <c r="I25" i="28" s="1"/>
  <c r="L26" i="28"/>
  <c r="N25" i="28"/>
  <c r="J19" i="23"/>
  <c r="P18" i="23"/>
  <c r="C21" i="23"/>
  <c r="E21" i="23" s="1"/>
  <c r="N19" i="23"/>
  <c r="L20" i="23"/>
  <c r="I20" i="23" s="1"/>
  <c r="D20" i="23"/>
  <c r="F20" i="23" s="1"/>
  <c r="B26" i="28" l="1"/>
  <c r="D25" i="28"/>
  <c r="F25" i="28" s="1"/>
  <c r="J25" i="28" s="1"/>
  <c r="P25" i="28" s="1"/>
  <c r="A27" i="28"/>
  <c r="C26" i="28"/>
  <c r="E26" i="28" s="1"/>
  <c r="I26" i="28" s="1"/>
  <c r="N26" i="28"/>
  <c r="L27" i="28"/>
  <c r="J20" i="23"/>
  <c r="P19" i="23"/>
  <c r="C22" i="23"/>
  <c r="E22" i="23" s="1"/>
  <c r="N20" i="23"/>
  <c r="L21" i="23"/>
  <c r="I21" i="23" s="1"/>
  <c r="D21" i="23"/>
  <c r="F21" i="23" s="1"/>
  <c r="D26" i="28" l="1"/>
  <c r="F26" i="28" s="1"/>
  <c r="J26" i="28" s="1"/>
  <c r="P26" i="28" s="1"/>
  <c r="B27" i="28"/>
  <c r="A28" i="28"/>
  <c r="C27" i="28"/>
  <c r="E27" i="28" s="1"/>
  <c r="I27" i="28" s="1"/>
  <c r="L28" i="28"/>
  <c r="N27" i="28"/>
  <c r="J21" i="23"/>
  <c r="P20" i="23"/>
  <c r="C23" i="23"/>
  <c r="E23" i="23" s="1"/>
  <c r="N21" i="23"/>
  <c r="L22" i="23"/>
  <c r="I22" i="23" s="1"/>
  <c r="D22" i="23"/>
  <c r="F22" i="23" s="1"/>
  <c r="B28" i="28" l="1"/>
  <c r="D27" i="28"/>
  <c r="F27" i="28" s="1"/>
  <c r="J27" i="28" s="1"/>
  <c r="P27" i="28" s="1"/>
  <c r="A29" i="28"/>
  <c r="C28" i="28"/>
  <c r="E28" i="28" s="1"/>
  <c r="I28" i="28" s="1"/>
  <c r="N28" i="28"/>
  <c r="L29" i="28"/>
  <c r="J22" i="23"/>
  <c r="P21" i="23"/>
  <c r="C24" i="23"/>
  <c r="E24" i="23" s="1"/>
  <c r="N22" i="23"/>
  <c r="L23" i="23"/>
  <c r="I23" i="23" s="1"/>
  <c r="D23" i="23"/>
  <c r="F23" i="23" s="1"/>
  <c r="D28" i="28" l="1"/>
  <c r="F28" i="28" s="1"/>
  <c r="J28" i="28" s="1"/>
  <c r="P28" i="28" s="1"/>
  <c r="B29" i="28"/>
  <c r="A30" i="28"/>
  <c r="C29" i="28"/>
  <c r="E29" i="28" s="1"/>
  <c r="I29" i="28" s="1"/>
  <c r="L30" i="28"/>
  <c r="N29" i="28"/>
  <c r="J23" i="23"/>
  <c r="P22" i="23"/>
  <c r="C25" i="23"/>
  <c r="E25" i="23" s="1"/>
  <c r="N23" i="23"/>
  <c r="L24" i="23"/>
  <c r="I24" i="23" s="1"/>
  <c r="D24" i="23"/>
  <c r="F24" i="23" s="1"/>
  <c r="D29" i="28" l="1"/>
  <c r="F29" i="28" s="1"/>
  <c r="J29" i="28" s="1"/>
  <c r="P29" i="28" s="1"/>
  <c r="B30" i="28"/>
  <c r="A31" i="28"/>
  <c r="C30" i="28"/>
  <c r="E30" i="28" s="1"/>
  <c r="I30" i="28" s="1"/>
  <c r="N30" i="28"/>
  <c r="L31" i="28"/>
  <c r="J24" i="23"/>
  <c r="P23" i="23"/>
  <c r="C26" i="23"/>
  <c r="E26" i="23" s="1"/>
  <c r="N24" i="23"/>
  <c r="L25" i="23"/>
  <c r="I25" i="23" s="1"/>
  <c r="D25" i="23"/>
  <c r="F25" i="23" s="1"/>
  <c r="D30" i="28" l="1"/>
  <c r="F30" i="28" s="1"/>
  <c r="J30" i="28" s="1"/>
  <c r="P30" i="28" s="1"/>
  <c r="B31" i="28"/>
  <c r="A32" i="28"/>
  <c r="C31" i="28"/>
  <c r="E31" i="28" s="1"/>
  <c r="I31" i="28" s="1"/>
  <c r="L32" i="28"/>
  <c r="N31" i="28"/>
  <c r="J25" i="23"/>
  <c r="P24" i="23"/>
  <c r="C27" i="23"/>
  <c r="E27" i="23" s="1"/>
  <c r="N25" i="23"/>
  <c r="L26" i="23"/>
  <c r="I26" i="23" s="1"/>
  <c r="D26" i="23"/>
  <c r="F26" i="23" s="1"/>
  <c r="D31" i="28" l="1"/>
  <c r="F31" i="28" s="1"/>
  <c r="J31" i="28" s="1"/>
  <c r="P31" i="28" s="1"/>
  <c r="B32" i="28"/>
  <c r="A33" i="28"/>
  <c r="C32" i="28"/>
  <c r="E32" i="28" s="1"/>
  <c r="I32" i="28" s="1"/>
  <c r="N32" i="28"/>
  <c r="L33" i="28"/>
  <c r="J26" i="23"/>
  <c r="P25" i="23"/>
  <c r="C28" i="23"/>
  <c r="E28" i="23" s="1"/>
  <c r="N26" i="23"/>
  <c r="L27" i="23"/>
  <c r="I27" i="23" s="1"/>
  <c r="D27" i="23"/>
  <c r="F27" i="23" s="1"/>
  <c r="B33" i="28" l="1"/>
  <c r="D32" i="28"/>
  <c r="F32" i="28" s="1"/>
  <c r="J32" i="28" s="1"/>
  <c r="P32" i="28" s="1"/>
  <c r="A34" i="28"/>
  <c r="C33" i="28"/>
  <c r="E33" i="28" s="1"/>
  <c r="I33" i="28" s="1"/>
  <c r="L34" i="28"/>
  <c r="N33" i="28"/>
  <c r="J27" i="23"/>
  <c r="P26" i="23"/>
  <c r="C29" i="23"/>
  <c r="E29" i="23" s="1"/>
  <c r="N27" i="23"/>
  <c r="L28" i="23"/>
  <c r="I28" i="23" s="1"/>
  <c r="D28" i="23"/>
  <c r="F28" i="23" s="1"/>
  <c r="B34" i="28" l="1"/>
  <c r="D33" i="28"/>
  <c r="F33" i="28" s="1"/>
  <c r="J33" i="28" s="1"/>
  <c r="P33" i="28" s="1"/>
  <c r="A35" i="28"/>
  <c r="C34" i="28"/>
  <c r="E34" i="28" s="1"/>
  <c r="I34" i="28" s="1"/>
  <c r="N34" i="28"/>
  <c r="L35" i="28"/>
  <c r="J28" i="23"/>
  <c r="P27" i="23"/>
  <c r="C30" i="23"/>
  <c r="E30" i="23" s="1"/>
  <c r="N28" i="23"/>
  <c r="L29" i="23"/>
  <c r="I29" i="23" s="1"/>
  <c r="D29" i="23"/>
  <c r="F29" i="23" s="1"/>
  <c r="D34" i="28" l="1"/>
  <c r="F34" i="28" s="1"/>
  <c r="J34" i="28" s="1"/>
  <c r="P34" i="28" s="1"/>
  <c r="B35" i="28"/>
  <c r="A36" i="28"/>
  <c r="C35" i="28"/>
  <c r="E35" i="28" s="1"/>
  <c r="I35" i="28" s="1"/>
  <c r="L36" i="28"/>
  <c r="N35" i="28"/>
  <c r="J29" i="23"/>
  <c r="P28" i="23"/>
  <c r="C31" i="23"/>
  <c r="E31" i="23" s="1"/>
  <c r="N29" i="23"/>
  <c r="L30" i="23"/>
  <c r="I30" i="23" s="1"/>
  <c r="D30" i="23"/>
  <c r="F30" i="23" s="1"/>
  <c r="B36" i="28" l="1"/>
  <c r="D35" i="28"/>
  <c r="F35" i="28" s="1"/>
  <c r="J35" i="28" s="1"/>
  <c r="P35" i="28" s="1"/>
  <c r="A37" i="28"/>
  <c r="C36" i="28"/>
  <c r="E36" i="28" s="1"/>
  <c r="I36" i="28" s="1"/>
  <c r="N36" i="28"/>
  <c r="L37" i="28"/>
  <c r="J30" i="23"/>
  <c r="P29" i="23"/>
  <c r="C32" i="23"/>
  <c r="E32" i="23" s="1"/>
  <c r="N30" i="23"/>
  <c r="L31" i="23"/>
  <c r="I31" i="23" s="1"/>
  <c r="D31" i="23"/>
  <c r="F31" i="23" s="1"/>
  <c r="D36" i="28" l="1"/>
  <c r="F36" i="28" s="1"/>
  <c r="J36" i="28" s="1"/>
  <c r="P36" i="28" s="1"/>
  <c r="B37" i="28"/>
  <c r="A38" i="28"/>
  <c r="C37" i="28"/>
  <c r="E37" i="28" s="1"/>
  <c r="I37" i="28" s="1"/>
  <c r="L38" i="28"/>
  <c r="N37" i="28"/>
  <c r="J31" i="23"/>
  <c r="P30" i="23"/>
  <c r="C33" i="23"/>
  <c r="E33" i="23" s="1"/>
  <c r="N31" i="23"/>
  <c r="L32" i="23"/>
  <c r="I32" i="23" s="1"/>
  <c r="D32" i="23"/>
  <c r="F32" i="23" s="1"/>
  <c r="B38" i="28" l="1"/>
  <c r="D37" i="28"/>
  <c r="F37" i="28" s="1"/>
  <c r="J37" i="28" s="1"/>
  <c r="P37" i="28" s="1"/>
  <c r="A39" i="28"/>
  <c r="C38" i="28"/>
  <c r="E38" i="28" s="1"/>
  <c r="I38" i="28" s="1"/>
  <c r="N38" i="28"/>
  <c r="L39" i="28"/>
  <c r="J32" i="23"/>
  <c r="P31" i="23"/>
  <c r="C34" i="23"/>
  <c r="E34" i="23" s="1"/>
  <c r="N32" i="23"/>
  <c r="L33" i="23"/>
  <c r="I33" i="23" s="1"/>
  <c r="D33" i="23"/>
  <c r="F33" i="23" s="1"/>
  <c r="D38" i="28" l="1"/>
  <c r="F38" i="28" s="1"/>
  <c r="J38" i="28" s="1"/>
  <c r="P38" i="28" s="1"/>
  <c r="B39" i="28"/>
  <c r="A40" i="28"/>
  <c r="C39" i="28"/>
  <c r="E39" i="28" s="1"/>
  <c r="I39" i="28" s="1"/>
  <c r="L40" i="28"/>
  <c r="N39" i="28"/>
  <c r="J33" i="23"/>
  <c r="P32" i="23"/>
  <c r="C35" i="23"/>
  <c r="E35" i="23" s="1"/>
  <c r="N33" i="23"/>
  <c r="L34" i="23"/>
  <c r="I34" i="23" s="1"/>
  <c r="D34" i="23"/>
  <c r="F34" i="23" s="1"/>
  <c r="B40" i="28" l="1"/>
  <c r="D39" i="28"/>
  <c r="F39" i="28" s="1"/>
  <c r="J39" i="28" s="1"/>
  <c r="P39" i="28" s="1"/>
  <c r="A41" i="28"/>
  <c r="C40" i="28"/>
  <c r="E40" i="28" s="1"/>
  <c r="I40" i="28" s="1"/>
  <c r="N40" i="28"/>
  <c r="L41" i="28"/>
  <c r="J34" i="23"/>
  <c r="P33" i="23"/>
  <c r="C36" i="23"/>
  <c r="E36" i="23" s="1"/>
  <c r="N34" i="23"/>
  <c r="L35" i="23"/>
  <c r="I35" i="23" s="1"/>
  <c r="D35" i="23"/>
  <c r="F35" i="23" s="1"/>
  <c r="D40" i="28" l="1"/>
  <c r="F40" i="28" s="1"/>
  <c r="J40" i="28" s="1"/>
  <c r="P40" i="28" s="1"/>
  <c r="B41" i="28"/>
  <c r="A42" i="28"/>
  <c r="C41" i="28"/>
  <c r="E41" i="28" s="1"/>
  <c r="I41" i="28" s="1"/>
  <c r="L42" i="28"/>
  <c r="N41" i="28"/>
  <c r="J35" i="23"/>
  <c r="P34" i="23"/>
  <c r="C37" i="23"/>
  <c r="E37" i="23" s="1"/>
  <c r="N35" i="23"/>
  <c r="L36" i="23"/>
  <c r="I36" i="23" s="1"/>
  <c r="D36" i="23"/>
  <c r="F36" i="23" s="1"/>
  <c r="B42" i="28" l="1"/>
  <c r="D41" i="28"/>
  <c r="F41" i="28" s="1"/>
  <c r="J41" i="28" s="1"/>
  <c r="P41" i="28" s="1"/>
  <c r="A43" i="28"/>
  <c r="C42" i="28"/>
  <c r="E42" i="28" s="1"/>
  <c r="I42" i="28" s="1"/>
  <c r="N42" i="28"/>
  <c r="L43" i="28"/>
  <c r="J36" i="23"/>
  <c r="P35" i="23"/>
  <c r="C38" i="23"/>
  <c r="E38" i="23" s="1"/>
  <c r="N36" i="23"/>
  <c r="L37" i="23"/>
  <c r="I37" i="23" s="1"/>
  <c r="D37" i="23"/>
  <c r="F37" i="23" s="1"/>
  <c r="D42" i="28" l="1"/>
  <c r="F42" i="28" s="1"/>
  <c r="J42" i="28" s="1"/>
  <c r="P42" i="28" s="1"/>
  <c r="B43" i="28"/>
  <c r="A44" i="28"/>
  <c r="C43" i="28"/>
  <c r="E43" i="28" s="1"/>
  <c r="I43" i="28" s="1"/>
  <c r="L44" i="28"/>
  <c r="N43" i="28"/>
  <c r="J37" i="23"/>
  <c r="P36" i="23"/>
  <c r="C39" i="23"/>
  <c r="E39" i="23" s="1"/>
  <c r="N37" i="23"/>
  <c r="L38" i="23"/>
  <c r="I38" i="23" s="1"/>
  <c r="D38" i="23"/>
  <c r="F38" i="23" s="1"/>
  <c r="B44" i="28" l="1"/>
  <c r="D43" i="28"/>
  <c r="F43" i="28" s="1"/>
  <c r="J43" i="28" s="1"/>
  <c r="P43" i="28" s="1"/>
  <c r="A45" i="28"/>
  <c r="C44" i="28"/>
  <c r="E44" i="28" s="1"/>
  <c r="I44" i="28" s="1"/>
  <c r="N44" i="28"/>
  <c r="L45" i="28"/>
  <c r="J38" i="23"/>
  <c r="P37" i="23"/>
  <c r="C40" i="23"/>
  <c r="E40" i="23" s="1"/>
  <c r="N38" i="23"/>
  <c r="L39" i="23"/>
  <c r="I39" i="23" s="1"/>
  <c r="D39" i="23"/>
  <c r="F39" i="23" s="1"/>
  <c r="D44" i="28" l="1"/>
  <c r="F44" i="28" s="1"/>
  <c r="J44" i="28" s="1"/>
  <c r="P44" i="28" s="1"/>
  <c r="B45" i="28"/>
  <c r="A46" i="28"/>
  <c r="C45" i="28"/>
  <c r="E45" i="28" s="1"/>
  <c r="I45" i="28" s="1"/>
  <c r="L46" i="28"/>
  <c r="N45" i="28"/>
  <c r="J39" i="23"/>
  <c r="P38" i="23"/>
  <c r="C41" i="23"/>
  <c r="E41" i="23" s="1"/>
  <c r="N39" i="23"/>
  <c r="L40" i="23"/>
  <c r="I40" i="23" s="1"/>
  <c r="D40" i="23"/>
  <c r="F40" i="23" s="1"/>
  <c r="D45" i="28" l="1"/>
  <c r="F45" i="28" s="1"/>
  <c r="J45" i="28" s="1"/>
  <c r="P45" i="28" s="1"/>
  <c r="B46" i="28"/>
  <c r="A47" i="28"/>
  <c r="C46" i="28"/>
  <c r="E46" i="28" s="1"/>
  <c r="I46" i="28" s="1"/>
  <c r="N46" i="28"/>
  <c r="L47" i="28"/>
  <c r="J40" i="23"/>
  <c r="P39" i="23"/>
  <c r="C42" i="23"/>
  <c r="E42" i="23" s="1"/>
  <c r="N40" i="23"/>
  <c r="L41" i="23"/>
  <c r="I41" i="23" s="1"/>
  <c r="D41" i="23"/>
  <c r="F41" i="23" s="1"/>
  <c r="D46" i="28" l="1"/>
  <c r="F46" i="28" s="1"/>
  <c r="J46" i="28" s="1"/>
  <c r="P46" i="28" s="1"/>
  <c r="B47" i="28"/>
  <c r="A48" i="28"/>
  <c r="C47" i="28"/>
  <c r="E47" i="28" s="1"/>
  <c r="I47" i="28" s="1"/>
  <c r="L48" i="28"/>
  <c r="N47" i="28"/>
  <c r="J41" i="23"/>
  <c r="P40" i="23"/>
  <c r="C43" i="23"/>
  <c r="E43" i="23" s="1"/>
  <c r="N41" i="23"/>
  <c r="L42" i="23"/>
  <c r="I42" i="23" s="1"/>
  <c r="D42" i="23"/>
  <c r="F42" i="23" s="1"/>
  <c r="B48" i="28" l="1"/>
  <c r="D47" i="28"/>
  <c r="F47" i="28" s="1"/>
  <c r="J47" i="28" s="1"/>
  <c r="P47" i="28" s="1"/>
  <c r="A49" i="28"/>
  <c r="C48" i="28"/>
  <c r="E48" i="28" s="1"/>
  <c r="I48" i="28" s="1"/>
  <c r="N48" i="28"/>
  <c r="L49" i="28"/>
  <c r="J42" i="23"/>
  <c r="P41" i="23"/>
  <c r="C44" i="23"/>
  <c r="E44" i="23" s="1"/>
  <c r="N42" i="23"/>
  <c r="L43" i="23"/>
  <c r="I43" i="23" s="1"/>
  <c r="D43" i="23"/>
  <c r="F43" i="23" s="1"/>
  <c r="D48" i="28" l="1"/>
  <c r="F48" i="28" s="1"/>
  <c r="J48" i="28" s="1"/>
  <c r="P48" i="28" s="1"/>
  <c r="B49" i="28"/>
  <c r="A50" i="28"/>
  <c r="C49" i="28"/>
  <c r="E49" i="28" s="1"/>
  <c r="I49" i="28" s="1"/>
  <c r="L50" i="28"/>
  <c r="N49" i="28"/>
  <c r="J43" i="23"/>
  <c r="P42" i="23"/>
  <c r="C45" i="23"/>
  <c r="E45" i="23" s="1"/>
  <c r="N43" i="23"/>
  <c r="L44" i="23"/>
  <c r="I44" i="23" s="1"/>
  <c r="D44" i="23"/>
  <c r="F44" i="23" s="1"/>
  <c r="B50" i="28" l="1"/>
  <c r="D49" i="28"/>
  <c r="F49" i="28" s="1"/>
  <c r="J49" i="28" s="1"/>
  <c r="P49" i="28" s="1"/>
  <c r="A51" i="28"/>
  <c r="C50" i="28"/>
  <c r="E50" i="28" s="1"/>
  <c r="I50" i="28" s="1"/>
  <c r="N50" i="28"/>
  <c r="L51" i="28"/>
  <c r="J44" i="23"/>
  <c r="P43" i="23"/>
  <c r="C46" i="23"/>
  <c r="E46" i="23" s="1"/>
  <c r="N44" i="23"/>
  <c r="L45" i="23"/>
  <c r="I45" i="23" s="1"/>
  <c r="D45" i="23"/>
  <c r="F45" i="23" s="1"/>
  <c r="B51" i="28" l="1"/>
  <c r="D50" i="28"/>
  <c r="F50" i="28" s="1"/>
  <c r="J50" i="28" s="1"/>
  <c r="P50" i="28" s="1"/>
  <c r="A52" i="28"/>
  <c r="C51" i="28"/>
  <c r="E51" i="28" s="1"/>
  <c r="I51" i="28" s="1"/>
  <c r="L52" i="28"/>
  <c r="N51" i="28"/>
  <c r="J45" i="23"/>
  <c r="P44" i="23"/>
  <c r="C47" i="23"/>
  <c r="E47" i="23" s="1"/>
  <c r="N45" i="23"/>
  <c r="L46" i="23"/>
  <c r="I46" i="23" s="1"/>
  <c r="D46" i="23"/>
  <c r="F46" i="23" s="1"/>
  <c r="D51" i="28" l="1"/>
  <c r="F51" i="28" s="1"/>
  <c r="J51" i="28" s="1"/>
  <c r="P51" i="28" s="1"/>
  <c r="B52" i="28"/>
  <c r="A53" i="28"/>
  <c r="C52" i="28"/>
  <c r="E52" i="28" s="1"/>
  <c r="I52" i="28" s="1"/>
  <c r="N52" i="28"/>
  <c r="L53" i="28"/>
  <c r="J46" i="23"/>
  <c r="P45" i="23"/>
  <c r="C48" i="23"/>
  <c r="E48" i="23" s="1"/>
  <c r="N46" i="23"/>
  <c r="L47" i="23"/>
  <c r="I47" i="23" s="1"/>
  <c r="D47" i="23"/>
  <c r="F47" i="23" s="1"/>
  <c r="D52" i="28" l="1"/>
  <c r="F52" i="28" s="1"/>
  <c r="J52" i="28" s="1"/>
  <c r="P52" i="28" s="1"/>
  <c r="B53" i="28"/>
  <c r="A54" i="28"/>
  <c r="C53" i="28"/>
  <c r="E53" i="28" s="1"/>
  <c r="I53" i="28" s="1"/>
  <c r="L54" i="28"/>
  <c r="N53" i="28"/>
  <c r="J47" i="23"/>
  <c r="P46" i="23"/>
  <c r="C49" i="23"/>
  <c r="E49" i="23" s="1"/>
  <c r="N47" i="23"/>
  <c r="L48" i="23"/>
  <c r="I48" i="23" s="1"/>
  <c r="D48" i="23"/>
  <c r="F48" i="23" s="1"/>
  <c r="B54" i="28" l="1"/>
  <c r="D53" i="28"/>
  <c r="F53" i="28" s="1"/>
  <c r="J53" i="28" s="1"/>
  <c r="P53" i="28" s="1"/>
  <c r="A55" i="28"/>
  <c r="C54" i="28"/>
  <c r="E54" i="28" s="1"/>
  <c r="I54" i="28" s="1"/>
  <c r="N54" i="28"/>
  <c r="L55" i="28"/>
  <c r="J48" i="23"/>
  <c r="P47" i="23"/>
  <c r="C50" i="23"/>
  <c r="E50" i="23" s="1"/>
  <c r="N48" i="23"/>
  <c r="L49" i="23"/>
  <c r="I49" i="23" s="1"/>
  <c r="D49" i="23"/>
  <c r="F49" i="23" s="1"/>
  <c r="D54" i="28" l="1"/>
  <c r="F54" i="28" s="1"/>
  <c r="J54" i="28" s="1"/>
  <c r="P54" i="28" s="1"/>
  <c r="B55" i="28"/>
  <c r="A56" i="28"/>
  <c r="C55" i="28"/>
  <c r="E55" i="28" s="1"/>
  <c r="I55" i="28" s="1"/>
  <c r="L56" i="28"/>
  <c r="N55" i="28"/>
  <c r="J49" i="23"/>
  <c r="P48" i="23"/>
  <c r="C51" i="23"/>
  <c r="E51" i="23" s="1"/>
  <c r="N49" i="23"/>
  <c r="L50" i="23"/>
  <c r="I50" i="23" s="1"/>
  <c r="D50" i="23"/>
  <c r="F50" i="23" s="1"/>
  <c r="B56" i="28" l="1"/>
  <c r="D55" i="28"/>
  <c r="F55" i="28" s="1"/>
  <c r="J55" i="28" s="1"/>
  <c r="P55" i="28" s="1"/>
  <c r="A57" i="28"/>
  <c r="C56" i="28"/>
  <c r="E56" i="28" s="1"/>
  <c r="I56" i="28" s="1"/>
  <c r="N56" i="28"/>
  <c r="L57" i="28"/>
  <c r="J50" i="23"/>
  <c r="P49" i="23"/>
  <c r="C52" i="23"/>
  <c r="E52" i="23" s="1"/>
  <c r="N50" i="23"/>
  <c r="L51" i="23"/>
  <c r="I51" i="23" s="1"/>
  <c r="D51" i="23"/>
  <c r="F51" i="23" s="1"/>
  <c r="D56" i="28" l="1"/>
  <c r="F56" i="28" s="1"/>
  <c r="J56" i="28" s="1"/>
  <c r="P56" i="28" s="1"/>
  <c r="B57" i="28"/>
  <c r="A58" i="28"/>
  <c r="C57" i="28"/>
  <c r="E57" i="28" s="1"/>
  <c r="I57" i="28" s="1"/>
  <c r="L58" i="28"/>
  <c r="N57" i="28"/>
  <c r="J51" i="23"/>
  <c r="P50" i="23"/>
  <c r="C53" i="23"/>
  <c r="E53" i="23" s="1"/>
  <c r="N51" i="23"/>
  <c r="L52" i="23"/>
  <c r="I52" i="23" s="1"/>
  <c r="D52" i="23"/>
  <c r="F52" i="23" s="1"/>
  <c r="D57" i="28" l="1"/>
  <c r="F57" i="28" s="1"/>
  <c r="J57" i="28" s="1"/>
  <c r="P57" i="28" s="1"/>
  <c r="B58" i="28"/>
  <c r="A59" i="28"/>
  <c r="C58" i="28"/>
  <c r="E58" i="28" s="1"/>
  <c r="I58" i="28" s="1"/>
  <c r="N58" i="28"/>
  <c r="L59" i="28"/>
  <c r="J52" i="23"/>
  <c r="P51" i="23"/>
  <c r="C54" i="23"/>
  <c r="E54" i="23" s="1"/>
  <c r="N52" i="23"/>
  <c r="L53" i="23"/>
  <c r="I53" i="23" s="1"/>
  <c r="D53" i="23"/>
  <c r="F53" i="23" s="1"/>
  <c r="D58" i="28" l="1"/>
  <c r="F58" i="28" s="1"/>
  <c r="J58" i="28" s="1"/>
  <c r="P58" i="28" s="1"/>
  <c r="B59" i="28"/>
  <c r="A60" i="28"/>
  <c r="C59" i="28"/>
  <c r="E59" i="28" s="1"/>
  <c r="I59" i="28" s="1"/>
  <c r="L60" i="28"/>
  <c r="N59" i="28"/>
  <c r="J53" i="23"/>
  <c r="P52" i="23"/>
  <c r="C55" i="23"/>
  <c r="E55" i="23" s="1"/>
  <c r="N53" i="23"/>
  <c r="L54" i="23"/>
  <c r="I54" i="23" s="1"/>
  <c r="D54" i="23"/>
  <c r="F54" i="23" s="1"/>
  <c r="B60" i="28" l="1"/>
  <c r="D59" i="28"/>
  <c r="F59" i="28" s="1"/>
  <c r="J59" i="28" s="1"/>
  <c r="P59" i="28" s="1"/>
  <c r="A61" i="28"/>
  <c r="C60" i="28"/>
  <c r="E60" i="28" s="1"/>
  <c r="I60" i="28" s="1"/>
  <c r="N60" i="28"/>
  <c r="L61" i="28"/>
  <c r="J54" i="23"/>
  <c r="P53" i="23"/>
  <c r="C56" i="23"/>
  <c r="E56" i="23" s="1"/>
  <c r="N54" i="23"/>
  <c r="L55" i="23"/>
  <c r="I55" i="23" s="1"/>
  <c r="D55" i="23"/>
  <c r="F55" i="23" s="1"/>
  <c r="D60" i="28" l="1"/>
  <c r="F60" i="28" s="1"/>
  <c r="J60" i="28" s="1"/>
  <c r="P60" i="28" s="1"/>
  <c r="B61" i="28"/>
  <c r="A62" i="28"/>
  <c r="C61" i="28"/>
  <c r="E61" i="28" s="1"/>
  <c r="I61" i="28" s="1"/>
  <c r="L62" i="28"/>
  <c r="N61" i="28"/>
  <c r="J55" i="23"/>
  <c r="P54" i="23"/>
  <c r="C57" i="23"/>
  <c r="E57" i="23" s="1"/>
  <c r="N55" i="23"/>
  <c r="L56" i="23"/>
  <c r="I56" i="23" s="1"/>
  <c r="D56" i="23"/>
  <c r="F56" i="23" s="1"/>
  <c r="B62" i="28" l="1"/>
  <c r="D61" i="28"/>
  <c r="F61" i="28" s="1"/>
  <c r="J61" i="28" s="1"/>
  <c r="P61" i="28" s="1"/>
  <c r="A63" i="28"/>
  <c r="C62" i="28"/>
  <c r="E62" i="28" s="1"/>
  <c r="I62" i="28" s="1"/>
  <c r="N62" i="28"/>
  <c r="L63" i="28"/>
  <c r="J56" i="23"/>
  <c r="P55" i="23"/>
  <c r="C58" i="23"/>
  <c r="E58" i="23" s="1"/>
  <c r="N56" i="23"/>
  <c r="L57" i="23"/>
  <c r="I57" i="23" s="1"/>
  <c r="D57" i="23"/>
  <c r="F57" i="23" s="1"/>
  <c r="D62" i="28" l="1"/>
  <c r="F62" i="28" s="1"/>
  <c r="J62" i="28" s="1"/>
  <c r="P62" i="28" s="1"/>
  <c r="B63" i="28"/>
  <c r="A64" i="28"/>
  <c r="C63" i="28"/>
  <c r="E63" i="28" s="1"/>
  <c r="I63" i="28" s="1"/>
  <c r="L64" i="28"/>
  <c r="N63" i="28"/>
  <c r="J57" i="23"/>
  <c r="P56" i="23"/>
  <c r="C59" i="23"/>
  <c r="E59" i="23" s="1"/>
  <c r="N57" i="23"/>
  <c r="L58" i="23"/>
  <c r="I58" i="23" s="1"/>
  <c r="D58" i="23"/>
  <c r="F58" i="23" s="1"/>
  <c r="D63" i="28" l="1"/>
  <c r="F63" i="28" s="1"/>
  <c r="J63" i="28" s="1"/>
  <c r="P63" i="28" s="1"/>
  <c r="B64" i="28"/>
  <c r="A65" i="28"/>
  <c r="C64" i="28"/>
  <c r="E64" i="28" s="1"/>
  <c r="I64" i="28" s="1"/>
  <c r="N64" i="28"/>
  <c r="L65" i="28"/>
  <c r="J58" i="23"/>
  <c r="P57" i="23"/>
  <c r="C60" i="23"/>
  <c r="E60" i="23" s="1"/>
  <c r="N58" i="23"/>
  <c r="L59" i="23"/>
  <c r="I59" i="23" s="1"/>
  <c r="D59" i="23"/>
  <c r="F59" i="23" s="1"/>
  <c r="D64" i="28" l="1"/>
  <c r="F64" i="28" s="1"/>
  <c r="J64" i="28" s="1"/>
  <c r="P64" i="28" s="1"/>
  <c r="B65" i="28"/>
  <c r="A66" i="28"/>
  <c r="C65" i="28"/>
  <c r="E65" i="28" s="1"/>
  <c r="I65" i="28" s="1"/>
  <c r="L66" i="28"/>
  <c r="N65" i="28"/>
  <c r="J59" i="23"/>
  <c r="P58" i="23"/>
  <c r="C61" i="23"/>
  <c r="E61" i="23" s="1"/>
  <c r="N59" i="23"/>
  <c r="L60" i="23"/>
  <c r="I60" i="23" s="1"/>
  <c r="D60" i="23"/>
  <c r="F60" i="23" s="1"/>
  <c r="D65" i="28" l="1"/>
  <c r="F65" i="28" s="1"/>
  <c r="J65" i="28" s="1"/>
  <c r="P65" i="28" s="1"/>
  <c r="B66" i="28"/>
  <c r="A67" i="28"/>
  <c r="C66" i="28"/>
  <c r="E66" i="28" s="1"/>
  <c r="I66" i="28" s="1"/>
  <c r="N66" i="28"/>
  <c r="L67" i="28"/>
  <c r="J60" i="23"/>
  <c r="P59" i="23"/>
  <c r="C62" i="23"/>
  <c r="E62" i="23" s="1"/>
  <c r="N60" i="23"/>
  <c r="L61" i="23"/>
  <c r="I61" i="23" s="1"/>
  <c r="D61" i="23"/>
  <c r="F61" i="23" s="1"/>
  <c r="D66" i="28" l="1"/>
  <c r="F66" i="28" s="1"/>
  <c r="J66" i="28" s="1"/>
  <c r="P66" i="28" s="1"/>
  <c r="B67" i="28"/>
  <c r="A68" i="28"/>
  <c r="C67" i="28"/>
  <c r="E67" i="28" s="1"/>
  <c r="I67" i="28" s="1"/>
  <c r="L68" i="28"/>
  <c r="N67" i="28"/>
  <c r="J61" i="23"/>
  <c r="P60" i="23"/>
  <c r="C63" i="23"/>
  <c r="E63" i="23" s="1"/>
  <c r="N61" i="23"/>
  <c r="L62" i="23"/>
  <c r="I62" i="23" s="1"/>
  <c r="D62" i="23"/>
  <c r="F62" i="23" s="1"/>
  <c r="B68" i="28" l="1"/>
  <c r="D67" i="28"/>
  <c r="F67" i="28" s="1"/>
  <c r="J67" i="28" s="1"/>
  <c r="P67" i="28" s="1"/>
  <c r="A69" i="28"/>
  <c r="C68" i="28"/>
  <c r="E68" i="28" s="1"/>
  <c r="I68" i="28" s="1"/>
  <c r="N68" i="28"/>
  <c r="L69" i="28"/>
  <c r="J62" i="23"/>
  <c r="P61" i="23"/>
  <c r="C64" i="23"/>
  <c r="E64" i="23" s="1"/>
  <c r="N62" i="23"/>
  <c r="L63" i="23"/>
  <c r="I63" i="23" s="1"/>
  <c r="D63" i="23"/>
  <c r="F63" i="23" s="1"/>
  <c r="D68" i="28" l="1"/>
  <c r="F68" i="28" s="1"/>
  <c r="J68" i="28" s="1"/>
  <c r="P68" i="28" s="1"/>
  <c r="B69" i="28"/>
  <c r="A70" i="28"/>
  <c r="C69" i="28"/>
  <c r="E69" i="28" s="1"/>
  <c r="I69" i="28" s="1"/>
  <c r="L70" i="28"/>
  <c r="N69" i="28"/>
  <c r="J63" i="23"/>
  <c r="P62" i="23"/>
  <c r="C65" i="23"/>
  <c r="E65" i="23" s="1"/>
  <c r="N63" i="23"/>
  <c r="L64" i="23"/>
  <c r="I64" i="23" s="1"/>
  <c r="D64" i="23"/>
  <c r="F64" i="23" s="1"/>
  <c r="B70" i="28" l="1"/>
  <c r="D69" i="28"/>
  <c r="F69" i="28" s="1"/>
  <c r="J69" i="28" s="1"/>
  <c r="P69" i="28" s="1"/>
  <c r="A71" i="28"/>
  <c r="C70" i="28"/>
  <c r="E70" i="28" s="1"/>
  <c r="I70" i="28" s="1"/>
  <c r="N70" i="28"/>
  <c r="L71" i="28"/>
  <c r="J64" i="23"/>
  <c r="P63" i="23"/>
  <c r="C66" i="23"/>
  <c r="E66" i="23" s="1"/>
  <c r="N64" i="23"/>
  <c r="L65" i="23"/>
  <c r="I65" i="23" s="1"/>
  <c r="D65" i="23"/>
  <c r="F65" i="23" s="1"/>
  <c r="D70" i="28" l="1"/>
  <c r="F70" i="28" s="1"/>
  <c r="J70" i="28" s="1"/>
  <c r="P70" i="28" s="1"/>
  <c r="B71" i="28"/>
  <c r="A72" i="28"/>
  <c r="C71" i="28"/>
  <c r="E71" i="28" s="1"/>
  <c r="I71" i="28" s="1"/>
  <c r="L72" i="28"/>
  <c r="N71" i="28"/>
  <c r="J65" i="23"/>
  <c r="P64" i="23"/>
  <c r="C67" i="23"/>
  <c r="E67" i="23" s="1"/>
  <c r="N65" i="23"/>
  <c r="L66" i="23"/>
  <c r="I66" i="23" s="1"/>
  <c r="D66" i="23"/>
  <c r="F66" i="23" s="1"/>
  <c r="B72" i="28" l="1"/>
  <c r="D71" i="28"/>
  <c r="F71" i="28" s="1"/>
  <c r="J71" i="28" s="1"/>
  <c r="P71" i="28" s="1"/>
  <c r="A73" i="28"/>
  <c r="C72" i="28"/>
  <c r="E72" i="28" s="1"/>
  <c r="I72" i="28" s="1"/>
  <c r="N72" i="28"/>
  <c r="L73" i="28"/>
  <c r="J66" i="23"/>
  <c r="P65" i="23"/>
  <c r="C68" i="23"/>
  <c r="E68" i="23" s="1"/>
  <c r="N66" i="23"/>
  <c r="L67" i="23"/>
  <c r="I67" i="23" s="1"/>
  <c r="D67" i="23"/>
  <c r="F67" i="23" s="1"/>
  <c r="D72" i="28" l="1"/>
  <c r="F72" i="28" s="1"/>
  <c r="J72" i="28" s="1"/>
  <c r="P72" i="28" s="1"/>
  <c r="B73" i="28"/>
  <c r="A74" i="28"/>
  <c r="C73" i="28"/>
  <c r="E73" i="28" s="1"/>
  <c r="I73" i="28" s="1"/>
  <c r="L74" i="28"/>
  <c r="N73" i="28"/>
  <c r="J67" i="23"/>
  <c r="P66" i="23"/>
  <c r="C69" i="23"/>
  <c r="E69" i="23" s="1"/>
  <c r="N67" i="23"/>
  <c r="L68" i="23"/>
  <c r="I68" i="23" s="1"/>
  <c r="D68" i="23"/>
  <c r="F68" i="23" s="1"/>
  <c r="B74" i="28" l="1"/>
  <c r="D73" i="28"/>
  <c r="F73" i="28" s="1"/>
  <c r="J73" i="28" s="1"/>
  <c r="P73" i="28" s="1"/>
  <c r="A75" i="28"/>
  <c r="C74" i="28"/>
  <c r="E74" i="28" s="1"/>
  <c r="I74" i="28" s="1"/>
  <c r="N74" i="28"/>
  <c r="L75" i="28"/>
  <c r="J68" i="23"/>
  <c r="P67" i="23"/>
  <c r="C70" i="23"/>
  <c r="E70" i="23" s="1"/>
  <c r="N68" i="23"/>
  <c r="L69" i="23"/>
  <c r="I69" i="23" s="1"/>
  <c r="D69" i="23"/>
  <c r="F69" i="23" s="1"/>
  <c r="D74" i="28" l="1"/>
  <c r="F74" i="28" s="1"/>
  <c r="J74" i="28" s="1"/>
  <c r="P74" i="28" s="1"/>
  <c r="B75" i="28"/>
  <c r="A76" i="28"/>
  <c r="C75" i="28"/>
  <c r="E75" i="28" s="1"/>
  <c r="I75" i="28" s="1"/>
  <c r="L76" i="28"/>
  <c r="N75" i="28"/>
  <c r="J69" i="23"/>
  <c r="P68" i="23"/>
  <c r="C71" i="23"/>
  <c r="E71" i="23" s="1"/>
  <c r="N69" i="23"/>
  <c r="L70" i="23"/>
  <c r="I70" i="23" s="1"/>
  <c r="D70" i="23"/>
  <c r="F70" i="23" s="1"/>
  <c r="D75" i="28" l="1"/>
  <c r="F75" i="28" s="1"/>
  <c r="J75" i="28" s="1"/>
  <c r="P75" i="28" s="1"/>
  <c r="B76" i="28"/>
  <c r="A77" i="28"/>
  <c r="C76" i="28"/>
  <c r="E76" i="28" s="1"/>
  <c r="I76" i="28" s="1"/>
  <c r="N76" i="28"/>
  <c r="L77" i="28"/>
  <c r="J70" i="23"/>
  <c r="P69" i="23"/>
  <c r="C72" i="23"/>
  <c r="E72" i="23" s="1"/>
  <c r="N70" i="23"/>
  <c r="L71" i="23"/>
  <c r="I71" i="23" s="1"/>
  <c r="D71" i="23"/>
  <c r="F71" i="23" s="1"/>
  <c r="B77" i="28" l="1"/>
  <c r="D76" i="28"/>
  <c r="F76" i="28" s="1"/>
  <c r="J76" i="28" s="1"/>
  <c r="P76" i="28" s="1"/>
  <c r="A78" i="28"/>
  <c r="C77" i="28"/>
  <c r="E77" i="28" s="1"/>
  <c r="I77" i="28" s="1"/>
  <c r="L78" i="28"/>
  <c r="N77" i="28"/>
  <c r="J71" i="23"/>
  <c r="P70" i="23"/>
  <c r="C73" i="23"/>
  <c r="E73" i="23" s="1"/>
  <c r="N71" i="23"/>
  <c r="L72" i="23"/>
  <c r="I72" i="23" s="1"/>
  <c r="D72" i="23"/>
  <c r="F72" i="23" s="1"/>
  <c r="B78" i="28" l="1"/>
  <c r="D77" i="28"/>
  <c r="F77" i="28" s="1"/>
  <c r="J77" i="28" s="1"/>
  <c r="P77" i="28" s="1"/>
  <c r="A79" i="28"/>
  <c r="C78" i="28"/>
  <c r="E78" i="28" s="1"/>
  <c r="I78" i="28" s="1"/>
  <c r="N78" i="28"/>
  <c r="L79" i="28"/>
  <c r="J72" i="23"/>
  <c r="P71" i="23"/>
  <c r="C74" i="23"/>
  <c r="E74" i="23" s="1"/>
  <c r="N72" i="23"/>
  <c r="L73" i="23"/>
  <c r="I73" i="23" s="1"/>
  <c r="D73" i="23"/>
  <c r="F73" i="23" s="1"/>
  <c r="D78" i="28" l="1"/>
  <c r="F78" i="28" s="1"/>
  <c r="J78" i="28" s="1"/>
  <c r="P78" i="28" s="1"/>
  <c r="B79" i="28"/>
  <c r="A80" i="28"/>
  <c r="C79" i="28"/>
  <c r="E79" i="28" s="1"/>
  <c r="I79" i="28" s="1"/>
  <c r="L80" i="28"/>
  <c r="N79" i="28"/>
  <c r="J73" i="23"/>
  <c r="P72" i="23"/>
  <c r="C75" i="23"/>
  <c r="E75" i="23" s="1"/>
  <c r="N73" i="23"/>
  <c r="L74" i="23"/>
  <c r="I74" i="23" s="1"/>
  <c r="D74" i="23"/>
  <c r="F74" i="23" s="1"/>
  <c r="B80" i="28" l="1"/>
  <c r="D79" i="28"/>
  <c r="F79" i="28" s="1"/>
  <c r="J79" i="28" s="1"/>
  <c r="P79" i="28" s="1"/>
  <c r="A81" i="28"/>
  <c r="C80" i="28"/>
  <c r="E80" i="28" s="1"/>
  <c r="I80" i="28" s="1"/>
  <c r="N80" i="28"/>
  <c r="L81" i="28"/>
  <c r="J74" i="23"/>
  <c r="P73" i="23"/>
  <c r="C76" i="23"/>
  <c r="E76" i="23" s="1"/>
  <c r="N74" i="23"/>
  <c r="L75" i="23"/>
  <c r="I75" i="23" s="1"/>
  <c r="D75" i="23"/>
  <c r="F75" i="23" s="1"/>
  <c r="D80" i="28" l="1"/>
  <c r="F80" i="28" s="1"/>
  <c r="J80" i="28" s="1"/>
  <c r="P80" i="28" s="1"/>
  <c r="B81" i="28"/>
  <c r="A82" i="28"/>
  <c r="C81" i="28"/>
  <c r="E81" i="28" s="1"/>
  <c r="I81" i="28" s="1"/>
  <c r="L82" i="28"/>
  <c r="N81" i="28"/>
  <c r="J75" i="23"/>
  <c r="P74" i="23"/>
  <c r="C77" i="23"/>
  <c r="E77" i="23" s="1"/>
  <c r="N75" i="23"/>
  <c r="L76" i="23"/>
  <c r="I76" i="23" s="1"/>
  <c r="D76" i="23"/>
  <c r="F76" i="23" s="1"/>
  <c r="B82" i="28" l="1"/>
  <c r="D81" i="28"/>
  <c r="F81" i="28" s="1"/>
  <c r="J81" i="28" s="1"/>
  <c r="P81" i="28" s="1"/>
  <c r="A83" i="28"/>
  <c r="C82" i="28"/>
  <c r="E82" i="28" s="1"/>
  <c r="I82" i="28" s="1"/>
  <c r="N82" i="28"/>
  <c r="L83" i="28"/>
  <c r="J76" i="23"/>
  <c r="P75" i="23"/>
  <c r="C78" i="23"/>
  <c r="E78" i="23" s="1"/>
  <c r="N76" i="23"/>
  <c r="L77" i="23"/>
  <c r="I77" i="23" s="1"/>
  <c r="D77" i="23"/>
  <c r="F77" i="23" s="1"/>
  <c r="B83" i="28" l="1"/>
  <c r="D82" i="28"/>
  <c r="F82" i="28" s="1"/>
  <c r="J82" i="28" s="1"/>
  <c r="P82" i="28" s="1"/>
  <c r="A84" i="28"/>
  <c r="C83" i="28"/>
  <c r="E83" i="28" s="1"/>
  <c r="I83" i="28" s="1"/>
  <c r="L84" i="28"/>
  <c r="N83" i="28"/>
  <c r="J77" i="23"/>
  <c r="P76" i="23"/>
  <c r="C79" i="23"/>
  <c r="E79" i="23" s="1"/>
  <c r="N77" i="23"/>
  <c r="L78" i="23"/>
  <c r="I78" i="23" s="1"/>
  <c r="D78" i="23"/>
  <c r="F78" i="23" s="1"/>
  <c r="D83" i="28" l="1"/>
  <c r="F83" i="28" s="1"/>
  <c r="J83" i="28" s="1"/>
  <c r="P83" i="28" s="1"/>
  <c r="B84" i="28"/>
  <c r="A85" i="28"/>
  <c r="C84" i="28"/>
  <c r="E84" i="28" s="1"/>
  <c r="I84" i="28" s="1"/>
  <c r="N84" i="28"/>
  <c r="L85" i="28"/>
  <c r="J78" i="23"/>
  <c r="P77" i="23"/>
  <c r="C80" i="23"/>
  <c r="E80" i="23" s="1"/>
  <c r="N78" i="23"/>
  <c r="L79" i="23"/>
  <c r="I79" i="23" s="1"/>
  <c r="D79" i="23"/>
  <c r="F79" i="23" s="1"/>
  <c r="D84" i="28" l="1"/>
  <c r="F84" i="28" s="1"/>
  <c r="J84" i="28" s="1"/>
  <c r="P84" i="28" s="1"/>
  <c r="B85" i="28"/>
  <c r="A86" i="28"/>
  <c r="C85" i="28"/>
  <c r="E85" i="28" s="1"/>
  <c r="I85" i="28" s="1"/>
  <c r="L86" i="28"/>
  <c r="N85" i="28"/>
  <c r="J79" i="23"/>
  <c r="P78" i="23"/>
  <c r="C81" i="23"/>
  <c r="E81" i="23" s="1"/>
  <c r="N79" i="23"/>
  <c r="L80" i="23"/>
  <c r="I80" i="23" s="1"/>
  <c r="D80" i="23"/>
  <c r="F80" i="23" s="1"/>
  <c r="D85" i="28" l="1"/>
  <c r="F85" i="28" s="1"/>
  <c r="J85" i="28" s="1"/>
  <c r="P85" i="28" s="1"/>
  <c r="B86" i="28"/>
  <c r="A87" i="28"/>
  <c r="C86" i="28"/>
  <c r="E86" i="28" s="1"/>
  <c r="I86" i="28" s="1"/>
  <c r="N86" i="28"/>
  <c r="L87" i="28"/>
  <c r="J80" i="23"/>
  <c r="P79" i="23"/>
  <c r="C82" i="23"/>
  <c r="E82" i="23" s="1"/>
  <c r="N80" i="23"/>
  <c r="L81" i="23"/>
  <c r="I81" i="23" s="1"/>
  <c r="D81" i="23"/>
  <c r="F81" i="23" s="1"/>
  <c r="B87" i="28" l="1"/>
  <c r="D86" i="28"/>
  <c r="F86" i="28" s="1"/>
  <c r="J86" i="28" s="1"/>
  <c r="P86" i="28" s="1"/>
  <c r="A88" i="28"/>
  <c r="C87" i="28"/>
  <c r="E87" i="28" s="1"/>
  <c r="I87" i="28" s="1"/>
  <c r="L88" i="28"/>
  <c r="N87" i="28"/>
  <c r="J81" i="23"/>
  <c r="P80" i="23"/>
  <c r="C83" i="23"/>
  <c r="E83" i="23" s="1"/>
  <c r="N81" i="23"/>
  <c r="L82" i="23"/>
  <c r="I82" i="23" s="1"/>
  <c r="D82" i="23"/>
  <c r="F82" i="23" s="1"/>
  <c r="B88" i="28" l="1"/>
  <c r="D87" i="28"/>
  <c r="F87" i="28" s="1"/>
  <c r="J87" i="28" s="1"/>
  <c r="P87" i="28" s="1"/>
  <c r="A89" i="28"/>
  <c r="C88" i="28"/>
  <c r="E88" i="28" s="1"/>
  <c r="I88" i="28" s="1"/>
  <c r="N88" i="28"/>
  <c r="L89" i="28"/>
  <c r="J82" i="23"/>
  <c r="P81" i="23"/>
  <c r="C84" i="23"/>
  <c r="E84" i="23" s="1"/>
  <c r="N82" i="23"/>
  <c r="L83" i="23"/>
  <c r="I83" i="23" s="1"/>
  <c r="D83" i="23"/>
  <c r="F83" i="23" s="1"/>
  <c r="B89" i="28" l="1"/>
  <c r="D88" i="28"/>
  <c r="F88" i="28" s="1"/>
  <c r="J88" i="28" s="1"/>
  <c r="P88" i="28" s="1"/>
  <c r="A90" i="28"/>
  <c r="C89" i="28"/>
  <c r="E89" i="28" s="1"/>
  <c r="I89" i="28" s="1"/>
  <c r="L90" i="28"/>
  <c r="N89" i="28"/>
  <c r="J83" i="23"/>
  <c r="P82" i="23"/>
  <c r="C85" i="23"/>
  <c r="E85" i="23" s="1"/>
  <c r="N83" i="23"/>
  <c r="L84" i="23"/>
  <c r="I84" i="23" s="1"/>
  <c r="D84" i="23"/>
  <c r="F84" i="23" s="1"/>
  <c r="D89" i="28" l="1"/>
  <c r="F89" i="28" s="1"/>
  <c r="J89" i="28" s="1"/>
  <c r="P89" i="28" s="1"/>
  <c r="B90" i="28"/>
  <c r="A91" i="28"/>
  <c r="C90" i="28"/>
  <c r="E90" i="28" s="1"/>
  <c r="I90" i="28" s="1"/>
  <c r="N90" i="28"/>
  <c r="L91" i="28"/>
  <c r="J84" i="23"/>
  <c r="P83" i="23"/>
  <c r="C86" i="23"/>
  <c r="E86" i="23" s="1"/>
  <c r="N84" i="23"/>
  <c r="L85" i="23"/>
  <c r="I85" i="23" s="1"/>
  <c r="D85" i="23"/>
  <c r="F85" i="23" s="1"/>
  <c r="B91" i="28" l="1"/>
  <c r="D90" i="28"/>
  <c r="F90" i="28" s="1"/>
  <c r="J90" i="28" s="1"/>
  <c r="P90" i="28" s="1"/>
  <c r="A92" i="28"/>
  <c r="C91" i="28"/>
  <c r="E91" i="28" s="1"/>
  <c r="I91" i="28" s="1"/>
  <c r="L92" i="28"/>
  <c r="N91" i="28"/>
  <c r="J85" i="23"/>
  <c r="P84" i="23"/>
  <c r="C87" i="23"/>
  <c r="E87" i="23" s="1"/>
  <c r="N85" i="23"/>
  <c r="L86" i="23"/>
  <c r="I86" i="23" s="1"/>
  <c r="D86" i="23"/>
  <c r="F86" i="23" s="1"/>
  <c r="D91" i="28" l="1"/>
  <c r="F91" i="28" s="1"/>
  <c r="J91" i="28" s="1"/>
  <c r="P91" i="28" s="1"/>
  <c r="B92" i="28"/>
  <c r="A93" i="28"/>
  <c r="C92" i="28"/>
  <c r="E92" i="28" s="1"/>
  <c r="I92" i="28" s="1"/>
  <c r="N92" i="28"/>
  <c r="L93" i="28"/>
  <c r="J86" i="23"/>
  <c r="P85" i="23"/>
  <c r="C88" i="23"/>
  <c r="E88" i="23" s="1"/>
  <c r="N86" i="23"/>
  <c r="L87" i="23"/>
  <c r="I87" i="23" s="1"/>
  <c r="D87" i="23"/>
  <c r="F87" i="23" s="1"/>
  <c r="D92" i="28" l="1"/>
  <c r="F92" i="28" s="1"/>
  <c r="J92" i="28" s="1"/>
  <c r="P92" i="28" s="1"/>
  <c r="B93" i="28"/>
  <c r="A94" i="28"/>
  <c r="C93" i="28"/>
  <c r="E93" i="28" s="1"/>
  <c r="I93" i="28" s="1"/>
  <c r="L94" i="28"/>
  <c r="N93" i="28"/>
  <c r="J87" i="23"/>
  <c r="P86" i="23"/>
  <c r="C89" i="23"/>
  <c r="E89" i="23" s="1"/>
  <c r="N87" i="23"/>
  <c r="L88" i="23"/>
  <c r="I88" i="23" s="1"/>
  <c r="D88" i="23"/>
  <c r="F88" i="23" s="1"/>
  <c r="D93" i="28" l="1"/>
  <c r="F93" i="28" s="1"/>
  <c r="J93" i="28" s="1"/>
  <c r="P93" i="28" s="1"/>
  <c r="B94" i="28"/>
  <c r="A95" i="28"/>
  <c r="C94" i="28"/>
  <c r="E94" i="28" s="1"/>
  <c r="I94" i="28" s="1"/>
  <c r="N94" i="28"/>
  <c r="L95" i="28"/>
  <c r="J88" i="23"/>
  <c r="P87" i="23"/>
  <c r="C90" i="23"/>
  <c r="E90" i="23" s="1"/>
  <c r="N88" i="23"/>
  <c r="L89" i="23"/>
  <c r="I89" i="23" s="1"/>
  <c r="D89" i="23"/>
  <c r="F89" i="23" s="1"/>
  <c r="B95" i="28" l="1"/>
  <c r="D94" i="28"/>
  <c r="F94" i="28" s="1"/>
  <c r="J94" i="28" s="1"/>
  <c r="P94" i="28" s="1"/>
  <c r="A96" i="28"/>
  <c r="C95" i="28"/>
  <c r="E95" i="28" s="1"/>
  <c r="I95" i="28" s="1"/>
  <c r="L96" i="28"/>
  <c r="N95" i="28"/>
  <c r="J89" i="23"/>
  <c r="P88" i="23"/>
  <c r="C91" i="23"/>
  <c r="E91" i="23" s="1"/>
  <c r="N89" i="23"/>
  <c r="L90" i="23"/>
  <c r="I90" i="23" s="1"/>
  <c r="D90" i="23"/>
  <c r="F90" i="23" s="1"/>
  <c r="B96" i="28" l="1"/>
  <c r="D95" i="28"/>
  <c r="F95" i="28" s="1"/>
  <c r="J95" i="28" s="1"/>
  <c r="P95" i="28" s="1"/>
  <c r="A97" i="28"/>
  <c r="C96" i="28"/>
  <c r="E96" i="28" s="1"/>
  <c r="I96" i="28" s="1"/>
  <c r="N96" i="28"/>
  <c r="L97" i="28"/>
  <c r="J90" i="23"/>
  <c r="P89" i="23"/>
  <c r="C92" i="23"/>
  <c r="E92" i="23" s="1"/>
  <c r="N90" i="23"/>
  <c r="L91" i="23"/>
  <c r="I91" i="23" s="1"/>
  <c r="D91" i="23"/>
  <c r="F91" i="23" s="1"/>
  <c r="B97" i="28" l="1"/>
  <c r="D96" i="28"/>
  <c r="F96" i="28" s="1"/>
  <c r="J96" i="28" s="1"/>
  <c r="P96" i="28" s="1"/>
  <c r="A98" i="28"/>
  <c r="C97" i="28"/>
  <c r="E97" i="28" s="1"/>
  <c r="I97" i="28" s="1"/>
  <c r="L98" i="28"/>
  <c r="N97" i="28"/>
  <c r="J91" i="23"/>
  <c r="P90" i="23"/>
  <c r="C93" i="23"/>
  <c r="E93" i="23" s="1"/>
  <c r="N91" i="23"/>
  <c r="L92" i="23"/>
  <c r="I92" i="23" s="1"/>
  <c r="D92" i="23"/>
  <c r="F92" i="23" s="1"/>
  <c r="D97" i="28" l="1"/>
  <c r="F97" i="28" s="1"/>
  <c r="J97" i="28" s="1"/>
  <c r="P97" i="28" s="1"/>
  <c r="B98" i="28"/>
  <c r="A99" i="28"/>
  <c r="C98" i="28"/>
  <c r="E98" i="28" s="1"/>
  <c r="I98" i="28" s="1"/>
  <c r="N98" i="28"/>
  <c r="L99" i="28"/>
  <c r="J92" i="23"/>
  <c r="P91" i="23"/>
  <c r="C94" i="23"/>
  <c r="E94" i="23" s="1"/>
  <c r="N92" i="23"/>
  <c r="L93" i="23"/>
  <c r="I93" i="23" s="1"/>
  <c r="D93" i="23"/>
  <c r="F93" i="23" s="1"/>
  <c r="D98" i="28" l="1"/>
  <c r="F98" i="28" s="1"/>
  <c r="J98" i="28" s="1"/>
  <c r="P98" i="28" s="1"/>
  <c r="B99" i="28"/>
  <c r="A100" i="28"/>
  <c r="C99" i="28"/>
  <c r="E99" i="28" s="1"/>
  <c r="I99" i="28" s="1"/>
  <c r="L100" i="28"/>
  <c r="N99" i="28"/>
  <c r="J93" i="23"/>
  <c r="P92" i="23"/>
  <c r="C95" i="23"/>
  <c r="E95" i="23" s="1"/>
  <c r="N93" i="23"/>
  <c r="L94" i="23"/>
  <c r="I94" i="23" s="1"/>
  <c r="D94" i="23"/>
  <c r="F94" i="23" s="1"/>
  <c r="D99" i="28" l="1"/>
  <c r="F99" i="28" s="1"/>
  <c r="J99" i="28" s="1"/>
  <c r="P99" i="28" s="1"/>
  <c r="B100" i="28"/>
  <c r="A101" i="28"/>
  <c r="C100" i="28"/>
  <c r="E100" i="28" s="1"/>
  <c r="I100" i="28" s="1"/>
  <c r="N100" i="28"/>
  <c r="L101" i="28"/>
  <c r="J94" i="23"/>
  <c r="P93" i="23"/>
  <c r="C96" i="23"/>
  <c r="E96" i="23" s="1"/>
  <c r="N94" i="23"/>
  <c r="L95" i="23"/>
  <c r="I95" i="23" s="1"/>
  <c r="D95" i="23"/>
  <c r="F95" i="23" s="1"/>
  <c r="D100" i="28" l="1"/>
  <c r="F100" i="28" s="1"/>
  <c r="J100" i="28" s="1"/>
  <c r="P100" i="28" s="1"/>
  <c r="B101" i="28"/>
  <c r="A102" i="28"/>
  <c r="C101" i="28"/>
  <c r="E101" i="28" s="1"/>
  <c r="I101" i="28" s="1"/>
  <c r="L102" i="28"/>
  <c r="N101" i="28"/>
  <c r="J95" i="23"/>
  <c r="P94" i="23"/>
  <c r="C97" i="23"/>
  <c r="E97" i="23" s="1"/>
  <c r="N95" i="23"/>
  <c r="L96" i="23"/>
  <c r="I96" i="23" s="1"/>
  <c r="D96" i="23"/>
  <c r="F96" i="23" s="1"/>
  <c r="D101" i="28" l="1"/>
  <c r="F101" i="28" s="1"/>
  <c r="J101" i="28" s="1"/>
  <c r="P101" i="28" s="1"/>
  <c r="B102" i="28"/>
  <c r="A103" i="28"/>
  <c r="C102" i="28"/>
  <c r="E102" i="28" s="1"/>
  <c r="I102" i="28" s="1"/>
  <c r="N102" i="28"/>
  <c r="L103" i="28"/>
  <c r="J96" i="23"/>
  <c r="P95" i="23"/>
  <c r="C98" i="23"/>
  <c r="E98" i="23" s="1"/>
  <c r="N96" i="23"/>
  <c r="L97" i="23"/>
  <c r="I97" i="23" s="1"/>
  <c r="D97" i="23"/>
  <c r="F97" i="23" s="1"/>
  <c r="D102" i="28" l="1"/>
  <c r="F102" i="28" s="1"/>
  <c r="J102" i="28" s="1"/>
  <c r="P102" i="28" s="1"/>
  <c r="B103" i="28"/>
  <c r="A104" i="28"/>
  <c r="C103" i="28"/>
  <c r="E103" i="28" s="1"/>
  <c r="I103" i="28" s="1"/>
  <c r="L104" i="28"/>
  <c r="N103" i="28"/>
  <c r="J97" i="23"/>
  <c r="P96" i="23"/>
  <c r="C99" i="23"/>
  <c r="E99" i="23" s="1"/>
  <c r="N97" i="23"/>
  <c r="L98" i="23"/>
  <c r="I98" i="23" s="1"/>
  <c r="D98" i="23"/>
  <c r="F98" i="23" s="1"/>
  <c r="D103" i="28" l="1"/>
  <c r="F103" i="28" s="1"/>
  <c r="J103" i="28" s="1"/>
  <c r="P103" i="28" s="1"/>
  <c r="B104" i="28"/>
  <c r="A105" i="28"/>
  <c r="C104" i="28"/>
  <c r="E104" i="28" s="1"/>
  <c r="I104" i="28" s="1"/>
  <c r="N104" i="28"/>
  <c r="L105" i="28"/>
  <c r="J98" i="23"/>
  <c r="P97" i="23"/>
  <c r="C100" i="23"/>
  <c r="E100" i="23" s="1"/>
  <c r="N98" i="23"/>
  <c r="L99" i="23"/>
  <c r="I99" i="23" s="1"/>
  <c r="D99" i="23"/>
  <c r="F99" i="23" s="1"/>
  <c r="B105" i="28" l="1"/>
  <c r="D104" i="28"/>
  <c r="F104" i="28" s="1"/>
  <c r="J104" i="28" s="1"/>
  <c r="P104" i="28" s="1"/>
  <c r="A106" i="28"/>
  <c r="C105" i="28"/>
  <c r="E105" i="28" s="1"/>
  <c r="I105" i="28" s="1"/>
  <c r="L106" i="28"/>
  <c r="N105" i="28"/>
  <c r="J99" i="23"/>
  <c r="P98" i="23"/>
  <c r="C101" i="23"/>
  <c r="E101" i="23" s="1"/>
  <c r="N99" i="23"/>
  <c r="L100" i="23"/>
  <c r="I100" i="23" s="1"/>
  <c r="D100" i="23"/>
  <c r="F100" i="23" s="1"/>
  <c r="D105" i="28" l="1"/>
  <c r="F105" i="28" s="1"/>
  <c r="J105" i="28" s="1"/>
  <c r="P105" i="28" s="1"/>
  <c r="B106" i="28"/>
  <c r="A107" i="28"/>
  <c r="C106" i="28"/>
  <c r="E106" i="28" s="1"/>
  <c r="I106" i="28" s="1"/>
  <c r="N106" i="28"/>
  <c r="L107" i="28"/>
  <c r="J100" i="23"/>
  <c r="P99" i="23"/>
  <c r="C102" i="23"/>
  <c r="E102" i="23" s="1"/>
  <c r="N100" i="23"/>
  <c r="L101" i="23"/>
  <c r="I101" i="23" s="1"/>
  <c r="D101" i="23"/>
  <c r="F101" i="23" s="1"/>
  <c r="D106" i="28" l="1"/>
  <c r="F106" i="28" s="1"/>
  <c r="J106" i="28" s="1"/>
  <c r="P106" i="28" s="1"/>
  <c r="B107" i="28"/>
  <c r="A108" i="28"/>
  <c r="C107" i="28"/>
  <c r="E107" i="28" s="1"/>
  <c r="I107" i="28" s="1"/>
  <c r="L108" i="28"/>
  <c r="N107" i="28"/>
  <c r="J101" i="23"/>
  <c r="P100" i="23"/>
  <c r="C103" i="23"/>
  <c r="E103" i="23" s="1"/>
  <c r="N101" i="23"/>
  <c r="L102" i="23"/>
  <c r="I102" i="23" s="1"/>
  <c r="D102" i="23"/>
  <c r="F102" i="23" s="1"/>
  <c r="B108" i="28" l="1"/>
  <c r="D107" i="28"/>
  <c r="F107" i="28" s="1"/>
  <c r="J107" i="28" s="1"/>
  <c r="P107" i="28" s="1"/>
  <c r="A109" i="28"/>
  <c r="C108" i="28"/>
  <c r="E108" i="28" s="1"/>
  <c r="I108" i="28" s="1"/>
  <c r="N108" i="28"/>
  <c r="L109" i="28"/>
  <c r="J102" i="23"/>
  <c r="P101" i="23"/>
  <c r="C104" i="23"/>
  <c r="E104" i="23" s="1"/>
  <c r="N102" i="23"/>
  <c r="L103" i="23"/>
  <c r="I103" i="23" s="1"/>
  <c r="D103" i="23"/>
  <c r="F103" i="23" s="1"/>
  <c r="B109" i="28" l="1"/>
  <c r="D108" i="28"/>
  <c r="F108" i="28" s="1"/>
  <c r="J108" i="28" s="1"/>
  <c r="P108" i="28" s="1"/>
  <c r="A110" i="28"/>
  <c r="C109" i="28"/>
  <c r="E109" i="28" s="1"/>
  <c r="I109" i="28" s="1"/>
  <c r="L110" i="28"/>
  <c r="N109" i="28"/>
  <c r="J103" i="23"/>
  <c r="P102" i="23"/>
  <c r="C105" i="23"/>
  <c r="E105" i="23" s="1"/>
  <c r="N103" i="23"/>
  <c r="L104" i="23"/>
  <c r="I104" i="23" s="1"/>
  <c r="D104" i="23"/>
  <c r="F104" i="23" s="1"/>
  <c r="B110" i="28" l="1"/>
  <c r="D109" i="28"/>
  <c r="F109" i="28" s="1"/>
  <c r="J109" i="28" s="1"/>
  <c r="P109" i="28" s="1"/>
  <c r="A111" i="28"/>
  <c r="C110" i="28"/>
  <c r="E110" i="28" s="1"/>
  <c r="I110" i="28" s="1"/>
  <c r="N110" i="28"/>
  <c r="L111" i="28"/>
  <c r="J104" i="23"/>
  <c r="P103" i="23"/>
  <c r="C106" i="23"/>
  <c r="E106" i="23" s="1"/>
  <c r="N104" i="23"/>
  <c r="L105" i="23"/>
  <c r="I105" i="23" s="1"/>
  <c r="D105" i="23"/>
  <c r="F105" i="23" s="1"/>
  <c r="D110" i="28" l="1"/>
  <c r="F110" i="28" s="1"/>
  <c r="J110" i="28" s="1"/>
  <c r="P110" i="28" s="1"/>
  <c r="B111" i="28"/>
  <c r="A112" i="28"/>
  <c r="C111" i="28"/>
  <c r="E111" i="28" s="1"/>
  <c r="I111" i="28" s="1"/>
  <c r="L112" i="28"/>
  <c r="N111" i="28"/>
  <c r="J105" i="23"/>
  <c r="P104" i="23"/>
  <c r="C107" i="23"/>
  <c r="E107" i="23" s="1"/>
  <c r="N105" i="23"/>
  <c r="L106" i="23"/>
  <c r="I106" i="23" s="1"/>
  <c r="D106" i="23"/>
  <c r="F106" i="23" s="1"/>
  <c r="D111" i="28" l="1"/>
  <c r="F111" i="28" s="1"/>
  <c r="J111" i="28" s="1"/>
  <c r="P111" i="28" s="1"/>
  <c r="B112" i="28"/>
  <c r="A113" i="28"/>
  <c r="C112" i="28"/>
  <c r="E112" i="28" s="1"/>
  <c r="I112" i="28" s="1"/>
  <c r="N112" i="28"/>
  <c r="L113" i="28"/>
  <c r="J106" i="23"/>
  <c r="P105" i="23"/>
  <c r="C108" i="23"/>
  <c r="E108" i="23" s="1"/>
  <c r="N106" i="23"/>
  <c r="L107" i="23"/>
  <c r="I107" i="23" s="1"/>
  <c r="D107" i="23"/>
  <c r="F107" i="23" s="1"/>
  <c r="B113" i="28" l="1"/>
  <c r="D112" i="28"/>
  <c r="F112" i="28" s="1"/>
  <c r="J112" i="28" s="1"/>
  <c r="P112" i="28" s="1"/>
  <c r="A114" i="28"/>
  <c r="C113" i="28"/>
  <c r="E113" i="28" s="1"/>
  <c r="I113" i="28" s="1"/>
  <c r="L114" i="28"/>
  <c r="N113" i="28"/>
  <c r="J107" i="23"/>
  <c r="P106" i="23"/>
  <c r="C109" i="23"/>
  <c r="E109" i="23" s="1"/>
  <c r="N107" i="23"/>
  <c r="L108" i="23"/>
  <c r="I108" i="23" s="1"/>
  <c r="D108" i="23"/>
  <c r="F108" i="23" s="1"/>
  <c r="B114" i="28" l="1"/>
  <c r="D113" i="28"/>
  <c r="F113" i="28" s="1"/>
  <c r="J113" i="28" s="1"/>
  <c r="P113" i="28" s="1"/>
  <c r="A115" i="28"/>
  <c r="C114" i="28"/>
  <c r="E114" i="28" s="1"/>
  <c r="I114" i="28" s="1"/>
  <c r="N114" i="28"/>
  <c r="L115" i="28"/>
  <c r="J108" i="23"/>
  <c r="P107" i="23"/>
  <c r="C110" i="23"/>
  <c r="E110" i="23" s="1"/>
  <c r="N108" i="23"/>
  <c r="L109" i="23"/>
  <c r="I109" i="23" s="1"/>
  <c r="D109" i="23"/>
  <c r="F109" i="23" s="1"/>
  <c r="B115" i="28" l="1"/>
  <c r="D114" i="28"/>
  <c r="F114" i="28" s="1"/>
  <c r="J114" i="28" s="1"/>
  <c r="P114" i="28" s="1"/>
  <c r="A116" i="28"/>
  <c r="C115" i="28"/>
  <c r="E115" i="28" s="1"/>
  <c r="I115" i="28" s="1"/>
  <c r="L116" i="28"/>
  <c r="N115" i="28"/>
  <c r="J109" i="23"/>
  <c r="P108" i="23"/>
  <c r="C111" i="23"/>
  <c r="E111" i="23" s="1"/>
  <c r="N109" i="23"/>
  <c r="L110" i="23"/>
  <c r="I110" i="23" s="1"/>
  <c r="D110" i="23"/>
  <c r="F110" i="23" s="1"/>
  <c r="B116" i="28" l="1"/>
  <c r="D115" i="28"/>
  <c r="F115" i="28" s="1"/>
  <c r="J115" i="28" s="1"/>
  <c r="P115" i="28" s="1"/>
  <c r="A117" i="28"/>
  <c r="C116" i="28"/>
  <c r="E116" i="28" s="1"/>
  <c r="I116" i="28" s="1"/>
  <c r="N116" i="28"/>
  <c r="L117" i="28"/>
  <c r="J110" i="23"/>
  <c r="P109" i="23"/>
  <c r="C112" i="23"/>
  <c r="E112" i="23" s="1"/>
  <c r="N110" i="23"/>
  <c r="L111" i="23"/>
  <c r="I111" i="23" s="1"/>
  <c r="D111" i="23"/>
  <c r="F111" i="23" s="1"/>
  <c r="D116" i="28" l="1"/>
  <c r="F116" i="28" s="1"/>
  <c r="J116" i="28" s="1"/>
  <c r="P116" i="28" s="1"/>
  <c r="B117" i="28"/>
  <c r="A118" i="28"/>
  <c r="C117" i="28"/>
  <c r="E117" i="28" s="1"/>
  <c r="I117" i="28" s="1"/>
  <c r="L118" i="28"/>
  <c r="N117" i="28"/>
  <c r="J111" i="23"/>
  <c r="P110" i="23"/>
  <c r="C113" i="23"/>
  <c r="E113" i="23" s="1"/>
  <c r="N111" i="23"/>
  <c r="L112" i="23"/>
  <c r="I112" i="23" s="1"/>
  <c r="D112" i="23"/>
  <c r="F112" i="23" s="1"/>
  <c r="B118" i="28" l="1"/>
  <c r="D117" i="28"/>
  <c r="F117" i="28" s="1"/>
  <c r="J117" i="28" s="1"/>
  <c r="P117" i="28" s="1"/>
  <c r="A119" i="28"/>
  <c r="C118" i="28"/>
  <c r="E118" i="28" s="1"/>
  <c r="I118" i="28" s="1"/>
  <c r="N118" i="28"/>
  <c r="L119" i="28"/>
  <c r="J112" i="23"/>
  <c r="P111" i="23"/>
  <c r="C114" i="23"/>
  <c r="E114" i="23" s="1"/>
  <c r="N112" i="23"/>
  <c r="L113" i="23"/>
  <c r="I113" i="23" s="1"/>
  <c r="D113" i="23"/>
  <c r="F113" i="23" s="1"/>
  <c r="B119" i="28" l="1"/>
  <c r="D118" i="28"/>
  <c r="F118" i="28" s="1"/>
  <c r="J118" i="28" s="1"/>
  <c r="P118" i="28" s="1"/>
  <c r="A120" i="28"/>
  <c r="C119" i="28"/>
  <c r="E119" i="28" s="1"/>
  <c r="I119" i="28" s="1"/>
  <c r="L120" i="28"/>
  <c r="N119" i="28"/>
  <c r="J113" i="23"/>
  <c r="P112" i="23"/>
  <c r="C115" i="23"/>
  <c r="E115" i="23" s="1"/>
  <c r="N113" i="23"/>
  <c r="L114" i="23"/>
  <c r="I114" i="23" s="1"/>
  <c r="D114" i="23"/>
  <c r="F114" i="23" s="1"/>
  <c r="B120" i="28" l="1"/>
  <c r="D119" i="28"/>
  <c r="F119" i="28" s="1"/>
  <c r="J119" i="28" s="1"/>
  <c r="P119" i="28" s="1"/>
  <c r="A121" i="28"/>
  <c r="C120" i="28"/>
  <c r="E120" i="28" s="1"/>
  <c r="I120" i="28" s="1"/>
  <c r="N120" i="28"/>
  <c r="L121" i="28"/>
  <c r="J114" i="23"/>
  <c r="P113" i="23"/>
  <c r="C116" i="23"/>
  <c r="E116" i="23" s="1"/>
  <c r="N114" i="23"/>
  <c r="L115" i="23"/>
  <c r="I115" i="23" s="1"/>
  <c r="D115" i="23"/>
  <c r="F115" i="23" s="1"/>
  <c r="B121" i="28" l="1"/>
  <c r="D120" i="28"/>
  <c r="F120" i="28" s="1"/>
  <c r="J120" i="28" s="1"/>
  <c r="P120" i="28" s="1"/>
  <c r="A122" i="28"/>
  <c r="C121" i="28"/>
  <c r="L122" i="28"/>
  <c r="N121" i="28"/>
  <c r="E121" i="28"/>
  <c r="I121" i="28" s="1"/>
  <c r="J115" i="23"/>
  <c r="P114" i="23"/>
  <c r="C117" i="23"/>
  <c r="E117" i="23" s="1"/>
  <c r="N115" i="23"/>
  <c r="L116" i="23"/>
  <c r="I116" i="23" s="1"/>
  <c r="D116" i="23"/>
  <c r="F116" i="23" s="1"/>
  <c r="B122" i="28" l="1"/>
  <c r="D121" i="28"/>
  <c r="F121" i="28" s="1"/>
  <c r="J121" i="28" s="1"/>
  <c r="P121" i="28" s="1"/>
  <c r="A123" i="28"/>
  <c r="C122" i="28"/>
  <c r="E122" i="28" s="1"/>
  <c r="I122" i="28" s="1"/>
  <c r="N122" i="28"/>
  <c r="L123" i="28"/>
  <c r="J116" i="23"/>
  <c r="P115" i="23"/>
  <c r="C118" i="23"/>
  <c r="E118" i="23" s="1"/>
  <c r="N116" i="23"/>
  <c r="L117" i="23"/>
  <c r="I117" i="23" s="1"/>
  <c r="D117" i="23"/>
  <c r="F117" i="23" s="1"/>
  <c r="D122" i="28" l="1"/>
  <c r="F122" i="28" s="1"/>
  <c r="J122" i="28" s="1"/>
  <c r="P122" i="28" s="1"/>
  <c r="B123" i="28"/>
  <c r="A124" i="28"/>
  <c r="C123" i="28"/>
  <c r="E123" i="28" s="1"/>
  <c r="I123" i="28" s="1"/>
  <c r="L124" i="28"/>
  <c r="N123" i="28"/>
  <c r="J117" i="23"/>
  <c r="P116" i="23"/>
  <c r="C119" i="23"/>
  <c r="E119" i="23" s="1"/>
  <c r="N117" i="23"/>
  <c r="L118" i="23"/>
  <c r="I118" i="23" s="1"/>
  <c r="D118" i="23"/>
  <c r="F118" i="23" s="1"/>
  <c r="D123" i="28" l="1"/>
  <c r="F123" i="28" s="1"/>
  <c r="J123" i="28" s="1"/>
  <c r="P123" i="28" s="1"/>
  <c r="B124" i="28"/>
  <c r="A125" i="28"/>
  <c r="C124" i="28"/>
  <c r="E124" i="28" s="1"/>
  <c r="I124" i="28" s="1"/>
  <c r="N124" i="28"/>
  <c r="L125" i="28"/>
  <c r="J118" i="23"/>
  <c r="P117" i="23"/>
  <c r="C120" i="23"/>
  <c r="E120" i="23" s="1"/>
  <c r="N118" i="23"/>
  <c r="L119" i="23"/>
  <c r="I119" i="23" s="1"/>
  <c r="D119" i="23"/>
  <c r="F119" i="23" s="1"/>
  <c r="D124" i="28" l="1"/>
  <c r="F124" i="28" s="1"/>
  <c r="J124" i="28" s="1"/>
  <c r="P124" i="28" s="1"/>
  <c r="B125" i="28"/>
  <c r="A126" i="28"/>
  <c r="C125" i="28"/>
  <c r="E125" i="28" s="1"/>
  <c r="I125" i="28" s="1"/>
  <c r="L126" i="28"/>
  <c r="N125" i="28"/>
  <c r="J119" i="23"/>
  <c r="P118" i="23"/>
  <c r="C121" i="23"/>
  <c r="E121" i="23" s="1"/>
  <c r="N119" i="23"/>
  <c r="L120" i="23"/>
  <c r="I120" i="23" s="1"/>
  <c r="D120" i="23"/>
  <c r="F120" i="23" s="1"/>
  <c r="B126" i="28" l="1"/>
  <c r="D125" i="28"/>
  <c r="F125" i="28" s="1"/>
  <c r="J125" i="28" s="1"/>
  <c r="P125" i="28" s="1"/>
  <c r="A127" i="28"/>
  <c r="C126" i="28"/>
  <c r="E126" i="28" s="1"/>
  <c r="I126" i="28" s="1"/>
  <c r="N126" i="28"/>
  <c r="L127" i="28"/>
  <c r="J120" i="23"/>
  <c r="P119" i="23"/>
  <c r="C122" i="23"/>
  <c r="E122" i="23" s="1"/>
  <c r="N120" i="23"/>
  <c r="L121" i="23"/>
  <c r="I121" i="23" s="1"/>
  <c r="D121" i="23"/>
  <c r="F121" i="23" s="1"/>
  <c r="B127" i="28" l="1"/>
  <c r="D126" i="28"/>
  <c r="F126" i="28" s="1"/>
  <c r="J126" i="28" s="1"/>
  <c r="P126" i="28" s="1"/>
  <c r="A128" i="28"/>
  <c r="C127" i="28"/>
  <c r="E127" i="28" s="1"/>
  <c r="I127" i="28" s="1"/>
  <c r="L128" i="28"/>
  <c r="N127" i="28"/>
  <c r="J121" i="23"/>
  <c r="P120" i="23"/>
  <c r="C123" i="23"/>
  <c r="E123" i="23" s="1"/>
  <c r="N121" i="23"/>
  <c r="L122" i="23"/>
  <c r="I122" i="23" s="1"/>
  <c r="D122" i="23"/>
  <c r="F122" i="23" s="1"/>
  <c r="B128" i="28" l="1"/>
  <c r="D127" i="28"/>
  <c r="F127" i="28" s="1"/>
  <c r="J127" i="28" s="1"/>
  <c r="P127" i="28" s="1"/>
  <c r="A129" i="28"/>
  <c r="C128" i="28"/>
  <c r="E128" i="28" s="1"/>
  <c r="I128" i="28" s="1"/>
  <c r="N128" i="28"/>
  <c r="L129" i="28"/>
  <c r="J122" i="23"/>
  <c r="P121" i="23"/>
  <c r="C124" i="23"/>
  <c r="E124" i="23" s="1"/>
  <c r="N122" i="23"/>
  <c r="L123" i="23"/>
  <c r="I123" i="23" s="1"/>
  <c r="D123" i="23"/>
  <c r="F123" i="23" s="1"/>
  <c r="B129" i="28" l="1"/>
  <c r="D128" i="28"/>
  <c r="F128" i="28" s="1"/>
  <c r="J128" i="28" s="1"/>
  <c r="P128" i="28" s="1"/>
  <c r="A130" i="28"/>
  <c r="C129" i="28"/>
  <c r="E129" i="28" s="1"/>
  <c r="I129" i="28" s="1"/>
  <c r="L130" i="28"/>
  <c r="N129" i="28"/>
  <c r="J123" i="23"/>
  <c r="P122" i="23"/>
  <c r="C125" i="23"/>
  <c r="E125" i="23" s="1"/>
  <c r="N123" i="23"/>
  <c r="L124" i="23"/>
  <c r="I124" i="23" s="1"/>
  <c r="D124" i="23"/>
  <c r="F124" i="23" s="1"/>
  <c r="B130" i="28" l="1"/>
  <c r="D129" i="28"/>
  <c r="F129" i="28" s="1"/>
  <c r="J129" i="28" s="1"/>
  <c r="P129" i="28" s="1"/>
  <c r="A131" i="28"/>
  <c r="C130" i="28"/>
  <c r="E130" i="28" s="1"/>
  <c r="I130" i="28" s="1"/>
  <c r="N130" i="28"/>
  <c r="L131" i="28"/>
  <c r="J124" i="23"/>
  <c r="P123" i="23"/>
  <c r="C126" i="23"/>
  <c r="E126" i="23" s="1"/>
  <c r="N124" i="23"/>
  <c r="L125" i="23"/>
  <c r="I125" i="23" s="1"/>
  <c r="D125" i="23"/>
  <c r="F125" i="23" s="1"/>
  <c r="B131" i="28" l="1"/>
  <c r="D130" i="28"/>
  <c r="F130" i="28" s="1"/>
  <c r="J130" i="28" s="1"/>
  <c r="P130" i="28" s="1"/>
  <c r="A132" i="28"/>
  <c r="C131" i="28"/>
  <c r="E131" i="28" s="1"/>
  <c r="I131" i="28" s="1"/>
  <c r="L132" i="28"/>
  <c r="N131" i="28"/>
  <c r="J125" i="23"/>
  <c r="C127" i="23"/>
  <c r="E127" i="23" s="1"/>
  <c r="P124" i="23"/>
  <c r="N125" i="23"/>
  <c r="L126" i="23"/>
  <c r="I126" i="23" s="1"/>
  <c r="D126" i="23"/>
  <c r="F126" i="23" s="1"/>
  <c r="B132" i="28" l="1"/>
  <c r="D131" i="28"/>
  <c r="F131" i="28" s="1"/>
  <c r="J131" i="28" s="1"/>
  <c r="P131" i="28" s="1"/>
  <c r="A133" i="28"/>
  <c r="C132" i="28"/>
  <c r="E132" i="28" s="1"/>
  <c r="I132" i="28" s="1"/>
  <c r="N132" i="28"/>
  <c r="L133" i="28"/>
  <c r="J126" i="23"/>
  <c r="P125" i="23"/>
  <c r="C128" i="23"/>
  <c r="E128" i="23" s="1"/>
  <c r="N126" i="23"/>
  <c r="L127" i="23"/>
  <c r="I127" i="23" s="1"/>
  <c r="D127" i="23"/>
  <c r="F127" i="23" s="1"/>
  <c r="D132" i="28" l="1"/>
  <c r="F132" i="28" s="1"/>
  <c r="J132" i="28" s="1"/>
  <c r="P132" i="28" s="1"/>
  <c r="B133" i="28"/>
  <c r="A134" i="28"/>
  <c r="C133" i="28"/>
  <c r="E133" i="28" s="1"/>
  <c r="I133" i="28" s="1"/>
  <c r="L134" i="28"/>
  <c r="N133" i="28"/>
  <c r="J127" i="23"/>
  <c r="P126" i="23"/>
  <c r="C129" i="23"/>
  <c r="E129" i="23" s="1"/>
  <c r="N127" i="23"/>
  <c r="L128" i="23"/>
  <c r="I128" i="23" s="1"/>
  <c r="D128" i="23"/>
  <c r="F128" i="23" s="1"/>
  <c r="B134" i="28" l="1"/>
  <c r="D133" i="28"/>
  <c r="F133" i="28" s="1"/>
  <c r="J133" i="28" s="1"/>
  <c r="P133" i="28" s="1"/>
  <c r="A135" i="28"/>
  <c r="C134" i="28"/>
  <c r="E134" i="28" s="1"/>
  <c r="I134" i="28" s="1"/>
  <c r="N134" i="28"/>
  <c r="L135" i="28"/>
  <c r="J128" i="23"/>
  <c r="C130" i="23"/>
  <c r="E130" i="23" s="1"/>
  <c r="P127" i="23"/>
  <c r="N128" i="23"/>
  <c r="L129" i="23"/>
  <c r="I129" i="23" s="1"/>
  <c r="D129" i="23"/>
  <c r="F129" i="23" s="1"/>
  <c r="D134" i="28" l="1"/>
  <c r="F134" i="28" s="1"/>
  <c r="J134" i="28" s="1"/>
  <c r="P134" i="28" s="1"/>
  <c r="B135" i="28"/>
  <c r="A136" i="28"/>
  <c r="C135" i="28"/>
  <c r="E135" i="28" s="1"/>
  <c r="I135" i="28" s="1"/>
  <c r="L136" i="28"/>
  <c r="N135" i="28"/>
  <c r="J129" i="23"/>
  <c r="C131" i="23"/>
  <c r="E131" i="23" s="1"/>
  <c r="P128" i="23"/>
  <c r="N129" i="23"/>
  <c r="L130" i="23"/>
  <c r="I130" i="23" s="1"/>
  <c r="D130" i="23"/>
  <c r="F130" i="23" s="1"/>
  <c r="B136" i="28" l="1"/>
  <c r="D135" i="28"/>
  <c r="F135" i="28" s="1"/>
  <c r="J135" i="28" s="1"/>
  <c r="P135" i="28" s="1"/>
  <c r="A137" i="28"/>
  <c r="C136" i="28"/>
  <c r="E136" i="28" s="1"/>
  <c r="I136" i="28" s="1"/>
  <c r="N136" i="28"/>
  <c r="L137" i="28"/>
  <c r="J130" i="23"/>
  <c r="P129" i="23"/>
  <c r="C132" i="23"/>
  <c r="E132" i="23" s="1"/>
  <c r="N130" i="23"/>
  <c r="L131" i="23"/>
  <c r="I131" i="23" s="1"/>
  <c r="D131" i="23"/>
  <c r="F131" i="23" s="1"/>
  <c r="D136" i="28" l="1"/>
  <c r="F136" i="28" s="1"/>
  <c r="J136" i="28" s="1"/>
  <c r="P136" i="28" s="1"/>
  <c r="B137" i="28"/>
  <c r="A138" i="28"/>
  <c r="C137" i="28"/>
  <c r="E137" i="28" s="1"/>
  <c r="I137" i="28" s="1"/>
  <c r="L138" i="28"/>
  <c r="N137" i="28"/>
  <c r="J131" i="23"/>
  <c r="P130" i="23"/>
  <c r="C133" i="23"/>
  <c r="E133" i="23" s="1"/>
  <c r="N131" i="23"/>
  <c r="L132" i="23"/>
  <c r="I132" i="23" s="1"/>
  <c r="D132" i="23"/>
  <c r="F132" i="23" s="1"/>
  <c r="B138" i="28" l="1"/>
  <c r="D137" i="28"/>
  <c r="F137" i="28" s="1"/>
  <c r="J137" i="28" s="1"/>
  <c r="P137" i="28" s="1"/>
  <c r="A139" i="28"/>
  <c r="C138" i="28"/>
  <c r="E138" i="28" s="1"/>
  <c r="I138" i="28" s="1"/>
  <c r="N138" i="28"/>
  <c r="L139" i="28"/>
  <c r="J132" i="23"/>
  <c r="C134" i="23"/>
  <c r="E134" i="23" s="1"/>
  <c r="P131" i="23"/>
  <c r="N132" i="23"/>
  <c r="L133" i="23"/>
  <c r="I133" i="23" s="1"/>
  <c r="D133" i="23"/>
  <c r="F133" i="23" s="1"/>
  <c r="D138" i="28" l="1"/>
  <c r="F138" i="28" s="1"/>
  <c r="J138" i="28" s="1"/>
  <c r="P138" i="28" s="1"/>
  <c r="B139" i="28"/>
  <c r="A140" i="28"/>
  <c r="C139" i="28"/>
  <c r="E139" i="28" s="1"/>
  <c r="I139" i="28" s="1"/>
  <c r="L140" i="28"/>
  <c r="N139" i="28"/>
  <c r="J133" i="23"/>
  <c r="P132" i="23"/>
  <c r="C135" i="23"/>
  <c r="E135" i="23" s="1"/>
  <c r="N133" i="23"/>
  <c r="L134" i="23"/>
  <c r="I134" i="23" s="1"/>
  <c r="D134" i="23"/>
  <c r="F134" i="23" s="1"/>
  <c r="D139" i="28" l="1"/>
  <c r="F139" i="28" s="1"/>
  <c r="J139" i="28" s="1"/>
  <c r="P139" i="28" s="1"/>
  <c r="B140" i="28"/>
  <c r="A141" i="28"/>
  <c r="C140" i="28"/>
  <c r="E140" i="28" s="1"/>
  <c r="I140" i="28" s="1"/>
  <c r="N140" i="28"/>
  <c r="L141" i="28"/>
  <c r="J134" i="23"/>
  <c r="C136" i="23"/>
  <c r="E136" i="23" s="1"/>
  <c r="P133" i="23"/>
  <c r="N134" i="23"/>
  <c r="L135" i="23"/>
  <c r="I135" i="23" s="1"/>
  <c r="D135" i="23"/>
  <c r="F135" i="23" s="1"/>
  <c r="B141" i="28" l="1"/>
  <c r="D140" i="28"/>
  <c r="F140" i="28" s="1"/>
  <c r="J140" i="28" s="1"/>
  <c r="P140" i="28" s="1"/>
  <c r="A142" i="28"/>
  <c r="C141" i="28"/>
  <c r="E141" i="28" s="1"/>
  <c r="I141" i="28" s="1"/>
  <c r="L142" i="28"/>
  <c r="N141" i="28"/>
  <c r="J135" i="23"/>
  <c r="C137" i="23"/>
  <c r="E137" i="23" s="1"/>
  <c r="P134" i="23"/>
  <c r="N135" i="23"/>
  <c r="L136" i="23"/>
  <c r="I136" i="23" s="1"/>
  <c r="D136" i="23"/>
  <c r="F136" i="23" s="1"/>
  <c r="D141" i="28" l="1"/>
  <c r="F141" i="28" s="1"/>
  <c r="J141" i="28" s="1"/>
  <c r="P141" i="28" s="1"/>
  <c r="B142" i="28"/>
  <c r="A143" i="28"/>
  <c r="C142" i="28"/>
  <c r="E142" i="28" s="1"/>
  <c r="I142" i="28" s="1"/>
  <c r="N142" i="28"/>
  <c r="L143" i="28"/>
  <c r="J136" i="23"/>
  <c r="C138" i="23"/>
  <c r="E138" i="23" s="1"/>
  <c r="P135" i="23"/>
  <c r="N136" i="23"/>
  <c r="L137" i="23"/>
  <c r="I137" i="23" s="1"/>
  <c r="D137" i="23"/>
  <c r="F137" i="23" s="1"/>
  <c r="D142" i="28" l="1"/>
  <c r="F142" i="28" s="1"/>
  <c r="J142" i="28" s="1"/>
  <c r="P142" i="28" s="1"/>
  <c r="B143" i="28"/>
  <c r="A144" i="28"/>
  <c r="C143" i="28"/>
  <c r="E143" i="28" s="1"/>
  <c r="I143" i="28" s="1"/>
  <c r="L144" i="28"/>
  <c r="N143" i="28"/>
  <c r="J137" i="23"/>
  <c r="C139" i="23"/>
  <c r="E139" i="23" s="1"/>
  <c r="P136" i="23"/>
  <c r="N137" i="23"/>
  <c r="L138" i="23"/>
  <c r="I138" i="23" s="1"/>
  <c r="D138" i="23"/>
  <c r="F138" i="23" s="1"/>
  <c r="D143" i="28" l="1"/>
  <c r="F143" i="28" s="1"/>
  <c r="J143" i="28" s="1"/>
  <c r="P143" i="28" s="1"/>
  <c r="B144" i="28"/>
  <c r="A145" i="28"/>
  <c r="C144" i="28"/>
  <c r="E144" i="28" s="1"/>
  <c r="I144" i="28" s="1"/>
  <c r="N144" i="28"/>
  <c r="L145" i="28"/>
  <c r="J138" i="23"/>
  <c r="C140" i="23"/>
  <c r="E140" i="23" s="1"/>
  <c r="P137" i="23"/>
  <c r="N138" i="23"/>
  <c r="L139" i="23"/>
  <c r="I139" i="23" s="1"/>
  <c r="D139" i="23"/>
  <c r="F139" i="23" s="1"/>
  <c r="D144" i="28" l="1"/>
  <c r="F144" i="28" s="1"/>
  <c r="J144" i="28" s="1"/>
  <c r="P144" i="28" s="1"/>
  <c r="B145" i="28"/>
  <c r="A146" i="28"/>
  <c r="C145" i="28"/>
  <c r="E145" i="28" s="1"/>
  <c r="I145" i="28" s="1"/>
  <c r="L146" i="28"/>
  <c r="N145" i="28"/>
  <c r="J139" i="23"/>
  <c r="C141" i="23"/>
  <c r="E141" i="23" s="1"/>
  <c r="P138" i="23"/>
  <c r="N139" i="23"/>
  <c r="L140" i="23"/>
  <c r="I140" i="23" s="1"/>
  <c r="D140" i="23"/>
  <c r="F140" i="23" s="1"/>
  <c r="B146" i="28" l="1"/>
  <c r="D145" i="28"/>
  <c r="F145" i="28" s="1"/>
  <c r="J145" i="28" s="1"/>
  <c r="P145" i="28" s="1"/>
  <c r="A147" i="28"/>
  <c r="C146" i="28"/>
  <c r="E146" i="28" s="1"/>
  <c r="I146" i="28" s="1"/>
  <c r="N146" i="28"/>
  <c r="L147" i="28"/>
  <c r="J140" i="23"/>
  <c r="C142" i="23"/>
  <c r="E142" i="23" s="1"/>
  <c r="P139" i="23"/>
  <c r="N140" i="23"/>
  <c r="L141" i="23"/>
  <c r="I141" i="23" s="1"/>
  <c r="D141" i="23"/>
  <c r="F141" i="23" s="1"/>
  <c r="D146" i="28" l="1"/>
  <c r="F146" i="28" s="1"/>
  <c r="J146" i="28" s="1"/>
  <c r="P146" i="28" s="1"/>
  <c r="B147" i="28"/>
  <c r="A148" i="28"/>
  <c r="C147" i="28"/>
  <c r="E147" i="28" s="1"/>
  <c r="I147" i="28" s="1"/>
  <c r="L148" i="28"/>
  <c r="N147" i="28"/>
  <c r="J141" i="23"/>
  <c r="C143" i="23"/>
  <c r="E143" i="23" s="1"/>
  <c r="P140" i="23"/>
  <c r="N141" i="23"/>
  <c r="L142" i="23"/>
  <c r="I142" i="23" s="1"/>
  <c r="D142" i="23"/>
  <c r="F142" i="23" s="1"/>
  <c r="B148" i="28" l="1"/>
  <c r="D147" i="28"/>
  <c r="F147" i="28" s="1"/>
  <c r="J147" i="28" s="1"/>
  <c r="P147" i="28" s="1"/>
  <c r="A149" i="28"/>
  <c r="C148" i="28"/>
  <c r="E148" i="28" s="1"/>
  <c r="I148" i="28" s="1"/>
  <c r="N148" i="28"/>
  <c r="L149" i="28"/>
  <c r="J142" i="23"/>
  <c r="C144" i="23"/>
  <c r="E144" i="23" s="1"/>
  <c r="P141" i="23"/>
  <c r="N142" i="23"/>
  <c r="L143" i="23"/>
  <c r="I143" i="23" s="1"/>
  <c r="D143" i="23"/>
  <c r="F143" i="23" s="1"/>
  <c r="D148" i="28" l="1"/>
  <c r="F148" i="28" s="1"/>
  <c r="J148" i="28" s="1"/>
  <c r="P148" i="28" s="1"/>
  <c r="B149" i="28"/>
  <c r="A150" i="28"/>
  <c r="C149" i="28"/>
  <c r="E149" i="28" s="1"/>
  <c r="I149" i="28" s="1"/>
  <c r="L150" i="28"/>
  <c r="N149" i="28"/>
  <c r="J143" i="23"/>
  <c r="C145" i="23"/>
  <c r="E145" i="23" s="1"/>
  <c r="P142" i="23"/>
  <c r="N143" i="23"/>
  <c r="L144" i="23"/>
  <c r="I144" i="23" s="1"/>
  <c r="D144" i="23"/>
  <c r="F144" i="23" s="1"/>
  <c r="D149" i="28" l="1"/>
  <c r="F149" i="28" s="1"/>
  <c r="J149" i="28" s="1"/>
  <c r="P149" i="28" s="1"/>
  <c r="B150" i="28"/>
  <c r="A151" i="28"/>
  <c r="C150" i="28"/>
  <c r="E150" i="28" s="1"/>
  <c r="I150" i="28" s="1"/>
  <c r="N150" i="28"/>
  <c r="L151" i="28"/>
  <c r="J144" i="23"/>
  <c r="C146" i="23"/>
  <c r="E146" i="23" s="1"/>
  <c r="P143" i="23"/>
  <c r="N144" i="23"/>
  <c r="L145" i="23"/>
  <c r="I145" i="23" s="1"/>
  <c r="D145" i="23"/>
  <c r="F145" i="23" s="1"/>
  <c r="D150" i="28" l="1"/>
  <c r="F150" i="28" s="1"/>
  <c r="J150" i="28" s="1"/>
  <c r="P150" i="28" s="1"/>
  <c r="B151" i="28"/>
  <c r="A152" i="28"/>
  <c r="C151" i="28"/>
  <c r="E151" i="28" s="1"/>
  <c r="I151" i="28" s="1"/>
  <c r="L152" i="28"/>
  <c r="N151" i="28"/>
  <c r="J145" i="23"/>
  <c r="C147" i="23"/>
  <c r="E147" i="23" s="1"/>
  <c r="P144" i="23"/>
  <c r="N145" i="23"/>
  <c r="L146" i="23"/>
  <c r="I146" i="23" s="1"/>
  <c r="D146" i="23"/>
  <c r="F146" i="23" s="1"/>
  <c r="B152" i="28" l="1"/>
  <c r="D151" i="28"/>
  <c r="F151" i="28" s="1"/>
  <c r="J151" i="28" s="1"/>
  <c r="P151" i="28" s="1"/>
  <c r="A153" i="28"/>
  <c r="C152" i="28"/>
  <c r="E152" i="28" s="1"/>
  <c r="I152" i="28" s="1"/>
  <c r="N152" i="28"/>
  <c r="L153" i="28"/>
  <c r="J146" i="23"/>
  <c r="C148" i="23"/>
  <c r="E148" i="23" s="1"/>
  <c r="P145" i="23"/>
  <c r="N146" i="23"/>
  <c r="L147" i="23"/>
  <c r="I147" i="23" s="1"/>
  <c r="D147" i="23"/>
  <c r="F147" i="23" s="1"/>
  <c r="D152" i="28" l="1"/>
  <c r="F152" i="28" s="1"/>
  <c r="J152" i="28" s="1"/>
  <c r="P152" i="28" s="1"/>
  <c r="B153" i="28"/>
  <c r="A154" i="28"/>
  <c r="C153" i="28"/>
  <c r="E153" i="28" s="1"/>
  <c r="I153" i="28" s="1"/>
  <c r="L154" i="28"/>
  <c r="N153" i="28"/>
  <c r="J147" i="23"/>
  <c r="C149" i="23"/>
  <c r="E149" i="23" s="1"/>
  <c r="P146" i="23"/>
  <c r="N147" i="23"/>
  <c r="L148" i="23"/>
  <c r="I148" i="23" s="1"/>
  <c r="D148" i="23"/>
  <c r="F148" i="23" s="1"/>
  <c r="B154" i="28" l="1"/>
  <c r="D153" i="28"/>
  <c r="F153" i="28" s="1"/>
  <c r="J153" i="28" s="1"/>
  <c r="P153" i="28" s="1"/>
  <c r="A155" i="28"/>
  <c r="C154" i="28"/>
  <c r="E154" i="28" s="1"/>
  <c r="I154" i="28" s="1"/>
  <c r="N154" i="28"/>
  <c r="L155" i="28"/>
  <c r="J148" i="23"/>
  <c r="C150" i="23"/>
  <c r="E150" i="23" s="1"/>
  <c r="P147" i="23"/>
  <c r="N148" i="23"/>
  <c r="L149" i="23"/>
  <c r="I149" i="23" s="1"/>
  <c r="D149" i="23"/>
  <c r="F149" i="23" s="1"/>
  <c r="D154" i="28" l="1"/>
  <c r="F154" i="28" s="1"/>
  <c r="J154" i="28" s="1"/>
  <c r="P154" i="28" s="1"/>
  <c r="B155" i="28"/>
  <c r="A156" i="28"/>
  <c r="C155" i="28"/>
  <c r="E155" i="28" s="1"/>
  <c r="I155" i="28" s="1"/>
  <c r="L156" i="28"/>
  <c r="N155" i="28"/>
  <c r="J149" i="23"/>
  <c r="C151" i="23"/>
  <c r="E151" i="23" s="1"/>
  <c r="P148" i="23"/>
  <c r="N149" i="23"/>
  <c r="L150" i="23"/>
  <c r="I150" i="23" s="1"/>
  <c r="D150" i="23"/>
  <c r="F150" i="23" s="1"/>
  <c r="B156" i="28" l="1"/>
  <c r="D155" i="28"/>
  <c r="F155" i="28" s="1"/>
  <c r="J155" i="28" s="1"/>
  <c r="P155" i="28" s="1"/>
  <c r="A157" i="28"/>
  <c r="C156" i="28"/>
  <c r="E156" i="28" s="1"/>
  <c r="I156" i="28" s="1"/>
  <c r="N156" i="28"/>
  <c r="L157" i="28"/>
  <c r="J150" i="23"/>
  <c r="C152" i="23"/>
  <c r="E152" i="23" s="1"/>
  <c r="P149" i="23"/>
  <c r="N150" i="23"/>
  <c r="L151" i="23"/>
  <c r="I151" i="23" s="1"/>
  <c r="D151" i="23"/>
  <c r="F151" i="23" s="1"/>
  <c r="D156" i="28" l="1"/>
  <c r="F156" i="28" s="1"/>
  <c r="J156" i="28" s="1"/>
  <c r="P156" i="28" s="1"/>
  <c r="B157" i="28"/>
  <c r="A158" i="28"/>
  <c r="C157" i="28"/>
  <c r="L158" i="28"/>
  <c r="N157" i="28"/>
  <c r="E157" i="28"/>
  <c r="I157" i="28" s="1"/>
  <c r="J151" i="23"/>
  <c r="C153" i="23"/>
  <c r="E153" i="23" s="1"/>
  <c r="P150" i="23"/>
  <c r="N151" i="23"/>
  <c r="L152" i="23"/>
  <c r="I152" i="23" s="1"/>
  <c r="D152" i="23"/>
  <c r="F152" i="23" s="1"/>
  <c r="B158" i="28" l="1"/>
  <c r="D157" i="28"/>
  <c r="F157" i="28" s="1"/>
  <c r="J157" i="28" s="1"/>
  <c r="P157" i="28" s="1"/>
  <c r="A159" i="28"/>
  <c r="C158" i="28"/>
  <c r="E158" i="28" s="1"/>
  <c r="I158" i="28" s="1"/>
  <c r="N158" i="28"/>
  <c r="L159" i="28"/>
  <c r="J152" i="23"/>
  <c r="C154" i="23"/>
  <c r="E154" i="23" s="1"/>
  <c r="P151" i="23"/>
  <c r="N152" i="23"/>
  <c r="L153" i="23"/>
  <c r="I153" i="23" s="1"/>
  <c r="D153" i="23"/>
  <c r="F153" i="23" s="1"/>
  <c r="D158" i="28" l="1"/>
  <c r="F158" i="28" s="1"/>
  <c r="J158" i="28" s="1"/>
  <c r="P158" i="28" s="1"/>
  <c r="B159" i="28"/>
  <c r="A160" i="28"/>
  <c r="C159" i="28"/>
  <c r="E159" i="28" s="1"/>
  <c r="I159" i="28" s="1"/>
  <c r="L160" i="28"/>
  <c r="N159" i="28"/>
  <c r="J153" i="23"/>
  <c r="C155" i="23"/>
  <c r="E155" i="23" s="1"/>
  <c r="P152" i="23"/>
  <c r="N153" i="23"/>
  <c r="L154" i="23"/>
  <c r="I154" i="23" s="1"/>
  <c r="D154" i="23"/>
  <c r="F154" i="23" s="1"/>
  <c r="B160" i="28" l="1"/>
  <c r="D159" i="28"/>
  <c r="F159" i="28" s="1"/>
  <c r="J159" i="28" s="1"/>
  <c r="P159" i="28" s="1"/>
  <c r="A161" i="28"/>
  <c r="C160" i="28"/>
  <c r="E160" i="28" s="1"/>
  <c r="I160" i="28" s="1"/>
  <c r="N160" i="28"/>
  <c r="L161" i="28"/>
  <c r="J154" i="23"/>
  <c r="C156" i="23"/>
  <c r="E156" i="23" s="1"/>
  <c r="P153" i="23"/>
  <c r="N154" i="23"/>
  <c r="L155" i="23"/>
  <c r="I155" i="23" s="1"/>
  <c r="D155" i="23"/>
  <c r="F155" i="23" s="1"/>
  <c r="D160" i="28" l="1"/>
  <c r="F160" i="28" s="1"/>
  <c r="J160" i="28" s="1"/>
  <c r="P160" i="28" s="1"/>
  <c r="B161" i="28"/>
  <c r="A162" i="28"/>
  <c r="C161" i="28"/>
  <c r="E161" i="28" s="1"/>
  <c r="I161" i="28" s="1"/>
  <c r="L162" i="28"/>
  <c r="N161" i="28"/>
  <c r="J155" i="23"/>
  <c r="C157" i="23"/>
  <c r="E157" i="23" s="1"/>
  <c r="P154" i="23"/>
  <c r="N155" i="23"/>
  <c r="L156" i="23"/>
  <c r="I156" i="23" s="1"/>
  <c r="D156" i="23"/>
  <c r="F156" i="23" s="1"/>
  <c r="B162" i="28" l="1"/>
  <c r="D161" i="28"/>
  <c r="F161" i="28" s="1"/>
  <c r="J161" i="28" s="1"/>
  <c r="P161" i="28" s="1"/>
  <c r="A163" i="28"/>
  <c r="C162" i="28"/>
  <c r="E162" i="28" s="1"/>
  <c r="I162" i="28" s="1"/>
  <c r="N162" i="28"/>
  <c r="L163" i="28"/>
  <c r="J156" i="23"/>
  <c r="C158" i="23"/>
  <c r="E158" i="23" s="1"/>
  <c r="P155" i="23"/>
  <c r="N156" i="23"/>
  <c r="L157" i="23"/>
  <c r="I157" i="23" s="1"/>
  <c r="D157" i="23"/>
  <c r="F157" i="23" s="1"/>
  <c r="D162" i="28" l="1"/>
  <c r="F162" i="28" s="1"/>
  <c r="J162" i="28" s="1"/>
  <c r="P162" i="28" s="1"/>
  <c r="B163" i="28"/>
  <c r="A164" i="28"/>
  <c r="C163" i="28"/>
  <c r="E163" i="28" s="1"/>
  <c r="I163" i="28" s="1"/>
  <c r="L164" i="28"/>
  <c r="N163" i="28"/>
  <c r="J157" i="23"/>
  <c r="C159" i="23"/>
  <c r="E159" i="23" s="1"/>
  <c r="P156" i="23"/>
  <c r="N157" i="23"/>
  <c r="L158" i="23"/>
  <c r="I158" i="23" s="1"/>
  <c r="D158" i="23"/>
  <c r="F158" i="23" s="1"/>
  <c r="D163" i="28" l="1"/>
  <c r="F163" i="28" s="1"/>
  <c r="J163" i="28" s="1"/>
  <c r="P163" i="28" s="1"/>
  <c r="B164" i="28"/>
  <c r="A165" i="28"/>
  <c r="C164" i="28"/>
  <c r="E164" i="28" s="1"/>
  <c r="I164" i="28" s="1"/>
  <c r="N164" i="28"/>
  <c r="L165" i="28"/>
  <c r="J158" i="23"/>
  <c r="C160" i="23"/>
  <c r="E160" i="23" s="1"/>
  <c r="P157" i="23"/>
  <c r="N158" i="23"/>
  <c r="L159" i="23"/>
  <c r="I159" i="23" s="1"/>
  <c r="D159" i="23"/>
  <c r="F159" i="23" s="1"/>
  <c r="B165" i="28" l="1"/>
  <c r="D164" i="28"/>
  <c r="F164" i="28" s="1"/>
  <c r="J164" i="28" s="1"/>
  <c r="P164" i="28" s="1"/>
  <c r="A166" i="28"/>
  <c r="C165" i="28"/>
  <c r="E165" i="28" s="1"/>
  <c r="I165" i="28" s="1"/>
  <c r="L166" i="28"/>
  <c r="N165" i="28"/>
  <c r="J159" i="23"/>
  <c r="C161" i="23"/>
  <c r="E161" i="23" s="1"/>
  <c r="P158" i="23"/>
  <c r="N159" i="23"/>
  <c r="L160" i="23"/>
  <c r="I160" i="23" s="1"/>
  <c r="D160" i="23"/>
  <c r="F160" i="23" s="1"/>
  <c r="D165" i="28" l="1"/>
  <c r="F165" i="28" s="1"/>
  <c r="J165" i="28" s="1"/>
  <c r="P165" i="28" s="1"/>
  <c r="B166" i="28"/>
  <c r="A167" i="28"/>
  <c r="C166" i="28"/>
  <c r="E166" i="28" s="1"/>
  <c r="I166" i="28" s="1"/>
  <c r="N166" i="28"/>
  <c r="L167" i="28"/>
  <c r="J160" i="23"/>
  <c r="C162" i="23"/>
  <c r="E162" i="23" s="1"/>
  <c r="P159" i="23"/>
  <c r="N160" i="23"/>
  <c r="L161" i="23"/>
  <c r="I161" i="23" s="1"/>
  <c r="D161" i="23"/>
  <c r="F161" i="23" s="1"/>
  <c r="D166" i="28" l="1"/>
  <c r="F166" i="28" s="1"/>
  <c r="J166" i="28" s="1"/>
  <c r="P166" i="28" s="1"/>
  <c r="B167" i="28"/>
  <c r="A168" i="28"/>
  <c r="C167" i="28"/>
  <c r="E167" i="28" s="1"/>
  <c r="I167" i="28" s="1"/>
  <c r="L168" i="28"/>
  <c r="N167" i="28"/>
  <c r="J161" i="23"/>
  <c r="C163" i="23"/>
  <c r="E163" i="23" s="1"/>
  <c r="P160" i="23"/>
  <c r="N161" i="23"/>
  <c r="L162" i="23"/>
  <c r="I162" i="23" s="1"/>
  <c r="D162" i="23"/>
  <c r="F162" i="23" s="1"/>
  <c r="B168" i="28" l="1"/>
  <c r="D167" i="28"/>
  <c r="F167" i="28" s="1"/>
  <c r="J167" i="28" s="1"/>
  <c r="P167" i="28" s="1"/>
  <c r="A169" i="28"/>
  <c r="C168" i="28"/>
  <c r="E168" i="28" s="1"/>
  <c r="I168" i="28" s="1"/>
  <c r="N168" i="28"/>
  <c r="L169" i="28"/>
  <c r="J162" i="23"/>
  <c r="C164" i="23"/>
  <c r="E164" i="23" s="1"/>
  <c r="P161" i="23"/>
  <c r="N162" i="23"/>
  <c r="L163" i="23"/>
  <c r="I163" i="23" s="1"/>
  <c r="D163" i="23"/>
  <c r="F163" i="23" s="1"/>
  <c r="D168" i="28" l="1"/>
  <c r="F168" i="28" s="1"/>
  <c r="J168" i="28" s="1"/>
  <c r="P168" i="28" s="1"/>
  <c r="B169" i="28"/>
  <c r="A170" i="28"/>
  <c r="C169" i="28"/>
  <c r="E169" i="28" s="1"/>
  <c r="I169" i="28" s="1"/>
  <c r="L170" i="28"/>
  <c r="N169" i="28"/>
  <c r="J163" i="23"/>
  <c r="C165" i="23"/>
  <c r="E165" i="23" s="1"/>
  <c r="P162" i="23"/>
  <c r="N163" i="23"/>
  <c r="L164" i="23"/>
  <c r="I164" i="23" s="1"/>
  <c r="D164" i="23"/>
  <c r="F164" i="23" s="1"/>
  <c r="D169" i="28" l="1"/>
  <c r="F169" i="28" s="1"/>
  <c r="J169" i="28" s="1"/>
  <c r="P169" i="28" s="1"/>
  <c r="B170" i="28"/>
  <c r="A171" i="28"/>
  <c r="C170" i="28"/>
  <c r="E170" i="28" s="1"/>
  <c r="I170" i="28" s="1"/>
  <c r="N170" i="28"/>
  <c r="L171" i="28"/>
  <c r="J164" i="23"/>
  <c r="C166" i="23"/>
  <c r="E166" i="23" s="1"/>
  <c r="P163" i="23"/>
  <c r="N164" i="23"/>
  <c r="L165" i="23"/>
  <c r="I165" i="23" s="1"/>
  <c r="D165" i="23"/>
  <c r="F165" i="23" s="1"/>
  <c r="D170" i="28" l="1"/>
  <c r="F170" i="28" s="1"/>
  <c r="J170" i="28" s="1"/>
  <c r="P170" i="28" s="1"/>
  <c r="B171" i="28"/>
  <c r="A172" i="28"/>
  <c r="C171" i="28"/>
  <c r="E171" i="28" s="1"/>
  <c r="I171" i="28" s="1"/>
  <c r="L172" i="28"/>
  <c r="N171" i="28"/>
  <c r="J165" i="23"/>
  <c r="C167" i="23"/>
  <c r="E167" i="23" s="1"/>
  <c r="P164" i="23"/>
  <c r="N165" i="23"/>
  <c r="L166" i="23"/>
  <c r="I166" i="23" s="1"/>
  <c r="D166" i="23"/>
  <c r="F166" i="23" s="1"/>
  <c r="B172" i="28" l="1"/>
  <c r="D171" i="28"/>
  <c r="F171" i="28" s="1"/>
  <c r="J171" i="28" s="1"/>
  <c r="P171" i="28" s="1"/>
  <c r="A173" i="28"/>
  <c r="C172" i="28"/>
  <c r="E172" i="28" s="1"/>
  <c r="I172" i="28" s="1"/>
  <c r="N172" i="28"/>
  <c r="L173" i="28"/>
  <c r="J166" i="23"/>
  <c r="C168" i="23"/>
  <c r="E168" i="23" s="1"/>
  <c r="P165" i="23"/>
  <c r="N166" i="23"/>
  <c r="L167" i="23"/>
  <c r="I167" i="23" s="1"/>
  <c r="D167" i="23"/>
  <c r="F167" i="23" s="1"/>
  <c r="D172" i="28" l="1"/>
  <c r="F172" i="28" s="1"/>
  <c r="J172" i="28" s="1"/>
  <c r="P172" i="28" s="1"/>
  <c r="B173" i="28"/>
  <c r="A174" i="28"/>
  <c r="C173" i="28"/>
  <c r="E173" i="28" s="1"/>
  <c r="I173" i="28" s="1"/>
  <c r="L174" i="28"/>
  <c r="N173" i="28"/>
  <c r="J167" i="23"/>
  <c r="C169" i="23"/>
  <c r="E169" i="23" s="1"/>
  <c r="P166" i="23"/>
  <c r="N167" i="23"/>
  <c r="L168" i="23"/>
  <c r="I168" i="23" s="1"/>
  <c r="D168" i="23"/>
  <c r="F168" i="23" s="1"/>
  <c r="B174" i="28" l="1"/>
  <c r="D173" i="28"/>
  <c r="F173" i="28" s="1"/>
  <c r="J173" i="28" s="1"/>
  <c r="P173" i="28" s="1"/>
  <c r="A175" i="28"/>
  <c r="C174" i="28"/>
  <c r="E174" i="28" s="1"/>
  <c r="I174" i="28" s="1"/>
  <c r="N174" i="28"/>
  <c r="L175" i="28"/>
  <c r="J168" i="23"/>
  <c r="C170" i="23"/>
  <c r="E170" i="23" s="1"/>
  <c r="P167" i="23"/>
  <c r="N168" i="23"/>
  <c r="L169" i="23"/>
  <c r="I169" i="23" s="1"/>
  <c r="D169" i="23"/>
  <c r="F169" i="23" s="1"/>
  <c r="D174" i="28" l="1"/>
  <c r="F174" i="28" s="1"/>
  <c r="J174" i="28" s="1"/>
  <c r="P174" i="28" s="1"/>
  <c r="B175" i="28"/>
  <c r="A176" i="28"/>
  <c r="C175" i="28"/>
  <c r="E175" i="28" s="1"/>
  <c r="I175" i="28" s="1"/>
  <c r="L176" i="28"/>
  <c r="N175" i="28"/>
  <c r="J169" i="23"/>
  <c r="C171" i="23"/>
  <c r="E171" i="23" s="1"/>
  <c r="P168" i="23"/>
  <c r="N169" i="23"/>
  <c r="L170" i="23"/>
  <c r="I170" i="23" s="1"/>
  <c r="D170" i="23"/>
  <c r="F170" i="23" s="1"/>
  <c r="D175" i="28" l="1"/>
  <c r="F175" i="28" s="1"/>
  <c r="J175" i="28" s="1"/>
  <c r="P175" i="28" s="1"/>
  <c r="B176" i="28"/>
  <c r="A177" i="28"/>
  <c r="C176" i="28"/>
  <c r="E176" i="28" s="1"/>
  <c r="I176" i="28" s="1"/>
  <c r="N176" i="28"/>
  <c r="L177" i="28"/>
  <c r="J170" i="23"/>
  <c r="C172" i="23"/>
  <c r="E172" i="23" s="1"/>
  <c r="P169" i="23"/>
  <c r="N170" i="23"/>
  <c r="L171" i="23"/>
  <c r="I171" i="23" s="1"/>
  <c r="D171" i="23"/>
  <c r="F171" i="23" s="1"/>
  <c r="D176" i="28" l="1"/>
  <c r="F176" i="28" s="1"/>
  <c r="J176" i="28" s="1"/>
  <c r="P176" i="28" s="1"/>
  <c r="B177" i="28"/>
  <c r="A178" i="28"/>
  <c r="C177" i="28"/>
  <c r="E177" i="28" s="1"/>
  <c r="I177" i="28" s="1"/>
  <c r="L178" i="28"/>
  <c r="N177" i="28"/>
  <c r="J171" i="23"/>
  <c r="C173" i="23"/>
  <c r="E173" i="23" s="1"/>
  <c r="P170" i="23"/>
  <c r="N171" i="23"/>
  <c r="L172" i="23"/>
  <c r="I172" i="23" s="1"/>
  <c r="D172" i="23"/>
  <c r="F172" i="23" s="1"/>
  <c r="D177" i="28" l="1"/>
  <c r="F177" i="28" s="1"/>
  <c r="J177" i="28" s="1"/>
  <c r="P177" i="28" s="1"/>
  <c r="B178" i="28"/>
  <c r="A179" i="28"/>
  <c r="C178" i="28"/>
  <c r="E178" i="28" s="1"/>
  <c r="I178" i="28" s="1"/>
  <c r="N178" i="28"/>
  <c r="L179" i="28"/>
  <c r="J172" i="23"/>
  <c r="C174" i="23"/>
  <c r="E174" i="23" s="1"/>
  <c r="P171" i="23"/>
  <c r="N172" i="23"/>
  <c r="L173" i="23"/>
  <c r="I173" i="23" s="1"/>
  <c r="D173" i="23"/>
  <c r="F173" i="23" s="1"/>
  <c r="D178" i="28" l="1"/>
  <c r="F178" i="28" s="1"/>
  <c r="J178" i="28" s="1"/>
  <c r="P178" i="28" s="1"/>
  <c r="B179" i="28"/>
  <c r="A180" i="28"/>
  <c r="C179" i="28"/>
  <c r="E179" i="28" s="1"/>
  <c r="I179" i="28" s="1"/>
  <c r="L180" i="28"/>
  <c r="N179" i="28"/>
  <c r="J173" i="23"/>
  <c r="C175" i="23"/>
  <c r="E175" i="23" s="1"/>
  <c r="P172" i="23"/>
  <c r="N173" i="23"/>
  <c r="L174" i="23"/>
  <c r="I174" i="23" s="1"/>
  <c r="D174" i="23"/>
  <c r="F174" i="23" s="1"/>
  <c r="B180" i="28" l="1"/>
  <c r="D179" i="28"/>
  <c r="F179" i="28" s="1"/>
  <c r="J179" i="28" s="1"/>
  <c r="P179" i="28" s="1"/>
  <c r="A181" i="28"/>
  <c r="C180" i="28"/>
  <c r="E180" i="28" s="1"/>
  <c r="I180" i="28" s="1"/>
  <c r="N180" i="28"/>
  <c r="L181" i="28"/>
  <c r="J174" i="23"/>
  <c r="C176" i="23"/>
  <c r="E176" i="23" s="1"/>
  <c r="P173" i="23"/>
  <c r="N174" i="23"/>
  <c r="L175" i="23"/>
  <c r="I175" i="23" s="1"/>
  <c r="D175" i="23"/>
  <c r="F175" i="23" s="1"/>
  <c r="D180" i="28" l="1"/>
  <c r="F180" i="28" s="1"/>
  <c r="J180" i="28" s="1"/>
  <c r="P180" i="28" s="1"/>
  <c r="B181" i="28"/>
  <c r="A182" i="28"/>
  <c r="C181" i="28"/>
  <c r="E181" i="28" s="1"/>
  <c r="I181" i="28" s="1"/>
  <c r="L182" i="28"/>
  <c r="N181" i="28"/>
  <c r="J175" i="23"/>
  <c r="C177" i="23"/>
  <c r="E177" i="23" s="1"/>
  <c r="P174" i="23"/>
  <c r="N175" i="23"/>
  <c r="L176" i="23"/>
  <c r="I176" i="23" s="1"/>
  <c r="D176" i="23"/>
  <c r="F176" i="23" s="1"/>
  <c r="D181" i="28" l="1"/>
  <c r="F181" i="28" s="1"/>
  <c r="J181" i="28" s="1"/>
  <c r="P181" i="28" s="1"/>
  <c r="B182" i="28"/>
  <c r="A183" i="28"/>
  <c r="C182" i="28"/>
  <c r="E182" i="28" s="1"/>
  <c r="I182" i="28" s="1"/>
  <c r="N182" i="28"/>
  <c r="L183" i="28"/>
  <c r="J176" i="23"/>
  <c r="C178" i="23"/>
  <c r="E178" i="23" s="1"/>
  <c r="P175" i="23"/>
  <c r="N176" i="23"/>
  <c r="L177" i="23"/>
  <c r="I177" i="23" s="1"/>
  <c r="D177" i="23"/>
  <c r="F177" i="23" s="1"/>
  <c r="D182" i="28" l="1"/>
  <c r="F182" i="28" s="1"/>
  <c r="J182" i="28" s="1"/>
  <c r="P182" i="28" s="1"/>
  <c r="B183" i="28"/>
  <c r="A184" i="28"/>
  <c r="C183" i="28"/>
  <c r="E183" i="28" s="1"/>
  <c r="I183" i="28" s="1"/>
  <c r="L184" i="28"/>
  <c r="N183" i="28"/>
  <c r="J177" i="23"/>
  <c r="C179" i="23"/>
  <c r="E179" i="23" s="1"/>
  <c r="P176" i="23"/>
  <c r="N177" i="23"/>
  <c r="L178" i="23"/>
  <c r="I178" i="23" s="1"/>
  <c r="D178" i="23"/>
  <c r="F178" i="23" s="1"/>
  <c r="B184" i="28" l="1"/>
  <c r="D183" i="28"/>
  <c r="F183" i="28" s="1"/>
  <c r="J183" i="28" s="1"/>
  <c r="P183" i="28" s="1"/>
  <c r="A185" i="28"/>
  <c r="C184" i="28"/>
  <c r="E184" i="28" s="1"/>
  <c r="I184" i="28" s="1"/>
  <c r="N184" i="28"/>
  <c r="L185" i="28"/>
  <c r="J178" i="23"/>
  <c r="C180" i="23"/>
  <c r="E180" i="23" s="1"/>
  <c r="P177" i="23"/>
  <c r="N178" i="23"/>
  <c r="L179" i="23"/>
  <c r="I179" i="23" s="1"/>
  <c r="D179" i="23"/>
  <c r="F179" i="23" s="1"/>
  <c r="D184" i="28" l="1"/>
  <c r="F184" i="28" s="1"/>
  <c r="J184" i="28" s="1"/>
  <c r="P184" i="28" s="1"/>
  <c r="B185" i="28"/>
  <c r="A186" i="28"/>
  <c r="C185" i="28"/>
  <c r="E185" i="28" s="1"/>
  <c r="I185" i="28" s="1"/>
  <c r="L186" i="28"/>
  <c r="N185" i="28"/>
  <c r="J179" i="23"/>
  <c r="C181" i="23"/>
  <c r="E181" i="23" s="1"/>
  <c r="P178" i="23"/>
  <c r="N179" i="23"/>
  <c r="L180" i="23"/>
  <c r="I180" i="23" s="1"/>
  <c r="D180" i="23"/>
  <c r="F180" i="23" s="1"/>
  <c r="B186" i="28" l="1"/>
  <c r="D185" i="28"/>
  <c r="F185" i="28" s="1"/>
  <c r="J185" i="28" s="1"/>
  <c r="P185" i="28" s="1"/>
  <c r="A187" i="28"/>
  <c r="C186" i="28"/>
  <c r="E186" i="28" s="1"/>
  <c r="I186" i="28" s="1"/>
  <c r="N186" i="28"/>
  <c r="L187" i="28"/>
  <c r="J180" i="23"/>
  <c r="C182" i="23"/>
  <c r="E182" i="23" s="1"/>
  <c r="P179" i="23"/>
  <c r="N180" i="23"/>
  <c r="L181" i="23"/>
  <c r="I181" i="23" s="1"/>
  <c r="D181" i="23"/>
  <c r="F181" i="23" s="1"/>
  <c r="D186" i="28" l="1"/>
  <c r="F186" i="28" s="1"/>
  <c r="J186" i="28" s="1"/>
  <c r="P186" i="28" s="1"/>
  <c r="B187" i="28"/>
  <c r="A188" i="28"/>
  <c r="C187" i="28"/>
  <c r="E187" i="28" s="1"/>
  <c r="I187" i="28" s="1"/>
  <c r="L188" i="28"/>
  <c r="N187" i="28"/>
  <c r="J181" i="23"/>
  <c r="C183" i="23"/>
  <c r="E183" i="23" s="1"/>
  <c r="P180" i="23"/>
  <c r="N181" i="23"/>
  <c r="L182" i="23"/>
  <c r="I182" i="23" s="1"/>
  <c r="D182" i="23"/>
  <c r="F182" i="23" s="1"/>
  <c r="D187" i="28" l="1"/>
  <c r="F187" i="28" s="1"/>
  <c r="J187" i="28" s="1"/>
  <c r="P187" i="28" s="1"/>
  <c r="B188" i="28"/>
  <c r="A189" i="28"/>
  <c r="C188" i="28"/>
  <c r="E188" i="28" s="1"/>
  <c r="I188" i="28" s="1"/>
  <c r="N188" i="28"/>
  <c r="L189" i="28"/>
  <c r="J182" i="23"/>
  <c r="C184" i="23"/>
  <c r="E184" i="23" s="1"/>
  <c r="P181" i="23"/>
  <c r="N182" i="23"/>
  <c r="L183" i="23"/>
  <c r="I183" i="23" s="1"/>
  <c r="D183" i="23"/>
  <c r="F183" i="23" s="1"/>
  <c r="D188" i="28" l="1"/>
  <c r="F188" i="28" s="1"/>
  <c r="J188" i="28" s="1"/>
  <c r="P188" i="28" s="1"/>
  <c r="B189" i="28"/>
  <c r="A190" i="28"/>
  <c r="C189" i="28"/>
  <c r="E189" i="28" s="1"/>
  <c r="I189" i="28" s="1"/>
  <c r="L190" i="28"/>
  <c r="N189" i="28"/>
  <c r="J183" i="23"/>
  <c r="C185" i="23"/>
  <c r="E185" i="23" s="1"/>
  <c r="P182" i="23"/>
  <c r="N183" i="23"/>
  <c r="L184" i="23"/>
  <c r="I184" i="23" s="1"/>
  <c r="D184" i="23"/>
  <c r="F184" i="23" s="1"/>
  <c r="D189" i="28" l="1"/>
  <c r="F189" i="28" s="1"/>
  <c r="J189" i="28" s="1"/>
  <c r="P189" i="28" s="1"/>
  <c r="B190" i="28"/>
  <c r="A191" i="28"/>
  <c r="C190" i="28"/>
  <c r="E190" i="28" s="1"/>
  <c r="I190" i="28" s="1"/>
  <c r="N190" i="28"/>
  <c r="L191" i="28"/>
  <c r="J184" i="23"/>
  <c r="C186" i="23"/>
  <c r="E186" i="23" s="1"/>
  <c r="P183" i="23"/>
  <c r="N184" i="23"/>
  <c r="L185" i="23"/>
  <c r="I185" i="23" s="1"/>
  <c r="D185" i="23"/>
  <c r="F185" i="23" s="1"/>
  <c r="D190" i="28" l="1"/>
  <c r="F190" i="28" s="1"/>
  <c r="J190" i="28" s="1"/>
  <c r="P190" i="28" s="1"/>
  <c r="B191" i="28"/>
  <c r="A192" i="28"/>
  <c r="C191" i="28"/>
  <c r="E191" i="28" s="1"/>
  <c r="I191" i="28" s="1"/>
  <c r="L192" i="28"/>
  <c r="N191" i="28"/>
  <c r="J185" i="23"/>
  <c r="C187" i="23"/>
  <c r="E187" i="23" s="1"/>
  <c r="P184" i="23"/>
  <c r="N185" i="23"/>
  <c r="L186" i="23"/>
  <c r="I186" i="23" s="1"/>
  <c r="D186" i="23"/>
  <c r="F186" i="23" s="1"/>
  <c r="B192" i="28" l="1"/>
  <c r="D191" i="28"/>
  <c r="F191" i="28" s="1"/>
  <c r="J191" i="28" s="1"/>
  <c r="P191" i="28" s="1"/>
  <c r="A193" i="28"/>
  <c r="C192" i="28"/>
  <c r="E192" i="28" s="1"/>
  <c r="I192" i="28" s="1"/>
  <c r="N192" i="28"/>
  <c r="L193" i="28"/>
  <c r="J186" i="23"/>
  <c r="C188" i="23"/>
  <c r="E188" i="23" s="1"/>
  <c r="P185" i="23"/>
  <c r="N186" i="23"/>
  <c r="L187" i="23"/>
  <c r="I187" i="23" s="1"/>
  <c r="D187" i="23"/>
  <c r="F187" i="23" s="1"/>
  <c r="D192" i="28" l="1"/>
  <c r="F192" i="28" s="1"/>
  <c r="J192" i="28" s="1"/>
  <c r="P192" i="28" s="1"/>
  <c r="B193" i="28"/>
  <c r="A194" i="28"/>
  <c r="C193" i="28"/>
  <c r="E193" i="28" s="1"/>
  <c r="I193" i="28" s="1"/>
  <c r="L194" i="28"/>
  <c r="N193" i="28"/>
  <c r="J187" i="23"/>
  <c r="C189" i="23"/>
  <c r="E189" i="23" s="1"/>
  <c r="P186" i="23"/>
  <c r="N187" i="23"/>
  <c r="L188" i="23"/>
  <c r="I188" i="23" s="1"/>
  <c r="D188" i="23"/>
  <c r="F188" i="23" s="1"/>
  <c r="B194" i="28" l="1"/>
  <c r="D193" i="28"/>
  <c r="F193" i="28" s="1"/>
  <c r="J193" i="28" s="1"/>
  <c r="P193" i="28" s="1"/>
  <c r="A195" i="28"/>
  <c r="C194" i="28"/>
  <c r="E194" i="28" s="1"/>
  <c r="I194" i="28" s="1"/>
  <c r="N194" i="28"/>
  <c r="L195" i="28"/>
  <c r="J188" i="23"/>
  <c r="C190" i="23"/>
  <c r="E190" i="23" s="1"/>
  <c r="P187" i="23"/>
  <c r="N188" i="23"/>
  <c r="L189" i="23"/>
  <c r="I189" i="23" s="1"/>
  <c r="D189" i="23"/>
  <c r="F189" i="23" s="1"/>
  <c r="D194" i="28" l="1"/>
  <c r="F194" i="28" s="1"/>
  <c r="J194" i="28" s="1"/>
  <c r="P194" i="28" s="1"/>
  <c r="B195" i="28"/>
  <c r="A196" i="28"/>
  <c r="C195" i="28"/>
  <c r="E195" i="28" s="1"/>
  <c r="I195" i="28" s="1"/>
  <c r="L196" i="28"/>
  <c r="N195" i="28"/>
  <c r="J189" i="23"/>
  <c r="C191" i="23"/>
  <c r="E191" i="23" s="1"/>
  <c r="P188" i="23"/>
  <c r="N189" i="23"/>
  <c r="L190" i="23"/>
  <c r="I190" i="23" s="1"/>
  <c r="D190" i="23"/>
  <c r="F190" i="23" s="1"/>
  <c r="B196" i="28" l="1"/>
  <c r="D195" i="28"/>
  <c r="F195" i="28" s="1"/>
  <c r="J195" i="28" s="1"/>
  <c r="P195" i="28" s="1"/>
  <c r="A197" i="28"/>
  <c r="C196" i="28"/>
  <c r="E196" i="28" s="1"/>
  <c r="I196" i="28" s="1"/>
  <c r="N196" i="28"/>
  <c r="L197" i="28"/>
  <c r="J190" i="23"/>
  <c r="C192" i="23"/>
  <c r="E192" i="23" s="1"/>
  <c r="P189" i="23"/>
  <c r="N190" i="23"/>
  <c r="L191" i="23"/>
  <c r="I191" i="23" s="1"/>
  <c r="D191" i="23"/>
  <c r="F191" i="23" s="1"/>
  <c r="D196" i="28" l="1"/>
  <c r="F196" i="28" s="1"/>
  <c r="J196" i="28" s="1"/>
  <c r="P196" i="28" s="1"/>
  <c r="B197" i="28"/>
  <c r="A198" i="28"/>
  <c r="C197" i="28"/>
  <c r="E197" i="28" s="1"/>
  <c r="I197" i="28" s="1"/>
  <c r="L198" i="28"/>
  <c r="N197" i="28"/>
  <c r="J191" i="23"/>
  <c r="C193" i="23"/>
  <c r="E193" i="23" s="1"/>
  <c r="P190" i="23"/>
  <c r="N191" i="23"/>
  <c r="L192" i="23"/>
  <c r="I192" i="23" s="1"/>
  <c r="D192" i="23"/>
  <c r="F192" i="23" s="1"/>
  <c r="B198" i="28" l="1"/>
  <c r="D197" i="28"/>
  <c r="F197" i="28" s="1"/>
  <c r="J197" i="28" s="1"/>
  <c r="P197" i="28" s="1"/>
  <c r="A199" i="28"/>
  <c r="C198" i="28"/>
  <c r="E198" i="28" s="1"/>
  <c r="I198" i="28" s="1"/>
  <c r="N198" i="28"/>
  <c r="L199" i="28"/>
  <c r="J192" i="23"/>
  <c r="C194" i="23"/>
  <c r="E194" i="23" s="1"/>
  <c r="P191" i="23"/>
  <c r="N192" i="23"/>
  <c r="L193" i="23"/>
  <c r="I193" i="23" s="1"/>
  <c r="D193" i="23"/>
  <c r="F193" i="23" s="1"/>
  <c r="D198" i="28" l="1"/>
  <c r="F198" i="28" s="1"/>
  <c r="J198" i="28" s="1"/>
  <c r="P198" i="28" s="1"/>
  <c r="B199" i="28"/>
  <c r="A200" i="28"/>
  <c r="C199" i="28"/>
  <c r="E199" i="28" s="1"/>
  <c r="I199" i="28" s="1"/>
  <c r="L200" i="28"/>
  <c r="N199" i="28"/>
  <c r="J193" i="23"/>
  <c r="C195" i="23"/>
  <c r="E195" i="23" s="1"/>
  <c r="P192" i="23"/>
  <c r="N193" i="23"/>
  <c r="L194" i="23"/>
  <c r="I194" i="23" s="1"/>
  <c r="D194" i="23"/>
  <c r="F194" i="23" s="1"/>
  <c r="B200" i="28" l="1"/>
  <c r="D199" i="28"/>
  <c r="F199" i="28" s="1"/>
  <c r="J199" i="28" s="1"/>
  <c r="P199" i="28" s="1"/>
  <c r="A201" i="28"/>
  <c r="C200" i="28"/>
  <c r="E200" i="28" s="1"/>
  <c r="I200" i="28" s="1"/>
  <c r="N200" i="28"/>
  <c r="L201" i="28"/>
  <c r="J194" i="23"/>
  <c r="C196" i="23"/>
  <c r="E196" i="23" s="1"/>
  <c r="P193" i="23"/>
  <c r="N194" i="23"/>
  <c r="L195" i="23"/>
  <c r="I195" i="23" s="1"/>
  <c r="D195" i="23"/>
  <c r="F195" i="23" s="1"/>
  <c r="D200" i="28" l="1"/>
  <c r="F200" i="28" s="1"/>
  <c r="J200" i="28" s="1"/>
  <c r="P200" i="28" s="1"/>
  <c r="B201" i="28"/>
  <c r="A202" i="28"/>
  <c r="C201" i="28"/>
  <c r="E201" i="28" s="1"/>
  <c r="I201" i="28" s="1"/>
  <c r="L202" i="28"/>
  <c r="N201" i="28"/>
  <c r="J195" i="23"/>
  <c r="C197" i="23"/>
  <c r="E197" i="23" s="1"/>
  <c r="P194" i="23"/>
  <c r="N195" i="23"/>
  <c r="L196" i="23"/>
  <c r="I196" i="23" s="1"/>
  <c r="D196" i="23"/>
  <c r="F196" i="23" s="1"/>
  <c r="B202" i="28" l="1"/>
  <c r="D201" i="28"/>
  <c r="F201" i="28" s="1"/>
  <c r="J201" i="28" s="1"/>
  <c r="P201" i="28" s="1"/>
  <c r="A203" i="28"/>
  <c r="C202" i="28"/>
  <c r="E202" i="28" s="1"/>
  <c r="I202" i="28" s="1"/>
  <c r="N202" i="28"/>
  <c r="L203" i="28"/>
  <c r="J196" i="23"/>
  <c r="C198" i="23"/>
  <c r="E198" i="23" s="1"/>
  <c r="P195" i="23"/>
  <c r="N196" i="23"/>
  <c r="L197" i="23"/>
  <c r="I197" i="23" s="1"/>
  <c r="D197" i="23"/>
  <c r="F197" i="23" s="1"/>
  <c r="D202" i="28" l="1"/>
  <c r="F202" i="28" s="1"/>
  <c r="J202" i="28" s="1"/>
  <c r="P202" i="28" s="1"/>
  <c r="B203" i="28"/>
  <c r="A204" i="28"/>
  <c r="C203" i="28"/>
  <c r="E203" i="28" s="1"/>
  <c r="I203" i="28" s="1"/>
  <c r="L204" i="28"/>
  <c r="N203" i="28"/>
  <c r="J197" i="23"/>
  <c r="C199" i="23"/>
  <c r="E199" i="23" s="1"/>
  <c r="P196" i="23"/>
  <c r="N197" i="23"/>
  <c r="L198" i="23"/>
  <c r="I198" i="23" s="1"/>
  <c r="D198" i="23"/>
  <c r="F198" i="23" s="1"/>
  <c r="D203" i="28" l="1"/>
  <c r="F203" i="28" s="1"/>
  <c r="J203" i="28" s="1"/>
  <c r="P203" i="28" s="1"/>
  <c r="B204" i="28"/>
  <c r="A205" i="28"/>
  <c r="C204" i="28"/>
  <c r="E204" i="28" s="1"/>
  <c r="I204" i="28" s="1"/>
  <c r="N204" i="28"/>
  <c r="L205" i="28"/>
  <c r="J198" i="23"/>
  <c r="C200" i="23"/>
  <c r="E200" i="23" s="1"/>
  <c r="P197" i="23"/>
  <c r="N198" i="23"/>
  <c r="L199" i="23"/>
  <c r="I199" i="23" s="1"/>
  <c r="D199" i="23"/>
  <c r="F199" i="23" s="1"/>
  <c r="D204" i="28" l="1"/>
  <c r="F204" i="28" s="1"/>
  <c r="J204" i="28" s="1"/>
  <c r="P204" i="28" s="1"/>
  <c r="B205" i="28"/>
  <c r="A206" i="28"/>
  <c r="C205" i="28"/>
  <c r="E205" i="28" s="1"/>
  <c r="I205" i="28" s="1"/>
  <c r="L206" i="28"/>
  <c r="N205" i="28"/>
  <c r="J199" i="23"/>
  <c r="C201" i="23"/>
  <c r="E201" i="23" s="1"/>
  <c r="P198" i="23"/>
  <c r="N199" i="23"/>
  <c r="L200" i="23"/>
  <c r="I200" i="23" s="1"/>
  <c r="D200" i="23"/>
  <c r="F200" i="23" s="1"/>
  <c r="B206" i="28" l="1"/>
  <c r="D205" i="28"/>
  <c r="F205" i="28" s="1"/>
  <c r="J205" i="28" s="1"/>
  <c r="P205" i="28" s="1"/>
  <c r="A207" i="28"/>
  <c r="C206" i="28"/>
  <c r="E206" i="28" s="1"/>
  <c r="I206" i="28" s="1"/>
  <c r="N206" i="28"/>
  <c r="L207" i="28"/>
  <c r="J200" i="23"/>
  <c r="C202" i="23"/>
  <c r="E202" i="23" s="1"/>
  <c r="P199" i="23"/>
  <c r="N200" i="23"/>
  <c r="L201" i="23"/>
  <c r="I201" i="23" s="1"/>
  <c r="D201" i="23"/>
  <c r="F201" i="23" s="1"/>
  <c r="D206" i="28" l="1"/>
  <c r="F206" i="28" s="1"/>
  <c r="J206" i="28" s="1"/>
  <c r="P206" i="28" s="1"/>
  <c r="B207" i="28"/>
  <c r="A208" i="28"/>
  <c r="C207" i="28"/>
  <c r="E207" i="28" s="1"/>
  <c r="I207" i="28" s="1"/>
  <c r="L208" i="28"/>
  <c r="N207" i="28"/>
  <c r="J201" i="23"/>
  <c r="C203" i="23"/>
  <c r="E203" i="23" s="1"/>
  <c r="P200" i="23"/>
  <c r="N201" i="23"/>
  <c r="L202" i="23"/>
  <c r="I202" i="23" s="1"/>
  <c r="D202" i="23"/>
  <c r="F202" i="23" s="1"/>
  <c r="B208" i="28" l="1"/>
  <c r="D207" i="28"/>
  <c r="F207" i="28" s="1"/>
  <c r="J207" i="28" s="1"/>
  <c r="P207" i="28" s="1"/>
  <c r="A209" i="28"/>
  <c r="C208" i="28"/>
  <c r="E208" i="28" s="1"/>
  <c r="I208" i="28" s="1"/>
  <c r="N208" i="28"/>
  <c r="L209" i="28"/>
  <c r="J202" i="23"/>
  <c r="C204" i="23"/>
  <c r="E204" i="23" s="1"/>
  <c r="P201" i="23"/>
  <c r="N202" i="23"/>
  <c r="L203" i="23"/>
  <c r="I203" i="23" s="1"/>
  <c r="D203" i="23"/>
  <c r="F203" i="23" s="1"/>
  <c r="D208" i="28" l="1"/>
  <c r="F208" i="28" s="1"/>
  <c r="J208" i="28" s="1"/>
  <c r="P208" i="28" s="1"/>
  <c r="B209" i="28"/>
  <c r="A210" i="28"/>
  <c r="C209" i="28"/>
  <c r="E209" i="28" s="1"/>
  <c r="I209" i="28" s="1"/>
  <c r="L210" i="28"/>
  <c r="N209" i="28"/>
  <c r="J203" i="23"/>
  <c r="C205" i="23"/>
  <c r="E205" i="23" s="1"/>
  <c r="P202" i="23"/>
  <c r="N203" i="23"/>
  <c r="L204" i="23"/>
  <c r="I204" i="23" s="1"/>
  <c r="D204" i="23"/>
  <c r="F204" i="23" s="1"/>
  <c r="D209" i="28" l="1"/>
  <c r="F209" i="28" s="1"/>
  <c r="J209" i="28" s="1"/>
  <c r="P209" i="28" s="1"/>
  <c r="B210" i="28"/>
  <c r="A211" i="28"/>
  <c r="C210" i="28"/>
  <c r="E210" i="28" s="1"/>
  <c r="I210" i="28" s="1"/>
  <c r="N210" i="28"/>
  <c r="L211" i="28"/>
  <c r="J204" i="23"/>
  <c r="C206" i="23"/>
  <c r="E206" i="23" s="1"/>
  <c r="P203" i="23"/>
  <c r="N204" i="23"/>
  <c r="L205" i="23"/>
  <c r="I205" i="23" s="1"/>
  <c r="D205" i="23"/>
  <c r="F205" i="23" s="1"/>
  <c r="D210" i="28" l="1"/>
  <c r="F210" i="28" s="1"/>
  <c r="J210" i="28" s="1"/>
  <c r="P210" i="28" s="1"/>
  <c r="B211" i="28"/>
  <c r="A212" i="28"/>
  <c r="C211" i="28"/>
  <c r="E211" i="28" s="1"/>
  <c r="I211" i="28" s="1"/>
  <c r="L212" i="28"/>
  <c r="N211" i="28"/>
  <c r="J205" i="23"/>
  <c r="C207" i="23"/>
  <c r="E207" i="23" s="1"/>
  <c r="P204" i="23"/>
  <c r="N205" i="23"/>
  <c r="L206" i="23"/>
  <c r="I206" i="23" s="1"/>
  <c r="D206" i="23"/>
  <c r="F206" i="23" s="1"/>
  <c r="B212" i="28" l="1"/>
  <c r="D211" i="28"/>
  <c r="F211" i="28" s="1"/>
  <c r="J211" i="28" s="1"/>
  <c r="P211" i="28" s="1"/>
  <c r="A213" i="28"/>
  <c r="C212" i="28"/>
  <c r="E212" i="28" s="1"/>
  <c r="I212" i="28" s="1"/>
  <c r="N212" i="28"/>
  <c r="L213" i="28"/>
  <c r="J206" i="23"/>
  <c r="C208" i="23"/>
  <c r="E208" i="23" s="1"/>
  <c r="P205" i="23"/>
  <c r="N206" i="23"/>
  <c r="L207" i="23"/>
  <c r="I207" i="23" s="1"/>
  <c r="D207" i="23"/>
  <c r="F207" i="23" s="1"/>
  <c r="D212" i="28" l="1"/>
  <c r="F212" i="28" s="1"/>
  <c r="J212" i="28" s="1"/>
  <c r="P212" i="28" s="1"/>
  <c r="B213" i="28"/>
  <c r="A214" i="28"/>
  <c r="C213" i="28"/>
  <c r="L214" i="28"/>
  <c r="N213" i="28"/>
  <c r="E213" i="28"/>
  <c r="I213" i="28" s="1"/>
  <c r="J207" i="23"/>
  <c r="C209" i="23"/>
  <c r="E209" i="23" s="1"/>
  <c r="P206" i="23"/>
  <c r="N207" i="23"/>
  <c r="L208" i="23"/>
  <c r="I208" i="23" s="1"/>
  <c r="D208" i="23"/>
  <c r="F208" i="23" s="1"/>
  <c r="D213" i="28" l="1"/>
  <c r="F213" i="28" s="1"/>
  <c r="J213" i="28" s="1"/>
  <c r="P213" i="28" s="1"/>
  <c r="B214" i="28"/>
  <c r="A215" i="28"/>
  <c r="C214" i="28"/>
  <c r="E214" i="28" s="1"/>
  <c r="I214" i="28" s="1"/>
  <c r="N214" i="28"/>
  <c r="L215" i="28"/>
  <c r="J208" i="23"/>
  <c r="C210" i="23"/>
  <c r="E210" i="23" s="1"/>
  <c r="P207" i="23"/>
  <c r="N208" i="23"/>
  <c r="L209" i="23"/>
  <c r="I209" i="23" s="1"/>
  <c r="D209" i="23"/>
  <c r="F209" i="23" s="1"/>
  <c r="D214" i="28" l="1"/>
  <c r="F214" i="28" s="1"/>
  <c r="J214" i="28" s="1"/>
  <c r="P214" i="28" s="1"/>
  <c r="B215" i="28"/>
  <c r="A216" i="28"/>
  <c r="C215" i="28"/>
  <c r="E215" i="28" s="1"/>
  <c r="I215" i="28" s="1"/>
  <c r="L216" i="28"/>
  <c r="N215" i="28"/>
  <c r="J209" i="23"/>
  <c r="C211" i="23"/>
  <c r="E211" i="23" s="1"/>
  <c r="P208" i="23"/>
  <c r="N209" i="23"/>
  <c r="L210" i="23"/>
  <c r="I210" i="23" s="1"/>
  <c r="D210" i="23"/>
  <c r="F210" i="23" s="1"/>
  <c r="B216" i="28" l="1"/>
  <c r="D215" i="28"/>
  <c r="F215" i="28" s="1"/>
  <c r="J215" i="28" s="1"/>
  <c r="P215" i="28" s="1"/>
  <c r="A217" i="28"/>
  <c r="C216" i="28"/>
  <c r="E216" i="28" s="1"/>
  <c r="I216" i="28" s="1"/>
  <c r="N216" i="28"/>
  <c r="L217" i="28"/>
  <c r="J210" i="23"/>
  <c r="C212" i="23"/>
  <c r="E212" i="23" s="1"/>
  <c r="P209" i="23"/>
  <c r="N210" i="23"/>
  <c r="L211" i="23"/>
  <c r="I211" i="23" s="1"/>
  <c r="D211" i="23"/>
  <c r="F211" i="23" s="1"/>
  <c r="D216" i="28" l="1"/>
  <c r="F216" i="28" s="1"/>
  <c r="J216" i="28" s="1"/>
  <c r="P216" i="28" s="1"/>
  <c r="B217" i="28"/>
  <c r="A218" i="28"/>
  <c r="C217" i="28"/>
  <c r="E217" i="28" s="1"/>
  <c r="I217" i="28" s="1"/>
  <c r="L218" i="28"/>
  <c r="N217" i="28"/>
  <c r="J211" i="23"/>
  <c r="C213" i="23"/>
  <c r="E213" i="23" s="1"/>
  <c r="P210" i="23"/>
  <c r="N211" i="23"/>
  <c r="L212" i="23"/>
  <c r="I212" i="23" s="1"/>
  <c r="D212" i="23"/>
  <c r="F212" i="23" s="1"/>
  <c r="B218" i="28" l="1"/>
  <c r="D217" i="28"/>
  <c r="F217" i="28" s="1"/>
  <c r="J217" i="28" s="1"/>
  <c r="P217" i="28" s="1"/>
  <c r="A219" i="28"/>
  <c r="C218" i="28"/>
  <c r="E218" i="28" s="1"/>
  <c r="I218" i="28" s="1"/>
  <c r="N218" i="28"/>
  <c r="L219" i="28"/>
  <c r="J212" i="23"/>
  <c r="C214" i="23"/>
  <c r="E214" i="23" s="1"/>
  <c r="P211" i="23"/>
  <c r="N212" i="23"/>
  <c r="L213" i="23"/>
  <c r="I213" i="23" s="1"/>
  <c r="D213" i="23"/>
  <c r="F213" i="23" s="1"/>
  <c r="D218" i="28" l="1"/>
  <c r="F218" i="28" s="1"/>
  <c r="J218" i="28" s="1"/>
  <c r="P218" i="28" s="1"/>
  <c r="B219" i="28"/>
  <c r="A220" i="28"/>
  <c r="C219" i="28"/>
  <c r="E219" i="28" s="1"/>
  <c r="I219" i="28" s="1"/>
  <c r="L220" i="28"/>
  <c r="N219" i="28"/>
  <c r="J213" i="23"/>
  <c r="C215" i="23"/>
  <c r="E215" i="23" s="1"/>
  <c r="P212" i="23"/>
  <c r="N213" i="23"/>
  <c r="L214" i="23"/>
  <c r="I214" i="23" s="1"/>
  <c r="D214" i="23"/>
  <c r="F214" i="23" s="1"/>
  <c r="D219" i="28" l="1"/>
  <c r="F219" i="28" s="1"/>
  <c r="J219" i="28" s="1"/>
  <c r="P219" i="28" s="1"/>
  <c r="B220" i="28"/>
  <c r="A221" i="28"/>
  <c r="C220" i="28"/>
  <c r="E220" i="28" s="1"/>
  <c r="I220" i="28" s="1"/>
  <c r="N220" i="28"/>
  <c r="L221" i="28"/>
  <c r="J214" i="23"/>
  <c r="C216" i="23"/>
  <c r="E216" i="23" s="1"/>
  <c r="P213" i="23"/>
  <c r="N214" i="23"/>
  <c r="L215" i="23"/>
  <c r="I215" i="23" s="1"/>
  <c r="D215" i="23"/>
  <c r="F215" i="23" s="1"/>
  <c r="D220" i="28" l="1"/>
  <c r="F220" i="28" s="1"/>
  <c r="J220" i="28" s="1"/>
  <c r="P220" i="28" s="1"/>
  <c r="B221" i="28"/>
  <c r="A222" i="28"/>
  <c r="C221" i="28"/>
  <c r="E221" i="28" s="1"/>
  <c r="I221" i="28" s="1"/>
  <c r="L222" i="28"/>
  <c r="N221" i="28"/>
  <c r="J215" i="23"/>
  <c r="C217" i="23"/>
  <c r="E217" i="23" s="1"/>
  <c r="P214" i="23"/>
  <c r="N215" i="23"/>
  <c r="L216" i="23"/>
  <c r="I216" i="23" s="1"/>
  <c r="D216" i="23"/>
  <c r="F216" i="23" s="1"/>
  <c r="B222" i="28" l="1"/>
  <c r="D221" i="28"/>
  <c r="F221" i="28" s="1"/>
  <c r="J221" i="28" s="1"/>
  <c r="P221" i="28" s="1"/>
  <c r="A223" i="28"/>
  <c r="C222" i="28"/>
  <c r="E222" i="28" s="1"/>
  <c r="I222" i="28" s="1"/>
  <c r="N222" i="28"/>
  <c r="L223" i="28"/>
  <c r="J216" i="23"/>
  <c r="C218" i="23"/>
  <c r="E218" i="23" s="1"/>
  <c r="P215" i="23"/>
  <c r="N216" i="23"/>
  <c r="L217" i="23"/>
  <c r="I217" i="23" s="1"/>
  <c r="D217" i="23"/>
  <c r="F217" i="23" s="1"/>
  <c r="D222" i="28" l="1"/>
  <c r="F222" i="28" s="1"/>
  <c r="J222" i="28" s="1"/>
  <c r="P222" i="28" s="1"/>
  <c r="B223" i="28"/>
  <c r="A224" i="28"/>
  <c r="C223" i="28"/>
  <c r="L224" i="28"/>
  <c r="N223" i="28"/>
  <c r="E223" i="28"/>
  <c r="I223" i="28" s="1"/>
  <c r="J217" i="23"/>
  <c r="C219" i="23"/>
  <c r="E219" i="23" s="1"/>
  <c r="P216" i="23"/>
  <c r="N217" i="23"/>
  <c r="L218" i="23"/>
  <c r="I218" i="23" s="1"/>
  <c r="D218" i="23"/>
  <c r="F218" i="23" s="1"/>
  <c r="B224" i="28" l="1"/>
  <c r="D223" i="28"/>
  <c r="F223" i="28" s="1"/>
  <c r="J223" i="28" s="1"/>
  <c r="P223" i="28" s="1"/>
  <c r="A225" i="28"/>
  <c r="C224" i="28"/>
  <c r="E224" i="28" s="1"/>
  <c r="I224" i="28" s="1"/>
  <c r="N224" i="28"/>
  <c r="L225" i="28"/>
  <c r="J218" i="23"/>
  <c r="C220" i="23"/>
  <c r="E220" i="23" s="1"/>
  <c r="P217" i="23"/>
  <c r="N218" i="23"/>
  <c r="L219" i="23"/>
  <c r="I219" i="23" s="1"/>
  <c r="D219" i="23"/>
  <c r="F219" i="23" s="1"/>
  <c r="D224" i="28" l="1"/>
  <c r="F224" i="28" s="1"/>
  <c r="J224" i="28" s="1"/>
  <c r="P224" i="28" s="1"/>
  <c r="B225" i="28"/>
  <c r="A226" i="28"/>
  <c r="C225" i="28"/>
  <c r="E225" i="28" s="1"/>
  <c r="I225" i="28" s="1"/>
  <c r="L226" i="28"/>
  <c r="N225" i="28"/>
  <c r="J219" i="23"/>
  <c r="C221" i="23"/>
  <c r="E221" i="23" s="1"/>
  <c r="P218" i="23"/>
  <c r="N219" i="23"/>
  <c r="L220" i="23"/>
  <c r="I220" i="23" s="1"/>
  <c r="D220" i="23"/>
  <c r="F220" i="23" s="1"/>
  <c r="B226" i="28" l="1"/>
  <c r="D225" i="28"/>
  <c r="F225" i="28" s="1"/>
  <c r="J225" i="28" s="1"/>
  <c r="P225" i="28" s="1"/>
  <c r="A227" i="28"/>
  <c r="C226" i="28"/>
  <c r="E226" i="28" s="1"/>
  <c r="I226" i="28" s="1"/>
  <c r="N226" i="28"/>
  <c r="L227" i="28"/>
  <c r="J220" i="23"/>
  <c r="C222" i="23"/>
  <c r="E222" i="23" s="1"/>
  <c r="P219" i="23"/>
  <c r="N220" i="23"/>
  <c r="L221" i="23"/>
  <c r="I221" i="23" s="1"/>
  <c r="D221" i="23"/>
  <c r="F221" i="23" s="1"/>
  <c r="D226" i="28" l="1"/>
  <c r="F226" i="28" s="1"/>
  <c r="J226" i="28" s="1"/>
  <c r="P226" i="28" s="1"/>
  <c r="B227" i="28"/>
  <c r="A228" i="28"/>
  <c r="C227" i="28"/>
  <c r="L228" i="28"/>
  <c r="N227" i="28"/>
  <c r="E227" i="28"/>
  <c r="I227" i="28" s="1"/>
  <c r="J221" i="23"/>
  <c r="C223" i="23"/>
  <c r="E223" i="23" s="1"/>
  <c r="P220" i="23"/>
  <c r="N221" i="23"/>
  <c r="L222" i="23"/>
  <c r="I222" i="23" s="1"/>
  <c r="D222" i="23"/>
  <c r="F222" i="23" s="1"/>
  <c r="D227" i="28" l="1"/>
  <c r="F227" i="28" s="1"/>
  <c r="J227" i="28" s="1"/>
  <c r="P227" i="28" s="1"/>
  <c r="B228" i="28"/>
  <c r="A229" i="28"/>
  <c r="C228" i="28"/>
  <c r="E228" i="28" s="1"/>
  <c r="I228" i="28" s="1"/>
  <c r="N228" i="28"/>
  <c r="L229" i="28"/>
  <c r="J222" i="23"/>
  <c r="C224" i="23"/>
  <c r="E224" i="23" s="1"/>
  <c r="P221" i="23"/>
  <c r="N222" i="23"/>
  <c r="L223" i="23"/>
  <c r="I223" i="23" s="1"/>
  <c r="D223" i="23"/>
  <c r="F223" i="23" s="1"/>
  <c r="D228" i="28" l="1"/>
  <c r="F228" i="28" s="1"/>
  <c r="J228" i="28" s="1"/>
  <c r="P228" i="28" s="1"/>
  <c r="B229" i="28"/>
  <c r="A230" i="28"/>
  <c r="C229" i="28"/>
  <c r="E229" i="28" s="1"/>
  <c r="I229" i="28" s="1"/>
  <c r="L230" i="28"/>
  <c r="N229" i="28"/>
  <c r="J223" i="23"/>
  <c r="C225" i="23"/>
  <c r="E225" i="23" s="1"/>
  <c r="P222" i="23"/>
  <c r="N223" i="23"/>
  <c r="L224" i="23"/>
  <c r="I224" i="23" s="1"/>
  <c r="D224" i="23"/>
  <c r="F224" i="23" s="1"/>
  <c r="B230" i="28" l="1"/>
  <c r="D229" i="28"/>
  <c r="F229" i="28" s="1"/>
  <c r="J229" i="28" s="1"/>
  <c r="P229" i="28" s="1"/>
  <c r="A231" i="28"/>
  <c r="C230" i="28"/>
  <c r="E230" i="28" s="1"/>
  <c r="I230" i="28" s="1"/>
  <c r="N230" i="28"/>
  <c r="L231" i="28"/>
  <c r="J224" i="23"/>
  <c r="C226" i="23"/>
  <c r="E226" i="23" s="1"/>
  <c r="P223" i="23"/>
  <c r="N224" i="23"/>
  <c r="L225" i="23"/>
  <c r="I225" i="23" s="1"/>
  <c r="D225" i="23"/>
  <c r="F225" i="23" s="1"/>
  <c r="D230" i="28" l="1"/>
  <c r="F230" i="28" s="1"/>
  <c r="J230" i="28" s="1"/>
  <c r="P230" i="28" s="1"/>
  <c r="B231" i="28"/>
  <c r="A232" i="28"/>
  <c r="C231" i="28"/>
  <c r="E231" i="28" s="1"/>
  <c r="I231" i="28" s="1"/>
  <c r="L232" i="28"/>
  <c r="N231" i="28"/>
  <c r="J225" i="23"/>
  <c r="C227" i="23"/>
  <c r="E227" i="23" s="1"/>
  <c r="P224" i="23"/>
  <c r="N225" i="23"/>
  <c r="L226" i="23"/>
  <c r="I226" i="23" s="1"/>
  <c r="D226" i="23"/>
  <c r="F226" i="23" s="1"/>
  <c r="B232" i="28" l="1"/>
  <c r="D231" i="28"/>
  <c r="F231" i="28" s="1"/>
  <c r="J231" i="28" s="1"/>
  <c r="P231" i="28" s="1"/>
  <c r="A233" i="28"/>
  <c r="C232" i="28"/>
  <c r="E232" i="28" s="1"/>
  <c r="I232" i="28" s="1"/>
  <c r="N232" i="28"/>
  <c r="L233" i="28"/>
  <c r="J226" i="23"/>
  <c r="C228" i="23"/>
  <c r="E228" i="23" s="1"/>
  <c r="P225" i="23"/>
  <c r="N226" i="23"/>
  <c r="L227" i="23"/>
  <c r="I227" i="23" s="1"/>
  <c r="D227" i="23"/>
  <c r="F227" i="23" s="1"/>
  <c r="D232" i="28" l="1"/>
  <c r="F232" i="28" s="1"/>
  <c r="J232" i="28" s="1"/>
  <c r="P232" i="28" s="1"/>
  <c r="B233" i="28"/>
  <c r="A234" i="28"/>
  <c r="C233" i="28"/>
  <c r="E233" i="28" s="1"/>
  <c r="I233" i="28" s="1"/>
  <c r="L234" i="28"/>
  <c r="N233" i="28"/>
  <c r="J227" i="23"/>
  <c r="C229" i="23"/>
  <c r="E229" i="23" s="1"/>
  <c r="P226" i="23"/>
  <c r="N227" i="23"/>
  <c r="L228" i="23"/>
  <c r="I228" i="23" s="1"/>
  <c r="D228" i="23"/>
  <c r="F228" i="23" s="1"/>
  <c r="B234" i="28" l="1"/>
  <c r="D233" i="28"/>
  <c r="F233" i="28" s="1"/>
  <c r="J233" i="28" s="1"/>
  <c r="P233" i="28" s="1"/>
  <c r="A235" i="28"/>
  <c r="C234" i="28"/>
  <c r="E234" i="28" s="1"/>
  <c r="I234" i="28" s="1"/>
  <c r="N234" i="28"/>
  <c r="L235" i="28"/>
  <c r="J228" i="23"/>
  <c r="C230" i="23"/>
  <c r="E230" i="23" s="1"/>
  <c r="P227" i="23"/>
  <c r="N228" i="23"/>
  <c r="L229" i="23"/>
  <c r="I229" i="23" s="1"/>
  <c r="D229" i="23"/>
  <c r="F229" i="23" s="1"/>
  <c r="D234" i="28" l="1"/>
  <c r="F234" i="28" s="1"/>
  <c r="J234" i="28" s="1"/>
  <c r="P234" i="28" s="1"/>
  <c r="B235" i="28"/>
  <c r="A236" i="28"/>
  <c r="C235" i="28"/>
  <c r="E235" i="28" s="1"/>
  <c r="I235" i="28" s="1"/>
  <c r="L236" i="28"/>
  <c r="N235" i="28"/>
  <c r="J229" i="23"/>
  <c r="C231" i="23"/>
  <c r="E231" i="23" s="1"/>
  <c r="P228" i="23"/>
  <c r="N229" i="23"/>
  <c r="L230" i="23"/>
  <c r="I230" i="23" s="1"/>
  <c r="D230" i="23"/>
  <c r="F230" i="23" s="1"/>
  <c r="B236" i="28" l="1"/>
  <c r="D235" i="28"/>
  <c r="F235" i="28" s="1"/>
  <c r="J235" i="28" s="1"/>
  <c r="P235" i="28" s="1"/>
  <c r="A237" i="28"/>
  <c r="C236" i="28"/>
  <c r="E236" i="28" s="1"/>
  <c r="I236" i="28" s="1"/>
  <c r="N236" i="28"/>
  <c r="L237" i="28"/>
  <c r="J230" i="23"/>
  <c r="C232" i="23"/>
  <c r="E232" i="23" s="1"/>
  <c r="P229" i="23"/>
  <c r="N230" i="23"/>
  <c r="L231" i="23"/>
  <c r="I231" i="23" s="1"/>
  <c r="D231" i="23"/>
  <c r="F231" i="23" s="1"/>
  <c r="D236" i="28" l="1"/>
  <c r="F236" i="28" s="1"/>
  <c r="J236" i="28" s="1"/>
  <c r="P236" i="28" s="1"/>
  <c r="B237" i="28"/>
  <c r="A238" i="28"/>
  <c r="C237" i="28"/>
  <c r="E237" i="28" s="1"/>
  <c r="I237" i="28" s="1"/>
  <c r="L238" i="28"/>
  <c r="N237" i="28"/>
  <c r="J231" i="23"/>
  <c r="C233" i="23"/>
  <c r="E233" i="23" s="1"/>
  <c r="P230" i="23"/>
  <c r="N231" i="23"/>
  <c r="L232" i="23"/>
  <c r="I232" i="23" s="1"/>
  <c r="D232" i="23"/>
  <c r="F232" i="23" s="1"/>
  <c r="B238" i="28" l="1"/>
  <c r="D237" i="28"/>
  <c r="F237" i="28" s="1"/>
  <c r="J237" i="28" s="1"/>
  <c r="P237" i="28" s="1"/>
  <c r="A239" i="28"/>
  <c r="C238" i="28"/>
  <c r="E238" i="28" s="1"/>
  <c r="I238" i="28" s="1"/>
  <c r="N238" i="28"/>
  <c r="L239" i="28"/>
  <c r="J232" i="23"/>
  <c r="C234" i="23"/>
  <c r="E234" i="23" s="1"/>
  <c r="P231" i="23"/>
  <c r="N232" i="23"/>
  <c r="L233" i="23"/>
  <c r="I233" i="23" s="1"/>
  <c r="D233" i="23"/>
  <c r="F233" i="23" s="1"/>
  <c r="D238" i="28" l="1"/>
  <c r="F238" i="28" s="1"/>
  <c r="J238" i="28" s="1"/>
  <c r="P238" i="28" s="1"/>
  <c r="B239" i="28"/>
  <c r="A240" i="28"/>
  <c r="C239" i="28"/>
  <c r="E239" i="28" s="1"/>
  <c r="I239" i="28" s="1"/>
  <c r="L240" i="28"/>
  <c r="N239" i="28"/>
  <c r="J233" i="23"/>
  <c r="C235" i="23"/>
  <c r="E235" i="23" s="1"/>
  <c r="P232" i="23"/>
  <c r="N233" i="23"/>
  <c r="L234" i="23"/>
  <c r="I234" i="23" s="1"/>
  <c r="D234" i="23"/>
  <c r="F234" i="23" s="1"/>
  <c r="B240" i="28" l="1"/>
  <c r="D239" i="28"/>
  <c r="F239" i="28" s="1"/>
  <c r="J239" i="28" s="1"/>
  <c r="P239" i="28" s="1"/>
  <c r="A241" i="28"/>
  <c r="C240" i="28"/>
  <c r="E240" i="28" s="1"/>
  <c r="I240" i="28" s="1"/>
  <c r="N240" i="28"/>
  <c r="L241" i="28"/>
  <c r="J234" i="23"/>
  <c r="C236" i="23"/>
  <c r="E236" i="23" s="1"/>
  <c r="P233" i="23"/>
  <c r="N234" i="23"/>
  <c r="L235" i="23"/>
  <c r="I235" i="23" s="1"/>
  <c r="D235" i="23"/>
  <c r="F235" i="23" s="1"/>
  <c r="D240" i="28" l="1"/>
  <c r="F240" i="28" s="1"/>
  <c r="J240" i="28" s="1"/>
  <c r="P240" i="28" s="1"/>
  <c r="B241" i="28"/>
  <c r="A242" i="28"/>
  <c r="C241" i="28"/>
  <c r="E241" i="28" s="1"/>
  <c r="I241" i="28" s="1"/>
  <c r="L242" i="28"/>
  <c r="N241" i="28"/>
  <c r="J235" i="23"/>
  <c r="C237" i="23"/>
  <c r="E237" i="23" s="1"/>
  <c r="P234" i="23"/>
  <c r="N235" i="23"/>
  <c r="L236" i="23"/>
  <c r="I236" i="23" s="1"/>
  <c r="D236" i="23"/>
  <c r="F236" i="23" s="1"/>
  <c r="B242" i="28" l="1"/>
  <c r="D241" i="28"/>
  <c r="F241" i="28" s="1"/>
  <c r="J241" i="28" s="1"/>
  <c r="P241" i="28" s="1"/>
  <c r="A243" i="28"/>
  <c r="C242" i="28"/>
  <c r="E242" i="28" s="1"/>
  <c r="I242" i="28" s="1"/>
  <c r="N242" i="28"/>
  <c r="L243" i="28"/>
  <c r="J236" i="23"/>
  <c r="C238" i="23"/>
  <c r="E238" i="23" s="1"/>
  <c r="P235" i="23"/>
  <c r="N236" i="23"/>
  <c r="L237" i="23"/>
  <c r="I237" i="23" s="1"/>
  <c r="D237" i="23"/>
  <c r="F237" i="23" s="1"/>
  <c r="B243" i="28" l="1"/>
  <c r="D242" i="28"/>
  <c r="F242" i="28" s="1"/>
  <c r="J242" i="28" s="1"/>
  <c r="P242" i="28" s="1"/>
  <c r="A244" i="28"/>
  <c r="C243" i="28"/>
  <c r="E243" i="28" s="1"/>
  <c r="I243" i="28" s="1"/>
  <c r="L244" i="28"/>
  <c r="N243" i="28"/>
  <c r="J237" i="23"/>
  <c r="C239" i="23"/>
  <c r="E239" i="23" s="1"/>
  <c r="P236" i="23"/>
  <c r="N237" i="23"/>
  <c r="L238" i="23"/>
  <c r="I238" i="23" s="1"/>
  <c r="D238" i="23"/>
  <c r="F238" i="23" s="1"/>
  <c r="D243" i="28" l="1"/>
  <c r="F243" i="28" s="1"/>
  <c r="J243" i="28" s="1"/>
  <c r="P243" i="28" s="1"/>
  <c r="B244" i="28"/>
  <c r="A245" i="28"/>
  <c r="C244" i="28"/>
  <c r="E244" i="28" s="1"/>
  <c r="I244" i="28" s="1"/>
  <c r="N244" i="28"/>
  <c r="L245" i="28"/>
  <c r="J238" i="23"/>
  <c r="C240" i="23"/>
  <c r="E240" i="23" s="1"/>
  <c r="P237" i="23"/>
  <c r="N238" i="23"/>
  <c r="L239" i="23"/>
  <c r="I239" i="23" s="1"/>
  <c r="D239" i="23"/>
  <c r="F239" i="23" s="1"/>
  <c r="D244" i="28" l="1"/>
  <c r="F244" i="28" s="1"/>
  <c r="J244" i="28" s="1"/>
  <c r="P244" i="28" s="1"/>
  <c r="B245" i="28"/>
  <c r="A246" i="28"/>
  <c r="C245" i="28"/>
  <c r="E245" i="28" s="1"/>
  <c r="I245" i="28" s="1"/>
  <c r="L246" i="28"/>
  <c r="N245" i="28"/>
  <c r="J239" i="23"/>
  <c r="C241" i="23"/>
  <c r="E241" i="23" s="1"/>
  <c r="P238" i="23"/>
  <c r="N239" i="23"/>
  <c r="L240" i="23"/>
  <c r="I240" i="23" s="1"/>
  <c r="D240" i="23"/>
  <c r="F240" i="23" s="1"/>
  <c r="B246" i="28" l="1"/>
  <c r="D245" i="28"/>
  <c r="F245" i="28" s="1"/>
  <c r="J245" i="28" s="1"/>
  <c r="P245" i="28" s="1"/>
  <c r="A247" i="28"/>
  <c r="C246" i="28"/>
  <c r="E246" i="28" s="1"/>
  <c r="I246" i="28" s="1"/>
  <c r="N246" i="28"/>
  <c r="L247" i="28"/>
  <c r="J240" i="23"/>
  <c r="C242" i="23"/>
  <c r="E242" i="23" s="1"/>
  <c r="P239" i="23"/>
  <c r="N240" i="23"/>
  <c r="L241" i="23"/>
  <c r="I241" i="23" s="1"/>
  <c r="D241" i="23"/>
  <c r="F241" i="23" s="1"/>
  <c r="D246" i="28" l="1"/>
  <c r="F246" i="28" s="1"/>
  <c r="J246" i="28" s="1"/>
  <c r="P246" i="28" s="1"/>
  <c r="B247" i="28"/>
  <c r="A248" i="28"/>
  <c r="C247" i="28"/>
  <c r="E247" i="28" s="1"/>
  <c r="I247" i="28" s="1"/>
  <c r="L248" i="28"/>
  <c r="N247" i="28"/>
  <c r="J241" i="23"/>
  <c r="C243" i="23"/>
  <c r="E243" i="23" s="1"/>
  <c r="P240" i="23"/>
  <c r="N241" i="23"/>
  <c r="L242" i="23"/>
  <c r="I242" i="23" s="1"/>
  <c r="D242" i="23"/>
  <c r="F242" i="23" s="1"/>
  <c r="D247" i="28" l="1"/>
  <c r="F247" i="28" s="1"/>
  <c r="J247" i="28" s="1"/>
  <c r="P247" i="28" s="1"/>
  <c r="B248" i="28"/>
  <c r="A249" i="28"/>
  <c r="C248" i="28"/>
  <c r="E248" i="28" s="1"/>
  <c r="I248" i="28" s="1"/>
  <c r="N248" i="28"/>
  <c r="L249" i="28"/>
  <c r="J242" i="23"/>
  <c r="C244" i="23"/>
  <c r="E244" i="23" s="1"/>
  <c r="P241" i="23"/>
  <c r="N242" i="23"/>
  <c r="L243" i="23"/>
  <c r="I243" i="23" s="1"/>
  <c r="D243" i="23"/>
  <c r="F243" i="23" s="1"/>
  <c r="D248" i="28" l="1"/>
  <c r="F248" i="28" s="1"/>
  <c r="J248" i="28" s="1"/>
  <c r="P248" i="28" s="1"/>
  <c r="B249" i="28"/>
  <c r="A250" i="28"/>
  <c r="C249" i="28"/>
  <c r="E249" i="28" s="1"/>
  <c r="I249" i="28" s="1"/>
  <c r="L250" i="28"/>
  <c r="N249" i="28"/>
  <c r="J243" i="23"/>
  <c r="C245" i="23"/>
  <c r="E245" i="23" s="1"/>
  <c r="P242" i="23"/>
  <c r="N243" i="23"/>
  <c r="L244" i="23"/>
  <c r="I244" i="23" s="1"/>
  <c r="D244" i="23"/>
  <c r="F244" i="23" s="1"/>
  <c r="B250" i="28" l="1"/>
  <c r="D249" i="28"/>
  <c r="F249" i="28" s="1"/>
  <c r="J249" i="28" s="1"/>
  <c r="P249" i="28" s="1"/>
  <c r="A251" i="28"/>
  <c r="C250" i="28"/>
  <c r="E250" i="28" s="1"/>
  <c r="I250" i="28" s="1"/>
  <c r="N250" i="28"/>
  <c r="L251" i="28"/>
  <c r="J244" i="23"/>
  <c r="C246" i="23"/>
  <c r="E246" i="23" s="1"/>
  <c r="P243" i="23"/>
  <c r="N244" i="23"/>
  <c r="L245" i="23"/>
  <c r="I245" i="23" s="1"/>
  <c r="D245" i="23"/>
  <c r="F245" i="23" s="1"/>
  <c r="D250" i="28" l="1"/>
  <c r="F250" i="28" s="1"/>
  <c r="J250" i="28" s="1"/>
  <c r="P250" i="28" s="1"/>
  <c r="B251" i="28"/>
  <c r="A252" i="28"/>
  <c r="C251" i="28"/>
  <c r="E251" i="28" s="1"/>
  <c r="I251" i="28" s="1"/>
  <c r="L252" i="28"/>
  <c r="N251" i="28"/>
  <c r="J245" i="23"/>
  <c r="C247" i="23"/>
  <c r="E247" i="23" s="1"/>
  <c r="P244" i="23"/>
  <c r="N245" i="23"/>
  <c r="L246" i="23"/>
  <c r="I246" i="23" s="1"/>
  <c r="D246" i="23"/>
  <c r="F246" i="23" s="1"/>
  <c r="B252" i="28" l="1"/>
  <c r="D251" i="28"/>
  <c r="F251" i="28" s="1"/>
  <c r="J251" i="28" s="1"/>
  <c r="P251" i="28" s="1"/>
  <c r="A253" i="28"/>
  <c r="C252" i="28"/>
  <c r="E252" i="28" s="1"/>
  <c r="I252" i="28" s="1"/>
  <c r="N252" i="28"/>
  <c r="L253" i="28"/>
  <c r="J246" i="23"/>
  <c r="C248" i="23"/>
  <c r="E248" i="23" s="1"/>
  <c r="P245" i="23"/>
  <c r="N246" i="23"/>
  <c r="L247" i="23"/>
  <c r="I247" i="23" s="1"/>
  <c r="D247" i="23"/>
  <c r="F247" i="23" s="1"/>
  <c r="D252" i="28" l="1"/>
  <c r="F252" i="28" s="1"/>
  <c r="J252" i="28" s="1"/>
  <c r="P252" i="28" s="1"/>
  <c r="B253" i="28"/>
  <c r="A254" i="28"/>
  <c r="C253" i="28"/>
  <c r="E253" i="28" s="1"/>
  <c r="I253" i="28" s="1"/>
  <c r="L254" i="28"/>
  <c r="N253" i="28"/>
  <c r="J247" i="23"/>
  <c r="C249" i="23"/>
  <c r="E249" i="23" s="1"/>
  <c r="P246" i="23"/>
  <c r="N247" i="23"/>
  <c r="L248" i="23"/>
  <c r="I248" i="23" s="1"/>
  <c r="D248" i="23"/>
  <c r="F248" i="23" s="1"/>
  <c r="D253" i="28" l="1"/>
  <c r="F253" i="28" s="1"/>
  <c r="J253" i="28" s="1"/>
  <c r="P253" i="28" s="1"/>
  <c r="B254" i="28"/>
  <c r="A255" i="28"/>
  <c r="C254" i="28"/>
  <c r="E254" i="28" s="1"/>
  <c r="I254" i="28" s="1"/>
  <c r="N254" i="28"/>
  <c r="L255" i="28"/>
  <c r="J248" i="23"/>
  <c r="C250" i="23"/>
  <c r="E250" i="23" s="1"/>
  <c r="P247" i="23"/>
  <c r="N248" i="23"/>
  <c r="L249" i="23"/>
  <c r="I249" i="23" s="1"/>
  <c r="D249" i="23"/>
  <c r="F249" i="23" s="1"/>
  <c r="D254" i="28" l="1"/>
  <c r="F254" i="28" s="1"/>
  <c r="J254" i="28" s="1"/>
  <c r="P254" i="28" s="1"/>
  <c r="B255" i="28"/>
  <c r="A256" i="28"/>
  <c r="C255" i="28"/>
  <c r="E255" i="28" s="1"/>
  <c r="I255" i="28" s="1"/>
  <c r="L256" i="28"/>
  <c r="N255" i="28"/>
  <c r="J249" i="23"/>
  <c r="C251" i="23"/>
  <c r="E251" i="23" s="1"/>
  <c r="P248" i="23"/>
  <c r="N249" i="23"/>
  <c r="L250" i="23"/>
  <c r="I250" i="23" s="1"/>
  <c r="D250" i="23"/>
  <c r="F250" i="23" s="1"/>
  <c r="B256" i="28" l="1"/>
  <c r="D255" i="28"/>
  <c r="F255" i="28" s="1"/>
  <c r="J255" i="28" s="1"/>
  <c r="P255" i="28" s="1"/>
  <c r="A257" i="28"/>
  <c r="C256" i="28"/>
  <c r="E256" i="28" s="1"/>
  <c r="I256" i="28" s="1"/>
  <c r="N256" i="28"/>
  <c r="L257" i="28"/>
  <c r="J250" i="23"/>
  <c r="C252" i="23"/>
  <c r="E252" i="23" s="1"/>
  <c r="P249" i="23"/>
  <c r="N250" i="23"/>
  <c r="L251" i="23"/>
  <c r="I251" i="23" s="1"/>
  <c r="D251" i="23"/>
  <c r="F251" i="23" s="1"/>
  <c r="D256" i="28" l="1"/>
  <c r="F256" i="28" s="1"/>
  <c r="J256" i="28" s="1"/>
  <c r="P256" i="28" s="1"/>
  <c r="B257" i="28"/>
  <c r="A258" i="28"/>
  <c r="C257" i="28"/>
  <c r="E257" i="28" s="1"/>
  <c r="I257" i="28" s="1"/>
  <c r="L258" i="28"/>
  <c r="N257" i="28"/>
  <c r="J251" i="23"/>
  <c r="C253" i="23"/>
  <c r="E253" i="23" s="1"/>
  <c r="P250" i="23"/>
  <c r="N251" i="23"/>
  <c r="L252" i="23"/>
  <c r="I252" i="23" s="1"/>
  <c r="D252" i="23"/>
  <c r="F252" i="23" s="1"/>
  <c r="B258" i="28" l="1"/>
  <c r="D257" i="28"/>
  <c r="F257" i="28" s="1"/>
  <c r="J257" i="28" s="1"/>
  <c r="P257" i="28" s="1"/>
  <c r="A259" i="28"/>
  <c r="C258" i="28"/>
  <c r="E258" i="28" s="1"/>
  <c r="I258" i="28" s="1"/>
  <c r="N258" i="28"/>
  <c r="L259" i="28"/>
  <c r="J252" i="23"/>
  <c r="C254" i="23"/>
  <c r="E254" i="23" s="1"/>
  <c r="P251" i="23"/>
  <c r="N252" i="23"/>
  <c r="L253" i="23"/>
  <c r="I253" i="23" s="1"/>
  <c r="D253" i="23"/>
  <c r="F253" i="23" s="1"/>
  <c r="D258" i="28" l="1"/>
  <c r="F258" i="28" s="1"/>
  <c r="J258" i="28" s="1"/>
  <c r="P258" i="28" s="1"/>
  <c r="B259" i="28"/>
  <c r="A260" i="28"/>
  <c r="C259" i="28"/>
  <c r="E259" i="28" s="1"/>
  <c r="I259" i="28" s="1"/>
  <c r="L260" i="28"/>
  <c r="N259" i="28"/>
  <c r="J253" i="23"/>
  <c r="C255" i="23"/>
  <c r="E255" i="23" s="1"/>
  <c r="P252" i="23"/>
  <c r="N253" i="23"/>
  <c r="L254" i="23"/>
  <c r="I254" i="23" s="1"/>
  <c r="D254" i="23"/>
  <c r="F254" i="23" s="1"/>
  <c r="D259" i="28" l="1"/>
  <c r="F259" i="28" s="1"/>
  <c r="J259" i="28" s="1"/>
  <c r="P259" i="28" s="1"/>
  <c r="B260" i="28"/>
  <c r="A261" i="28"/>
  <c r="C260" i="28"/>
  <c r="E260" i="28" s="1"/>
  <c r="I260" i="28" s="1"/>
  <c r="N260" i="28"/>
  <c r="L261" i="28"/>
  <c r="J254" i="23"/>
  <c r="C256" i="23"/>
  <c r="E256" i="23" s="1"/>
  <c r="P253" i="23"/>
  <c r="N254" i="23"/>
  <c r="L255" i="23"/>
  <c r="I255" i="23" s="1"/>
  <c r="D255" i="23"/>
  <c r="F255" i="23" s="1"/>
  <c r="D260" i="28" l="1"/>
  <c r="F260" i="28" s="1"/>
  <c r="J260" i="28" s="1"/>
  <c r="P260" i="28" s="1"/>
  <c r="B261" i="28"/>
  <c r="A262" i="28"/>
  <c r="C261" i="28"/>
  <c r="E261" i="28" s="1"/>
  <c r="I261" i="28" s="1"/>
  <c r="L262" i="28"/>
  <c r="N261" i="28"/>
  <c r="J255" i="23"/>
  <c r="C257" i="23"/>
  <c r="E257" i="23" s="1"/>
  <c r="P254" i="23"/>
  <c r="N255" i="23"/>
  <c r="L256" i="23"/>
  <c r="I256" i="23" s="1"/>
  <c r="D256" i="23"/>
  <c r="F256" i="23" s="1"/>
  <c r="D261" i="28" l="1"/>
  <c r="F261" i="28" s="1"/>
  <c r="J261" i="28" s="1"/>
  <c r="P261" i="28" s="1"/>
  <c r="B262" i="28"/>
  <c r="A263" i="28"/>
  <c r="C262" i="28"/>
  <c r="E262" i="28" s="1"/>
  <c r="I262" i="28" s="1"/>
  <c r="N262" i="28"/>
  <c r="L263" i="28"/>
  <c r="J256" i="23"/>
  <c r="C258" i="23"/>
  <c r="E258" i="23" s="1"/>
  <c r="P255" i="23"/>
  <c r="N256" i="23"/>
  <c r="L257" i="23"/>
  <c r="I257" i="23" s="1"/>
  <c r="D257" i="23"/>
  <c r="F257" i="23" s="1"/>
  <c r="D262" i="28" l="1"/>
  <c r="F262" i="28" s="1"/>
  <c r="J262" i="28" s="1"/>
  <c r="P262" i="28" s="1"/>
  <c r="B263" i="28"/>
  <c r="A264" i="28"/>
  <c r="C263" i="28"/>
  <c r="E263" i="28" s="1"/>
  <c r="I263" i="28" s="1"/>
  <c r="L264" i="28"/>
  <c r="N263" i="28"/>
  <c r="J257" i="23"/>
  <c r="C259" i="23"/>
  <c r="E259" i="23" s="1"/>
  <c r="P256" i="23"/>
  <c r="N257" i="23"/>
  <c r="L258" i="23"/>
  <c r="I258" i="23" s="1"/>
  <c r="D258" i="23"/>
  <c r="F258" i="23" s="1"/>
  <c r="D263" i="28" l="1"/>
  <c r="F263" i="28" s="1"/>
  <c r="J263" i="28" s="1"/>
  <c r="P263" i="28" s="1"/>
  <c r="B264" i="28"/>
  <c r="A265" i="28"/>
  <c r="C264" i="28"/>
  <c r="E264" i="28" s="1"/>
  <c r="I264" i="28" s="1"/>
  <c r="N264" i="28"/>
  <c r="L265" i="28"/>
  <c r="J258" i="23"/>
  <c r="C260" i="23"/>
  <c r="E260" i="23" s="1"/>
  <c r="P257" i="23"/>
  <c r="N258" i="23"/>
  <c r="L259" i="23"/>
  <c r="I259" i="23" s="1"/>
  <c r="D259" i="23"/>
  <c r="F259" i="23" s="1"/>
  <c r="D264" i="28" l="1"/>
  <c r="F264" i="28" s="1"/>
  <c r="J264" i="28" s="1"/>
  <c r="P264" i="28" s="1"/>
  <c r="B265" i="28"/>
  <c r="A266" i="28"/>
  <c r="C265" i="28"/>
  <c r="E265" i="28" s="1"/>
  <c r="I265" i="28" s="1"/>
  <c r="L266" i="28"/>
  <c r="N265" i="28"/>
  <c r="J259" i="23"/>
  <c r="C261" i="23"/>
  <c r="E261" i="23" s="1"/>
  <c r="P258" i="23"/>
  <c r="N259" i="23"/>
  <c r="L260" i="23"/>
  <c r="I260" i="23" s="1"/>
  <c r="D260" i="23"/>
  <c r="F260" i="23" s="1"/>
  <c r="B266" i="28" l="1"/>
  <c r="D265" i="28"/>
  <c r="F265" i="28" s="1"/>
  <c r="J265" i="28" s="1"/>
  <c r="P265" i="28" s="1"/>
  <c r="A267" i="28"/>
  <c r="C266" i="28"/>
  <c r="E266" i="28" s="1"/>
  <c r="I266" i="28" s="1"/>
  <c r="N266" i="28"/>
  <c r="L267" i="28"/>
  <c r="J260" i="23"/>
  <c r="C262" i="23"/>
  <c r="E262" i="23" s="1"/>
  <c r="P259" i="23"/>
  <c r="N260" i="23"/>
  <c r="L261" i="23"/>
  <c r="I261" i="23" s="1"/>
  <c r="D261" i="23"/>
  <c r="F261" i="23" s="1"/>
  <c r="D266" i="28" l="1"/>
  <c r="F266" i="28" s="1"/>
  <c r="J266" i="28" s="1"/>
  <c r="P266" i="28" s="1"/>
  <c r="B267" i="28"/>
  <c r="A268" i="28"/>
  <c r="C267" i="28"/>
  <c r="E267" i="28" s="1"/>
  <c r="I267" i="28" s="1"/>
  <c r="L268" i="28"/>
  <c r="N267" i="28"/>
  <c r="J261" i="23"/>
  <c r="C263" i="23"/>
  <c r="E263" i="23" s="1"/>
  <c r="P260" i="23"/>
  <c r="N261" i="23"/>
  <c r="L262" i="23"/>
  <c r="I262" i="23" s="1"/>
  <c r="D262" i="23"/>
  <c r="F262" i="23" s="1"/>
  <c r="B268" i="28" l="1"/>
  <c r="D267" i="28"/>
  <c r="F267" i="28" s="1"/>
  <c r="J267" i="28" s="1"/>
  <c r="P267" i="28" s="1"/>
  <c r="A269" i="28"/>
  <c r="C268" i="28"/>
  <c r="E268" i="28" s="1"/>
  <c r="I268" i="28" s="1"/>
  <c r="N268" i="28"/>
  <c r="L269" i="28"/>
  <c r="J262" i="23"/>
  <c r="C264" i="23"/>
  <c r="E264" i="23" s="1"/>
  <c r="P261" i="23"/>
  <c r="N262" i="23"/>
  <c r="L263" i="23"/>
  <c r="I263" i="23" s="1"/>
  <c r="D263" i="23"/>
  <c r="F263" i="23" s="1"/>
  <c r="D268" i="28" l="1"/>
  <c r="F268" i="28" s="1"/>
  <c r="J268" i="28" s="1"/>
  <c r="P268" i="28" s="1"/>
  <c r="B269" i="28"/>
  <c r="A270" i="28"/>
  <c r="C269" i="28"/>
  <c r="E269" i="28" s="1"/>
  <c r="I269" i="28" s="1"/>
  <c r="L270" i="28"/>
  <c r="N269" i="28"/>
  <c r="J263" i="23"/>
  <c r="C265" i="23"/>
  <c r="E265" i="23" s="1"/>
  <c r="P262" i="23"/>
  <c r="N263" i="23"/>
  <c r="L264" i="23"/>
  <c r="I264" i="23" s="1"/>
  <c r="D264" i="23"/>
  <c r="F264" i="23" s="1"/>
  <c r="B270" i="28" l="1"/>
  <c r="D269" i="28"/>
  <c r="F269" i="28" s="1"/>
  <c r="J269" i="28" s="1"/>
  <c r="P269" i="28" s="1"/>
  <c r="A271" i="28"/>
  <c r="C270" i="28"/>
  <c r="E270" i="28" s="1"/>
  <c r="I270" i="28" s="1"/>
  <c r="N270" i="28"/>
  <c r="L271" i="28"/>
  <c r="J264" i="23"/>
  <c r="C266" i="23"/>
  <c r="E266" i="23" s="1"/>
  <c r="P263" i="23"/>
  <c r="N264" i="23"/>
  <c r="L265" i="23"/>
  <c r="I265" i="23" s="1"/>
  <c r="D265" i="23"/>
  <c r="F265" i="23" s="1"/>
  <c r="D270" i="28" l="1"/>
  <c r="F270" i="28" s="1"/>
  <c r="J270" i="28" s="1"/>
  <c r="P270" i="28" s="1"/>
  <c r="B271" i="28"/>
  <c r="A272" i="28"/>
  <c r="C271" i="28"/>
  <c r="E271" i="28" s="1"/>
  <c r="I271" i="28" s="1"/>
  <c r="L272" i="28"/>
  <c r="N271" i="28"/>
  <c r="J265" i="23"/>
  <c r="C267" i="23"/>
  <c r="E267" i="23" s="1"/>
  <c r="P264" i="23"/>
  <c r="N265" i="23"/>
  <c r="L266" i="23"/>
  <c r="I266" i="23" s="1"/>
  <c r="D266" i="23"/>
  <c r="F266" i="23" s="1"/>
  <c r="B272" i="28" l="1"/>
  <c r="D271" i="28"/>
  <c r="F271" i="28" s="1"/>
  <c r="J271" i="28" s="1"/>
  <c r="P271" i="28" s="1"/>
  <c r="A273" i="28"/>
  <c r="C272" i="28"/>
  <c r="E272" i="28" s="1"/>
  <c r="I272" i="28" s="1"/>
  <c r="N272" i="28"/>
  <c r="L273" i="28"/>
  <c r="J266" i="23"/>
  <c r="C268" i="23"/>
  <c r="E268" i="23" s="1"/>
  <c r="P265" i="23"/>
  <c r="N266" i="23"/>
  <c r="L267" i="23"/>
  <c r="I267" i="23" s="1"/>
  <c r="D267" i="23"/>
  <c r="F267" i="23" s="1"/>
  <c r="D272" i="28" l="1"/>
  <c r="F272" i="28" s="1"/>
  <c r="J272" i="28" s="1"/>
  <c r="P272" i="28" s="1"/>
  <c r="B273" i="28"/>
  <c r="A274" i="28"/>
  <c r="C273" i="28"/>
  <c r="E273" i="28" s="1"/>
  <c r="I273" i="28" s="1"/>
  <c r="L274" i="28"/>
  <c r="N273" i="28"/>
  <c r="J267" i="23"/>
  <c r="C269" i="23"/>
  <c r="E269" i="23" s="1"/>
  <c r="P266" i="23"/>
  <c r="N267" i="23"/>
  <c r="L268" i="23"/>
  <c r="I268" i="23" s="1"/>
  <c r="D268" i="23"/>
  <c r="F268" i="23" s="1"/>
  <c r="B274" i="28" l="1"/>
  <c r="D273" i="28"/>
  <c r="F273" i="28" s="1"/>
  <c r="J273" i="28" s="1"/>
  <c r="P273" i="28" s="1"/>
  <c r="A275" i="28"/>
  <c r="C274" i="28"/>
  <c r="E274" i="28" s="1"/>
  <c r="I274" i="28" s="1"/>
  <c r="N274" i="28"/>
  <c r="L275" i="28"/>
  <c r="J268" i="23"/>
  <c r="C270" i="23"/>
  <c r="E270" i="23" s="1"/>
  <c r="P267" i="23"/>
  <c r="N268" i="23"/>
  <c r="L269" i="23"/>
  <c r="I269" i="23" s="1"/>
  <c r="D269" i="23"/>
  <c r="F269" i="23" s="1"/>
  <c r="D274" i="28" l="1"/>
  <c r="F274" i="28" s="1"/>
  <c r="J274" i="28" s="1"/>
  <c r="P274" i="28" s="1"/>
  <c r="B275" i="28"/>
  <c r="A276" i="28"/>
  <c r="C275" i="28"/>
  <c r="E275" i="28" s="1"/>
  <c r="I275" i="28" s="1"/>
  <c r="L276" i="28"/>
  <c r="N275" i="28"/>
  <c r="J269" i="23"/>
  <c r="C271" i="23"/>
  <c r="E271" i="23" s="1"/>
  <c r="P268" i="23"/>
  <c r="N269" i="23"/>
  <c r="L270" i="23"/>
  <c r="I270" i="23" s="1"/>
  <c r="D270" i="23"/>
  <c r="F270" i="23" s="1"/>
  <c r="B276" i="28" l="1"/>
  <c r="D275" i="28"/>
  <c r="F275" i="28" s="1"/>
  <c r="J275" i="28" s="1"/>
  <c r="P275" i="28" s="1"/>
  <c r="A277" i="28"/>
  <c r="C276" i="28"/>
  <c r="E276" i="28" s="1"/>
  <c r="I276" i="28" s="1"/>
  <c r="N276" i="28"/>
  <c r="L277" i="28"/>
  <c r="J270" i="23"/>
  <c r="C272" i="23"/>
  <c r="E272" i="23" s="1"/>
  <c r="P269" i="23"/>
  <c r="N270" i="23"/>
  <c r="L271" i="23"/>
  <c r="I271" i="23" s="1"/>
  <c r="D271" i="23"/>
  <c r="F271" i="23" s="1"/>
  <c r="D276" i="28" l="1"/>
  <c r="F276" i="28" s="1"/>
  <c r="J276" i="28" s="1"/>
  <c r="P276" i="28" s="1"/>
  <c r="B277" i="28"/>
  <c r="A278" i="28"/>
  <c r="C277" i="28"/>
  <c r="E277" i="28" s="1"/>
  <c r="I277" i="28" s="1"/>
  <c r="L278" i="28"/>
  <c r="N277" i="28"/>
  <c r="J271" i="23"/>
  <c r="C273" i="23"/>
  <c r="E273" i="23" s="1"/>
  <c r="P270" i="23"/>
  <c r="N271" i="23"/>
  <c r="L272" i="23"/>
  <c r="I272" i="23" s="1"/>
  <c r="D272" i="23"/>
  <c r="F272" i="23" s="1"/>
  <c r="D277" i="28" l="1"/>
  <c r="F277" i="28" s="1"/>
  <c r="J277" i="28" s="1"/>
  <c r="P277" i="28" s="1"/>
  <c r="B278" i="28"/>
  <c r="A279" i="28"/>
  <c r="C278" i="28"/>
  <c r="E278" i="28" s="1"/>
  <c r="I278" i="28" s="1"/>
  <c r="N278" i="28"/>
  <c r="L279" i="28"/>
  <c r="J272" i="23"/>
  <c r="C274" i="23"/>
  <c r="E274" i="23" s="1"/>
  <c r="P271" i="23"/>
  <c r="N272" i="23"/>
  <c r="L273" i="23"/>
  <c r="I273" i="23" s="1"/>
  <c r="D273" i="23"/>
  <c r="F273" i="23" s="1"/>
  <c r="B279" i="28" l="1"/>
  <c r="D278" i="28"/>
  <c r="F278" i="28" s="1"/>
  <c r="J278" i="28" s="1"/>
  <c r="P278" i="28" s="1"/>
  <c r="A280" i="28"/>
  <c r="C279" i="28"/>
  <c r="E279" i="28" s="1"/>
  <c r="I279" i="28" s="1"/>
  <c r="L280" i="28"/>
  <c r="N279" i="28"/>
  <c r="J273" i="23"/>
  <c r="C275" i="23"/>
  <c r="E275" i="23" s="1"/>
  <c r="P272" i="23"/>
  <c r="N273" i="23"/>
  <c r="L274" i="23"/>
  <c r="I274" i="23" s="1"/>
  <c r="D274" i="23"/>
  <c r="F274" i="23" s="1"/>
  <c r="B280" i="28" l="1"/>
  <c r="D279" i="28"/>
  <c r="F279" i="28" s="1"/>
  <c r="J279" i="28" s="1"/>
  <c r="P279" i="28" s="1"/>
  <c r="A281" i="28"/>
  <c r="C280" i="28"/>
  <c r="E280" i="28" s="1"/>
  <c r="I280" i="28" s="1"/>
  <c r="N280" i="28"/>
  <c r="L281" i="28"/>
  <c r="J274" i="23"/>
  <c r="C276" i="23"/>
  <c r="E276" i="23" s="1"/>
  <c r="P273" i="23"/>
  <c r="N274" i="23"/>
  <c r="L275" i="23"/>
  <c r="I275" i="23" s="1"/>
  <c r="D275" i="23"/>
  <c r="F275" i="23" s="1"/>
  <c r="D280" i="28" l="1"/>
  <c r="F280" i="28" s="1"/>
  <c r="J280" i="28" s="1"/>
  <c r="P280" i="28" s="1"/>
  <c r="B281" i="28"/>
  <c r="A282" i="28"/>
  <c r="C281" i="28"/>
  <c r="L282" i="28"/>
  <c r="N281" i="28"/>
  <c r="E281" i="28"/>
  <c r="I281" i="28" s="1"/>
  <c r="J275" i="23"/>
  <c r="C277" i="23"/>
  <c r="E277" i="23" s="1"/>
  <c r="P274" i="23"/>
  <c r="N275" i="23"/>
  <c r="L276" i="23"/>
  <c r="I276" i="23" s="1"/>
  <c r="D276" i="23"/>
  <c r="F276" i="23" s="1"/>
  <c r="D281" i="28" l="1"/>
  <c r="F281" i="28" s="1"/>
  <c r="J281" i="28" s="1"/>
  <c r="P281" i="28" s="1"/>
  <c r="B282" i="28"/>
  <c r="A283" i="28"/>
  <c r="C282" i="28"/>
  <c r="E282" i="28" s="1"/>
  <c r="I282" i="28" s="1"/>
  <c r="N282" i="28"/>
  <c r="L283" i="28"/>
  <c r="J276" i="23"/>
  <c r="C278" i="23"/>
  <c r="E278" i="23" s="1"/>
  <c r="P275" i="23"/>
  <c r="N276" i="23"/>
  <c r="L277" i="23"/>
  <c r="I277" i="23" s="1"/>
  <c r="D277" i="23"/>
  <c r="F277" i="23" s="1"/>
  <c r="D282" i="28" l="1"/>
  <c r="F282" i="28" s="1"/>
  <c r="J282" i="28" s="1"/>
  <c r="P282" i="28" s="1"/>
  <c r="B283" i="28"/>
  <c r="A284" i="28"/>
  <c r="C283" i="28"/>
  <c r="E283" i="28" s="1"/>
  <c r="I283" i="28" s="1"/>
  <c r="L284" i="28"/>
  <c r="N283" i="28"/>
  <c r="J277" i="23"/>
  <c r="C279" i="23"/>
  <c r="E279" i="23" s="1"/>
  <c r="P276" i="23"/>
  <c r="N277" i="23"/>
  <c r="L278" i="23"/>
  <c r="I278" i="23" s="1"/>
  <c r="D278" i="23"/>
  <c r="F278" i="23" s="1"/>
  <c r="D283" i="28" l="1"/>
  <c r="F283" i="28" s="1"/>
  <c r="J283" i="28" s="1"/>
  <c r="P283" i="28" s="1"/>
  <c r="B284" i="28"/>
  <c r="A285" i="28"/>
  <c r="C284" i="28"/>
  <c r="E284" i="28" s="1"/>
  <c r="I284" i="28" s="1"/>
  <c r="N284" i="28"/>
  <c r="L285" i="28"/>
  <c r="J278" i="23"/>
  <c r="C280" i="23"/>
  <c r="E280" i="23" s="1"/>
  <c r="P277" i="23"/>
  <c r="N278" i="23"/>
  <c r="L279" i="23"/>
  <c r="I279" i="23" s="1"/>
  <c r="D279" i="23"/>
  <c r="F279" i="23" s="1"/>
  <c r="D284" i="28" l="1"/>
  <c r="F284" i="28" s="1"/>
  <c r="J284" i="28" s="1"/>
  <c r="P284" i="28" s="1"/>
  <c r="B285" i="28"/>
  <c r="A286" i="28"/>
  <c r="C285" i="28"/>
  <c r="L286" i="28"/>
  <c r="N285" i="28"/>
  <c r="E285" i="28"/>
  <c r="I285" i="28" s="1"/>
  <c r="J279" i="23"/>
  <c r="C281" i="23"/>
  <c r="E281" i="23" s="1"/>
  <c r="P278" i="23"/>
  <c r="N279" i="23"/>
  <c r="L280" i="23"/>
  <c r="I280" i="23" s="1"/>
  <c r="D280" i="23"/>
  <c r="F280" i="23" s="1"/>
  <c r="B286" i="28" l="1"/>
  <c r="D285" i="28"/>
  <c r="F285" i="28" s="1"/>
  <c r="J285" i="28" s="1"/>
  <c r="P285" i="28" s="1"/>
  <c r="A287" i="28"/>
  <c r="C286" i="28"/>
  <c r="E286" i="28" s="1"/>
  <c r="I286" i="28" s="1"/>
  <c r="N286" i="28"/>
  <c r="L287" i="28"/>
  <c r="J280" i="23"/>
  <c r="C282" i="23"/>
  <c r="E282" i="23" s="1"/>
  <c r="P279" i="23"/>
  <c r="N280" i="23"/>
  <c r="L281" i="23"/>
  <c r="I281" i="23" s="1"/>
  <c r="D281" i="23"/>
  <c r="F281" i="23" s="1"/>
  <c r="D286" i="28" l="1"/>
  <c r="F286" i="28" s="1"/>
  <c r="J286" i="28" s="1"/>
  <c r="P286" i="28" s="1"/>
  <c r="B287" i="28"/>
  <c r="A288" i="28"/>
  <c r="C287" i="28"/>
  <c r="E287" i="28" s="1"/>
  <c r="I287" i="28" s="1"/>
  <c r="L288" i="28"/>
  <c r="N287" i="28"/>
  <c r="J281" i="23"/>
  <c r="C283" i="23"/>
  <c r="E283" i="23" s="1"/>
  <c r="P280" i="23"/>
  <c r="N281" i="23"/>
  <c r="L282" i="23"/>
  <c r="I282" i="23" s="1"/>
  <c r="D282" i="23"/>
  <c r="F282" i="23" s="1"/>
  <c r="B288" i="28" l="1"/>
  <c r="D287" i="28"/>
  <c r="F287" i="28" s="1"/>
  <c r="J287" i="28" s="1"/>
  <c r="P287" i="28" s="1"/>
  <c r="A289" i="28"/>
  <c r="C288" i="28"/>
  <c r="E288" i="28" s="1"/>
  <c r="I288" i="28" s="1"/>
  <c r="N288" i="28"/>
  <c r="L289" i="28"/>
  <c r="J282" i="23"/>
  <c r="C284" i="23"/>
  <c r="E284" i="23" s="1"/>
  <c r="P281" i="23"/>
  <c r="N282" i="23"/>
  <c r="L283" i="23"/>
  <c r="I283" i="23" s="1"/>
  <c r="D283" i="23"/>
  <c r="F283" i="23" s="1"/>
  <c r="D288" i="28" l="1"/>
  <c r="F288" i="28" s="1"/>
  <c r="J288" i="28" s="1"/>
  <c r="P288" i="28" s="1"/>
  <c r="B289" i="28"/>
  <c r="A290" i="28"/>
  <c r="C289" i="28"/>
  <c r="E289" i="28" s="1"/>
  <c r="I289" i="28" s="1"/>
  <c r="L290" i="28"/>
  <c r="N289" i="28"/>
  <c r="J283" i="23"/>
  <c r="C285" i="23"/>
  <c r="E285" i="23" s="1"/>
  <c r="P282" i="23"/>
  <c r="N283" i="23"/>
  <c r="L284" i="23"/>
  <c r="I284" i="23" s="1"/>
  <c r="D284" i="23"/>
  <c r="F284" i="23" s="1"/>
  <c r="D289" i="28" l="1"/>
  <c r="F289" i="28" s="1"/>
  <c r="J289" i="28" s="1"/>
  <c r="P289" i="28" s="1"/>
  <c r="B290" i="28"/>
  <c r="A291" i="28"/>
  <c r="C290" i="28"/>
  <c r="E290" i="28" s="1"/>
  <c r="I290" i="28" s="1"/>
  <c r="N290" i="28"/>
  <c r="L291" i="28"/>
  <c r="J284" i="23"/>
  <c r="C286" i="23"/>
  <c r="E286" i="23" s="1"/>
  <c r="P283" i="23"/>
  <c r="N284" i="23"/>
  <c r="L285" i="23"/>
  <c r="I285" i="23" s="1"/>
  <c r="D285" i="23"/>
  <c r="F285" i="23" s="1"/>
  <c r="D290" i="28" l="1"/>
  <c r="F290" i="28" s="1"/>
  <c r="J290" i="28" s="1"/>
  <c r="P290" i="28" s="1"/>
  <c r="B291" i="28"/>
  <c r="A292" i="28"/>
  <c r="C291" i="28"/>
  <c r="E291" i="28" s="1"/>
  <c r="I291" i="28" s="1"/>
  <c r="L292" i="28"/>
  <c r="N291" i="28"/>
  <c r="J285" i="23"/>
  <c r="C287" i="23"/>
  <c r="E287" i="23" s="1"/>
  <c r="P284" i="23"/>
  <c r="N285" i="23"/>
  <c r="L286" i="23"/>
  <c r="I286" i="23" s="1"/>
  <c r="D286" i="23"/>
  <c r="F286" i="23" s="1"/>
  <c r="B292" i="28" l="1"/>
  <c r="D291" i="28"/>
  <c r="F291" i="28" s="1"/>
  <c r="J291" i="28" s="1"/>
  <c r="P291" i="28" s="1"/>
  <c r="A293" i="28"/>
  <c r="C292" i="28"/>
  <c r="E292" i="28" s="1"/>
  <c r="I292" i="28" s="1"/>
  <c r="N292" i="28"/>
  <c r="L293" i="28"/>
  <c r="J286" i="23"/>
  <c r="C288" i="23"/>
  <c r="E288" i="23" s="1"/>
  <c r="P285" i="23"/>
  <c r="N286" i="23"/>
  <c r="L287" i="23"/>
  <c r="I287" i="23" s="1"/>
  <c r="D287" i="23"/>
  <c r="F287" i="23" s="1"/>
  <c r="D292" i="28" l="1"/>
  <c r="F292" i="28" s="1"/>
  <c r="J292" i="28" s="1"/>
  <c r="P292" i="28" s="1"/>
  <c r="B293" i="28"/>
  <c r="A294" i="28"/>
  <c r="C293" i="28"/>
  <c r="E293" i="28" s="1"/>
  <c r="I293" i="28" s="1"/>
  <c r="L294" i="28"/>
  <c r="N293" i="28"/>
  <c r="J287" i="23"/>
  <c r="C289" i="23"/>
  <c r="E289" i="23" s="1"/>
  <c r="P286" i="23"/>
  <c r="N287" i="23"/>
  <c r="L288" i="23"/>
  <c r="I288" i="23" s="1"/>
  <c r="D288" i="23"/>
  <c r="F288" i="23" s="1"/>
  <c r="B294" i="28" l="1"/>
  <c r="D293" i="28"/>
  <c r="F293" i="28" s="1"/>
  <c r="J293" i="28" s="1"/>
  <c r="P293" i="28" s="1"/>
  <c r="A295" i="28"/>
  <c r="C294" i="28"/>
  <c r="E294" i="28" s="1"/>
  <c r="I294" i="28" s="1"/>
  <c r="N294" i="28"/>
  <c r="L295" i="28"/>
  <c r="J288" i="23"/>
  <c r="C290" i="23"/>
  <c r="E290" i="23" s="1"/>
  <c r="P287" i="23"/>
  <c r="N288" i="23"/>
  <c r="L289" i="23"/>
  <c r="I289" i="23" s="1"/>
  <c r="D289" i="23"/>
  <c r="F289" i="23" s="1"/>
  <c r="D294" i="28" l="1"/>
  <c r="F294" i="28" s="1"/>
  <c r="J294" i="28" s="1"/>
  <c r="P294" i="28" s="1"/>
  <c r="B295" i="28"/>
  <c r="A296" i="28"/>
  <c r="C295" i="28"/>
  <c r="E295" i="28" s="1"/>
  <c r="I295" i="28" s="1"/>
  <c r="L296" i="28"/>
  <c r="N295" i="28"/>
  <c r="J289" i="23"/>
  <c r="C291" i="23"/>
  <c r="E291" i="23" s="1"/>
  <c r="P288" i="23"/>
  <c r="N289" i="23"/>
  <c r="L290" i="23"/>
  <c r="I290" i="23" s="1"/>
  <c r="D290" i="23"/>
  <c r="F290" i="23" s="1"/>
  <c r="D295" i="28" l="1"/>
  <c r="F295" i="28" s="1"/>
  <c r="J295" i="28" s="1"/>
  <c r="P295" i="28" s="1"/>
  <c r="B296" i="28"/>
  <c r="A297" i="28"/>
  <c r="C296" i="28"/>
  <c r="E296" i="28" s="1"/>
  <c r="I296" i="28" s="1"/>
  <c r="N296" i="28"/>
  <c r="L297" i="28"/>
  <c r="J290" i="23"/>
  <c r="C292" i="23"/>
  <c r="E292" i="23" s="1"/>
  <c r="P289" i="23"/>
  <c r="N290" i="23"/>
  <c r="L291" i="23"/>
  <c r="I291" i="23" s="1"/>
  <c r="D291" i="23"/>
  <c r="F291" i="23" s="1"/>
  <c r="D296" i="28" l="1"/>
  <c r="F296" i="28" s="1"/>
  <c r="J296" i="28" s="1"/>
  <c r="P296" i="28" s="1"/>
  <c r="B297" i="28"/>
  <c r="A298" i="28"/>
  <c r="C297" i="28"/>
  <c r="E297" i="28" s="1"/>
  <c r="I297" i="28" s="1"/>
  <c r="L298" i="28"/>
  <c r="N297" i="28"/>
  <c r="J291" i="23"/>
  <c r="C293" i="23"/>
  <c r="E293" i="23" s="1"/>
  <c r="P290" i="23"/>
  <c r="N291" i="23"/>
  <c r="L292" i="23"/>
  <c r="I292" i="23" s="1"/>
  <c r="D292" i="23"/>
  <c r="F292" i="23" s="1"/>
  <c r="B298" i="28" l="1"/>
  <c r="D297" i="28"/>
  <c r="F297" i="28" s="1"/>
  <c r="J297" i="28" s="1"/>
  <c r="P297" i="28" s="1"/>
  <c r="A299" i="28"/>
  <c r="C298" i="28"/>
  <c r="E298" i="28" s="1"/>
  <c r="I298" i="28" s="1"/>
  <c r="N298" i="28"/>
  <c r="L299" i="28"/>
  <c r="J292" i="23"/>
  <c r="C294" i="23"/>
  <c r="E294" i="23" s="1"/>
  <c r="P291" i="23"/>
  <c r="N292" i="23"/>
  <c r="L293" i="23"/>
  <c r="I293" i="23" s="1"/>
  <c r="D293" i="23"/>
  <c r="F293" i="23" s="1"/>
  <c r="D298" i="28" l="1"/>
  <c r="F298" i="28" s="1"/>
  <c r="J298" i="28" s="1"/>
  <c r="P298" i="28" s="1"/>
  <c r="B299" i="28"/>
  <c r="A300" i="28"/>
  <c r="C299" i="28"/>
  <c r="E299" i="28" s="1"/>
  <c r="I299" i="28" s="1"/>
  <c r="L300" i="28"/>
  <c r="N299" i="28"/>
  <c r="J293" i="23"/>
  <c r="C295" i="23"/>
  <c r="E295" i="23" s="1"/>
  <c r="P292" i="23"/>
  <c r="N293" i="23"/>
  <c r="L294" i="23"/>
  <c r="I294" i="23" s="1"/>
  <c r="D294" i="23"/>
  <c r="F294" i="23" s="1"/>
  <c r="B300" i="28" l="1"/>
  <c r="D299" i="28"/>
  <c r="F299" i="28" s="1"/>
  <c r="J299" i="28" s="1"/>
  <c r="P299" i="28" s="1"/>
  <c r="A301" i="28"/>
  <c r="C300" i="28"/>
  <c r="E300" i="28" s="1"/>
  <c r="I300" i="28" s="1"/>
  <c r="N300" i="28"/>
  <c r="L301" i="28"/>
  <c r="J294" i="23"/>
  <c r="C296" i="23"/>
  <c r="E296" i="23" s="1"/>
  <c r="P293" i="23"/>
  <c r="N294" i="23"/>
  <c r="L295" i="23"/>
  <c r="I295" i="23" s="1"/>
  <c r="D295" i="23"/>
  <c r="F295" i="23" s="1"/>
  <c r="D300" i="28" l="1"/>
  <c r="F300" i="28" s="1"/>
  <c r="J300" i="28" s="1"/>
  <c r="P300" i="28" s="1"/>
  <c r="B301" i="28"/>
  <c r="A302" i="28"/>
  <c r="C301" i="28"/>
  <c r="E301" i="28" s="1"/>
  <c r="I301" i="28" s="1"/>
  <c r="L302" i="28"/>
  <c r="N301" i="28"/>
  <c r="J295" i="23"/>
  <c r="C297" i="23"/>
  <c r="E297" i="23" s="1"/>
  <c r="P294" i="23"/>
  <c r="N295" i="23"/>
  <c r="L296" i="23"/>
  <c r="I296" i="23" s="1"/>
  <c r="D296" i="23"/>
  <c r="F296" i="23" s="1"/>
  <c r="B302" i="28" l="1"/>
  <c r="D301" i="28"/>
  <c r="F301" i="28" s="1"/>
  <c r="J301" i="28" s="1"/>
  <c r="P301" i="28" s="1"/>
  <c r="A303" i="28"/>
  <c r="C302" i="28"/>
  <c r="E302" i="28" s="1"/>
  <c r="I302" i="28" s="1"/>
  <c r="N302" i="28"/>
  <c r="L303" i="28"/>
  <c r="J296" i="23"/>
  <c r="C298" i="23"/>
  <c r="E298" i="23" s="1"/>
  <c r="P295" i="23"/>
  <c r="N296" i="23"/>
  <c r="L297" i="23"/>
  <c r="I297" i="23" s="1"/>
  <c r="D297" i="23"/>
  <c r="F297" i="23" s="1"/>
  <c r="D302" i="28" l="1"/>
  <c r="F302" i="28" s="1"/>
  <c r="J302" i="28" s="1"/>
  <c r="P302" i="28" s="1"/>
  <c r="B303" i="28"/>
  <c r="A304" i="28"/>
  <c r="C303" i="28"/>
  <c r="L304" i="28"/>
  <c r="N303" i="28"/>
  <c r="E303" i="28"/>
  <c r="I303" i="28" s="1"/>
  <c r="J297" i="23"/>
  <c r="C299" i="23"/>
  <c r="E299" i="23" s="1"/>
  <c r="P296" i="23"/>
  <c r="N297" i="23"/>
  <c r="L298" i="23"/>
  <c r="I298" i="23" s="1"/>
  <c r="D298" i="23"/>
  <c r="F298" i="23" s="1"/>
  <c r="B304" i="28" l="1"/>
  <c r="D303" i="28"/>
  <c r="F303" i="28" s="1"/>
  <c r="J303" i="28" s="1"/>
  <c r="P303" i="28" s="1"/>
  <c r="A305" i="28"/>
  <c r="C304" i="28"/>
  <c r="E304" i="28" s="1"/>
  <c r="I304" i="28" s="1"/>
  <c r="N304" i="28"/>
  <c r="L305" i="28"/>
  <c r="J298" i="23"/>
  <c r="C300" i="23"/>
  <c r="E300" i="23" s="1"/>
  <c r="P297" i="23"/>
  <c r="N298" i="23"/>
  <c r="L299" i="23"/>
  <c r="I299" i="23" s="1"/>
  <c r="D299" i="23"/>
  <c r="F299" i="23" s="1"/>
  <c r="D304" i="28" l="1"/>
  <c r="F304" i="28" s="1"/>
  <c r="J304" i="28" s="1"/>
  <c r="P304" i="28" s="1"/>
  <c r="B305" i="28"/>
  <c r="A306" i="28"/>
  <c r="C305" i="28"/>
  <c r="E305" i="28" s="1"/>
  <c r="I305" i="28" s="1"/>
  <c r="L306" i="28"/>
  <c r="N305" i="28"/>
  <c r="J299" i="23"/>
  <c r="C301" i="23"/>
  <c r="E301" i="23" s="1"/>
  <c r="P298" i="23"/>
  <c r="N299" i="23"/>
  <c r="L300" i="23"/>
  <c r="I300" i="23" s="1"/>
  <c r="D300" i="23"/>
  <c r="F300" i="23" s="1"/>
  <c r="B306" i="28" l="1"/>
  <c r="D305" i="28"/>
  <c r="F305" i="28" s="1"/>
  <c r="J305" i="28" s="1"/>
  <c r="P305" i="28" s="1"/>
  <c r="A307" i="28"/>
  <c r="C306" i="28"/>
  <c r="E306" i="28" s="1"/>
  <c r="I306" i="28" s="1"/>
  <c r="N306" i="28"/>
  <c r="L307" i="28"/>
  <c r="J300" i="23"/>
  <c r="C302" i="23"/>
  <c r="E302" i="23" s="1"/>
  <c r="P299" i="23"/>
  <c r="N300" i="23"/>
  <c r="L301" i="23"/>
  <c r="I301" i="23" s="1"/>
  <c r="D301" i="23"/>
  <c r="F301" i="23" s="1"/>
  <c r="D306" i="28" l="1"/>
  <c r="F306" i="28" s="1"/>
  <c r="J306" i="28" s="1"/>
  <c r="P306" i="28" s="1"/>
  <c r="B307" i="28"/>
  <c r="A308" i="28"/>
  <c r="C307" i="28"/>
  <c r="L308" i="28"/>
  <c r="N307" i="28"/>
  <c r="E307" i="28"/>
  <c r="I307" i="28" s="1"/>
  <c r="J301" i="23"/>
  <c r="C303" i="23"/>
  <c r="E303" i="23" s="1"/>
  <c r="P300" i="23"/>
  <c r="N301" i="23"/>
  <c r="L302" i="23"/>
  <c r="I302" i="23" s="1"/>
  <c r="D302" i="23"/>
  <c r="F302" i="23" s="1"/>
  <c r="D307" i="28" l="1"/>
  <c r="F307" i="28" s="1"/>
  <c r="J307" i="28" s="1"/>
  <c r="P307" i="28" s="1"/>
  <c r="B308" i="28"/>
  <c r="A309" i="28"/>
  <c r="C308" i="28"/>
  <c r="E308" i="28" s="1"/>
  <c r="I308" i="28" s="1"/>
  <c r="N308" i="28"/>
  <c r="L309" i="28"/>
  <c r="J302" i="23"/>
  <c r="C304" i="23"/>
  <c r="E304" i="23" s="1"/>
  <c r="P301" i="23"/>
  <c r="N302" i="23"/>
  <c r="L303" i="23"/>
  <c r="I303" i="23" s="1"/>
  <c r="D303" i="23"/>
  <c r="F303" i="23" s="1"/>
  <c r="D308" i="28" l="1"/>
  <c r="F308" i="28" s="1"/>
  <c r="J308" i="28" s="1"/>
  <c r="P308" i="28" s="1"/>
  <c r="B309" i="28"/>
  <c r="A310" i="28"/>
  <c r="C309" i="28"/>
  <c r="E309" i="28" s="1"/>
  <c r="I309" i="28" s="1"/>
  <c r="L310" i="28"/>
  <c r="N309" i="28"/>
  <c r="J303" i="23"/>
  <c r="C305" i="23"/>
  <c r="E305" i="23" s="1"/>
  <c r="P302" i="23"/>
  <c r="N303" i="23"/>
  <c r="L304" i="23"/>
  <c r="I304" i="23" s="1"/>
  <c r="D304" i="23"/>
  <c r="F304" i="23" s="1"/>
  <c r="D309" i="28" l="1"/>
  <c r="F309" i="28" s="1"/>
  <c r="J309" i="28" s="1"/>
  <c r="P309" i="28" s="1"/>
  <c r="B310" i="28"/>
  <c r="A311" i="28"/>
  <c r="C310" i="28"/>
  <c r="E310" i="28" s="1"/>
  <c r="I310" i="28" s="1"/>
  <c r="N310" i="28"/>
  <c r="L311" i="28"/>
  <c r="J304" i="23"/>
  <c r="C306" i="23"/>
  <c r="E306" i="23" s="1"/>
  <c r="P303" i="23"/>
  <c r="N304" i="23"/>
  <c r="L305" i="23"/>
  <c r="I305" i="23" s="1"/>
  <c r="D305" i="23"/>
  <c r="F305" i="23" s="1"/>
  <c r="D310" i="28" l="1"/>
  <c r="F310" i="28" s="1"/>
  <c r="J310" i="28" s="1"/>
  <c r="P310" i="28" s="1"/>
  <c r="B311" i="28"/>
  <c r="A312" i="28"/>
  <c r="C311" i="28"/>
  <c r="E311" i="28" s="1"/>
  <c r="I311" i="28" s="1"/>
  <c r="L312" i="28"/>
  <c r="N311" i="28"/>
  <c r="J305" i="23"/>
  <c r="C307" i="23"/>
  <c r="E307" i="23" s="1"/>
  <c r="P304" i="23"/>
  <c r="N305" i="23"/>
  <c r="L306" i="23"/>
  <c r="I306" i="23" s="1"/>
  <c r="D306" i="23"/>
  <c r="F306" i="23" s="1"/>
  <c r="B312" i="28" l="1"/>
  <c r="D311" i="28"/>
  <c r="F311" i="28" s="1"/>
  <c r="J311" i="28" s="1"/>
  <c r="P311" i="28" s="1"/>
  <c r="A313" i="28"/>
  <c r="C312" i="28"/>
  <c r="E312" i="28" s="1"/>
  <c r="I312" i="28" s="1"/>
  <c r="N312" i="28"/>
  <c r="L313" i="28"/>
  <c r="J306" i="23"/>
  <c r="C308" i="23"/>
  <c r="E308" i="23" s="1"/>
  <c r="P305" i="23"/>
  <c r="N306" i="23"/>
  <c r="L307" i="23"/>
  <c r="I307" i="23" s="1"/>
  <c r="D307" i="23"/>
  <c r="F307" i="23" s="1"/>
  <c r="D312" i="28" l="1"/>
  <c r="F312" i="28" s="1"/>
  <c r="J312" i="28" s="1"/>
  <c r="P312" i="28" s="1"/>
  <c r="B313" i="28"/>
  <c r="A314" i="28"/>
  <c r="C313" i="28"/>
  <c r="E313" i="28" s="1"/>
  <c r="I313" i="28" s="1"/>
  <c r="L314" i="28"/>
  <c r="N313" i="28"/>
  <c r="J307" i="23"/>
  <c r="C309" i="23"/>
  <c r="E309" i="23" s="1"/>
  <c r="P306" i="23"/>
  <c r="N307" i="23"/>
  <c r="L308" i="23"/>
  <c r="I308" i="23" s="1"/>
  <c r="D308" i="23"/>
  <c r="F308" i="23" s="1"/>
  <c r="B314" i="28" l="1"/>
  <c r="D313" i="28"/>
  <c r="F313" i="28" s="1"/>
  <c r="J313" i="28" s="1"/>
  <c r="P313" i="28" s="1"/>
  <c r="A315" i="28"/>
  <c r="C314" i="28"/>
  <c r="E314" i="28" s="1"/>
  <c r="I314" i="28" s="1"/>
  <c r="N314" i="28"/>
  <c r="L315" i="28"/>
  <c r="J308" i="23"/>
  <c r="C310" i="23"/>
  <c r="E310" i="23" s="1"/>
  <c r="P307" i="23"/>
  <c r="N308" i="23"/>
  <c r="L309" i="23"/>
  <c r="I309" i="23" s="1"/>
  <c r="D309" i="23"/>
  <c r="F309" i="23" s="1"/>
  <c r="D314" i="28" l="1"/>
  <c r="F314" i="28" s="1"/>
  <c r="J314" i="28" s="1"/>
  <c r="P314" i="28" s="1"/>
  <c r="B315" i="28"/>
  <c r="A316" i="28"/>
  <c r="C315" i="28"/>
  <c r="L316" i="28"/>
  <c r="N315" i="28"/>
  <c r="E315" i="28"/>
  <c r="I315" i="28" s="1"/>
  <c r="J309" i="23"/>
  <c r="C311" i="23"/>
  <c r="E311" i="23" s="1"/>
  <c r="P308" i="23"/>
  <c r="N309" i="23"/>
  <c r="L310" i="23"/>
  <c r="I310" i="23" s="1"/>
  <c r="D310" i="23"/>
  <c r="F310" i="23" s="1"/>
  <c r="D315" i="28" l="1"/>
  <c r="F315" i="28" s="1"/>
  <c r="J315" i="28" s="1"/>
  <c r="P315" i="28" s="1"/>
  <c r="B316" i="28"/>
  <c r="A317" i="28"/>
  <c r="C316" i="28"/>
  <c r="E316" i="28" s="1"/>
  <c r="I316" i="28" s="1"/>
  <c r="N316" i="28"/>
  <c r="L317" i="28"/>
  <c r="J310" i="23"/>
  <c r="C312" i="23"/>
  <c r="E312" i="23" s="1"/>
  <c r="P309" i="23"/>
  <c r="N310" i="23"/>
  <c r="L311" i="23"/>
  <c r="I311" i="23" s="1"/>
  <c r="D311" i="23"/>
  <c r="F311" i="23" s="1"/>
  <c r="D316" i="28" l="1"/>
  <c r="F316" i="28" s="1"/>
  <c r="J316" i="28" s="1"/>
  <c r="P316" i="28" s="1"/>
  <c r="B317" i="28"/>
  <c r="A318" i="28"/>
  <c r="C317" i="28"/>
  <c r="E317" i="28" s="1"/>
  <c r="I317" i="28" s="1"/>
  <c r="L318" i="28"/>
  <c r="N317" i="28"/>
  <c r="J311" i="23"/>
  <c r="C313" i="23"/>
  <c r="E313" i="23" s="1"/>
  <c r="P310" i="23"/>
  <c r="N311" i="23"/>
  <c r="L312" i="23"/>
  <c r="I312" i="23" s="1"/>
  <c r="D312" i="23"/>
  <c r="F312" i="23" s="1"/>
  <c r="B318" i="28" l="1"/>
  <c r="D317" i="28"/>
  <c r="F317" i="28" s="1"/>
  <c r="J317" i="28" s="1"/>
  <c r="P317" i="28" s="1"/>
  <c r="A319" i="28"/>
  <c r="C318" i="28"/>
  <c r="E318" i="28" s="1"/>
  <c r="I318" i="28" s="1"/>
  <c r="N318" i="28"/>
  <c r="L319" i="28"/>
  <c r="J312" i="23"/>
  <c r="C314" i="23"/>
  <c r="E314" i="23" s="1"/>
  <c r="P311" i="23"/>
  <c r="N312" i="23"/>
  <c r="L313" i="23"/>
  <c r="I313" i="23" s="1"/>
  <c r="D313" i="23"/>
  <c r="F313" i="23" s="1"/>
  <c r="D318" i="28" l="1"/>
  <c r="F318" i="28" s="1"/>
  <c r="J318" i="28" s="1"/>
  <c r="P318" i="28" s="1"/>
  <c r="B319" i="28"/>
  <c r="A320" i="28"/>
  <c r="C319" i="28"/>
  <c r="E319" i="28" s="1"/>
  <c r="I319" i="28" s="1"/>
  <c r="L320" i="28"/>
  <c r="N319" i="28"/>
  <c r="J313" i="23"/>
  <c r="C315" i="23"/>
  <c r="E315" i="23" s="1"/>
  <c r="P312" i="23"/>
  <c r="N313" i="23"/>
  <c r="L314" i="23"/>
  <c r="I314" i="23" s="1"/>
  <c r="D314" i="23"/>
  <c r="F314" i="23" s="1"/>
  <c r="B320" i="28" l="1"/>
  <c r="D319" i="28"/>
  <c r="F319" i="28" s="1"/>
  <c r="J319" i="28" s="1"/>
  <c r="P319" i="28" s="1"/>
  <c r="A321" i="28"/>
  <c r="C320" i="28"/>
  <c r="E320" i="28" s="1"/>
  <c r="I320" i="28" s="1"/>
  <c r="N320" i="28"/>
  <c r="L321" i="28"/>
  <c r="J314" i="23"/>
  <c r="C316" i="23"/>
  <c r="E316" i="23" s="1"/>
  <c r="P313" i="23"/>
  <c r="N314" i="23"/>
  <c r="L315" i="23"/>
  <c r="I315" i="23" s="1"/>
  <c r="D315" i="23"/>
  <c r="F315" i="23" s="1"/>
  <c r="D320" i="28" l="1"/>
  <c r="F320" i="28" s="1"/>
  <c r="J320" i="28" s="1"/>
  <c r="P320" i="28" s="1"/>
  <c r="B321" i="28"/>
  <c r="A322" i="28"/>
  <c r="C321" i="28"/>
  <c r="E321" i="28" s="1"/>
  <c r="I321" i="28" s="1"/>
  <c r="L322" i="28"/>
  <c r="N321" i="28"/>
  <c r="J315" i="23"/>
  <c r="C317" i="23"/>
  <c r="E317" i="23" s="1"/>
  <c r="P314" i="23"/>
  <c r="N315" i="23"/>
  <c r="L316" i="23"/>
  <c r="I316" i="23" s="1"/>
  <c r="D316" i="23"/>
  <c r="F316" i="23" s="1"/>
  <c r="B322" i="28" l="1"/>
  <c r="D321" i="28"/>
  <c r="F321" i="28" s="1"/>
  <c r="J321" i="28" s="1"/>
  <c r="P321" i="28" s="1"/>
  <c r="A323" i="28"/>
  <c r="C322" i="28"/>
  <c r="E322" i="28" s="1"/>
  <c r="I322" i="28" s="1"/>
  <c r="N322" i="28"/>
  <c r="L323" i="28"/>
  <c r="J316" i="23"/>
  <c r="C318" i="23"/>
  <c r="E318" i="23" s="1"/>
  <c r="P315" i="23"/>
  <c r="N316" i="23"/>
  <c r="L317" i="23"/>
  <c r="I317" i="23" s="1"/>
  <c r="D317" i="23"/>
  <c r="F317" i="23" s="1"/>
  <c r="D322" i="28" l="1"/>
  <c r="F322" i="28" s="1"/>
  <c r="J322" i="28" s="1"/>
  <c r="P322" i="28" s="1"/>
  <c r="B323" i="28"/>
  <c r="A324" i="28"/>
  <c r="C323" i="28"/>
  <c r="E323" i="28" s="1"/>
  <c r="I323" i="28" s="1"/>
  <c r="L324" i="28"/>
  <c r="N323" i="28"/>
  <c r="J317" i="23"/>
  <c r="C319" i="23"/>
  <c r="E319" i="23" s="1"/>
  <c r="P316" i="23"/>
  <c r="N317" i="23"/>
  <c r="L318" i="23"/>
  <c r="I318" i="23" s="1"/>
  <c r="D318" i="23"/>
  <c r="F318" i="23" s="1"/>
  <c r="B324" i="28" l="1"/>
  <c r="D323" i="28"/>
  <c r="F323" i="28" s="1"/>
  <c r="J323" i="28" s="1"/>
  <c r="P323" i="28" s="1"/>
  <c r="A325" i="28"/>
  <c r="C324" i="28"/>
  <c r="E324" i="28" s="1"/>
  <c r="I324" i="28" s="1"/>
  <c r="N324" i="28"/>
  <c r="L325" i="28"/>
  <c r="J318" i="23"/>
  <c r="C320" i="23"/>
  <c r="E320" i="23" s="1"/>
  <c r="P317" i="23"/>
  <c r="N318" i="23"/>
  <c r="L319" i="23"/>
  <c r="I319" i="23" s="1"/>
  <c r="D319" i="23"/>
  <c r="F319" i="23" s="1"/>
  <c r="D324" i="28" l="1"/>
  <c r="F324" i="28" s="1"/>
  <c r="J324" i="28" s="1"/>
  <c r="P324" i="28" s="1"/>
  <c r="B325" i="28"/>
  <c r="A326" i="28"/>
  <c r="C325" i="28"/>
  <c r="E325" i="28" s="1"/>
  <c r="I325" i="28" s="1"/>
  <c r="L326" i="28"/>
  <c r="N325" i="28"/>
  <c r="J319" i="23"/>
  <c r="C321" i="23"/>
  <c r="E321" i="23" s="1"/>
  <c r="P318" i="23"/>
  <c r="N319" i="23"/>
  <c r="L320" i="23"/>
  <c r="I320" i="23" s="1"/>
  <c r="D320" i="23"/>
  <c r="F320" i="23" s="1"/>
  <c r="D325" i="28" l="1"/>
  <c r="F325" i="28" s="1"/>
  <c r="J325" i="28" s="1"/>
  <c r="P325" i="28" s="1"/>
  <c r="B326" i="28"/>
  <c r="A327" i="28"/>
  <c r="C326" i="28"/>
  <c r="E326" i="28" s="1"/>
  <c r="I326" i="28" s="1"/>
  <c r="N326" i="28"/>
  <c r="L327" i="28"/>
  <c r="J320" i="23"/>
  <c r="C322" i="23"/>
  <c r="E322" i="23" s="1"/>
  <c r="P319" i="23"/>
  <c r="N320" i="23"/>
  <c r="L321" i="23"/>
  <c r="I321" i="23" s="1"/>
  <c r="D321" i="23"/>
  <c r="F321" i="23" s="1"/>
  <c r="D326" i="28" l="1"/>
  <c r="F326" i="28" s="1"/>
  <c r="J326" i="28" s="1"/>
  <c r="P326" i="28" s="1"/>
  <c r="B327" i="28"/>
  <c r="A328" i="28"/>
  <c r="C327" i="28"/>
  <c r="E327" i="28" s="1"/>
  <c r="I327" i="28" s="1"/>
  <c r="L328" i="28"/>
  <c r="N327" i="28"/>
  <c r="J321" i="23"/>
  <c r="C323" i="23"/>
  <c r="E323" i="23" s="1"/>
  <c r="P320" i="23"/>
  <c r="N321" i="23"/>
  <c r="L322" i="23"/>
  <c r="I322" i="23" s="1"/>
  <c r="D322" i="23"/>
  <c r="F322" i="23" s="1"/>
  <c r="B328" i="28" l="1"/>
  <c r="D327" i="28"/>
  <c r="F327" i="28" s="1"/>
  <c r="J327" i="28" s="1"/>
  <c r="P327" i="28" s="1"/>
  <c r="A329" i="28"/>
  <c r="C328" i="28"/>
  <c r="E328" i="28" s="1"/>
  <c r="I328" i="28" s="1"/>
  <c r="L329" i="28"/>
  <c r="N328" i="28"/>
  <c r="J322" i="23"/>
  <c r="C324" i="23"/>
  <c r="E324" i="23" s="1"/>
  <c r="P321" i="23"/>
  <c r="N322" i="23"/>
  <c r="L323" i="23"/>
  <c r="I323" i="23" s="1"/>
  <c r="D323" i="23"/>
  <c r="F323" i="23" s="1"/>
  <c r="D328" i="28" l="1"/>
  <c r="F328" i="28" s="1"/>
  <c r="J328" i="28" s="1"/>
  <c r="P328" i="28" s="1"/>
  <c r="B329" i="28"/>
  <c r="A330" i="28"/>
  <c r="C329" i="28"/>
  <c r="E329" i="28" s="1"/>
  <c r="I329" i="28" s="1"/>
  <c r="N329" i="28"/>
  <c r="L330" i="28"/>
  <c r="J323" i="23"/>
  <c r="C325" i="23"/>
  <c r="E325" i="23" s="1"/>
  <c r="P322" i="23"/>
  <c r="N323" i="23"/>
  <c r="L324" i="23"/>
  <c r="I324" i="23" s="1"/>
  <c r="D324" i="23"/>
  <c r="F324" i="23" s="1"/>
  <c r="B330" i="28" l="1"/>
  <c r="D329" i="28"/>
  <c r="F329" i="28" s="1"/>
  <c r="J329" i="28" s="1"/>
  <c r="P329" i="28" s="1"/>
  <c r="A331" i="28"/>
  <c r="C330" i="28"/>
  <c r="E330" i="28" s="1"/>
  <c r="I330" i="28" s="1"/>
  <c r="L331" i="28"/>
  <c r="N330" i="28"/>
  <c r="J324" i="23"/>
  <c r="C326" i="23"/>
  <c r="E326" i="23" s="1"/>
  <c r="P323" i="23"/>
  <c r="N324" i="23"/>
  <c r="L325" i="23"/>
  <c r="I325" i="23" s="1"/>
  <c r="D325" i="23"/>
  <c r="F325" i="23" s="1"/>
  <c r="D330" i="28" l="1"/>
  <c r="F330" i="28" s="1"/>
  <c r="J330" i="28" s="1"/>
  <c r="P330" i="28" s="1"/>
  <c r="B331" i="28"/>
  <c r="A332" i="28"/>
  <c r="C331" i="28"/>
  <c r="E331" i="28" s="1"/>
  <c r="I331" i="28" s="1"/>
  <c r="N331" i="28"/>
  <c r="L332" i="28"/>
  <c r="J325" i="23"/>
  <c r="C327" i="23"/>
  <c r="E327" i="23" s="1"/>
  <c r="P324" i="23"/>
  <c r="N325" i="23"/>
  <c r="L326" i="23"/>
  <c r="I326" i="23" s="1"/>
  <c r="D326" i="23"/>
  <c r="F326" i="23" s="1"/>
  <c r="B332" i="28" l="1"/>
  <c r="D331" i="28"/>
  <c r="F331" i="28" s="1"/>
  <c r="J331" i="28" s="1"/>
  <c r="P331" i="28" s="1"/>
  <c r="A333" i="28"/>
  <c r="C332" i="28"/>
  <c r="E332" i="28" s="1"/>
  <c r="I332" i="28" s="1"/>
  <c r="L333" i="28"/>
  <c r="N332" i="28"/>
  <c r="J326" i="23"/>
  <c r="C328" i="23"/>
  <c r="E328" i="23" s="1"/>
  <c r="P325" i="23"/>
  <c r="N326" i="23"/>
  <c r="L327" i="23"/>
  <c r="I327" i="23" s="1"/>
  <c r="D327" i="23"/>
  <c r="F327" i="23" s="1"/>
  <c r="B333" i="28" l="1"/>
  <c r="D332" i="28"/>
  <c r="F332" i="28" s="1"/>
  <c r="J332" i="28" s="1"/>
  <c r="P332" i="28" s="1"/>
  <c r="A334" i="28"/>
  <c r="C333" i="28"/>
  <c r="E333" i="28" s="1"/>
  <c r="I333" i="28" s="1"/>
  <c r="N333" i="28"/>
  <c r="L334" i="28"/>
  <c r="J327" i="23"/>
  <c r="C329" i="23"/>
  <c r="E329" i="23" s="1"/>
  <c r="P326" i="23"/>
  <c r="N327" i="23"/>
  <c r="L328" i="23"/>
  <c r="I328" i="23" s="1"/>
  <c r="D328" i="23"/>
  <c r="F328" i="23" s="1"/>
  <c r="D333" i="28" l="1"/>
  <c r="F333" i="28" s="1"/>
  <c r="J333" i="28" s="1"/>
  <c r="P333" i="28" s="1"/>
  <c r="B334" i="28"/>
  <c r="A335" i="28"/>
  <c r="C334" i="28"/>
  <c r="E334" i="28" s="1"/>
  <c r="I334" i="28" s="1"/>
  <c r="L335" i="28"/>
  <c r="N334" i="28"/>
  <c r="J328" i="23"/>
  <c r="C330" i="23"/>
  <c r="E330" i="23" s="1"/>
  <c r="P327" i="23"/>
  <c r="N328" i="23"/>
  <c r="L329" i="23"/>
  <c r="I329" i="23" s="1"/>
  <c r="D329" i="23"/>
  <c r="F329" i="23" s="1"/>
  <c r="D334" i="28" l="1"/>
  <c r="F334" i="28" s="1"/>
  <c r="J334" i="28" s="1"/>
  <c r="P334" i="28" s="1"/>
  <c r="B335" i="28"/>
  <c r="A336" i="28"/>
  <c r="C335" i="28"/>
  <c r="E335" i="28" s="1"/>
  <c r="I335" i="28" s="1"/>
  <c r="N335" i="28"/>
  <c r="L336" i="28"/>
  <c r="J329" i="23"/>
  <c r="C331" i="23"/>
  <c r="E331" i="23" s="1"/>
  <c r="P328" i="23"/>
  <c r="N329" i="23"/>
  <c r="L330" i="23"/>
  <c r="I330" i="23" s="1"/>
  <c r="D330" i="23"/>
  <c r="F330" i="23" s="1"/>
  <c r="D335" i="28" l="1"/>
  <c r="F335" i="28" s="1"/>
  <c r="J335" i="28" s="1"/>
  <c r="P335" i="28" s="1"/>
  <c r="B336" i="28"/>
  <c r="A337" i="28"/>
  <c r="C336" i="28"/>
  <c r="E336" i="28" s="1"/>
  <c r="I336" i="28" s="1"/>
  <c r="L337" i="28"/>
  <c r="N336" i="28"/>
  <c r="J330" i="23"/>
  <c r="C332" i="23"/>
  <c r="E332" i="23" s="1"/>
  <c r="P329" i="23"/>
  <c r="N330" i="23"/>
  <c r="L331" i="23"/>
  <c r="I331" i="23" s="1"/>
  <c r="D331" i="23"/>
  <c r="F331" i="23" s="1"/>
  <c r="B337" i="28" l="1"/>
  <c r="D336" i="28"/>
  <c r="F336" i="28" s="1"/>
  <c r="J336" i="28" s="1"/>
  <c r="P336" i="28" s="1"/>
  <c r="A338" i="28"/>
  <c r="C337" i="28"/>
  <c r="E337" i="28" s="1"/>
  <c r="I337" i="28" s="1"/>
  <c r="N337" i="28"/>
  <c r="L338" i="28"/>
  <c r="J331" i="23"/>
  <c r="C333" i="23"/>
  <c r="E333" i="23" s="1"/>
  <c r="P330" i="23"/>
  <c r="N331" i="23"/>
  <c r="L332" i="23"/>
  <c r="I332" i="23" s="1"/>
  <c r="D332" i="23"/>
  <c r="F332" i="23" s="1"/>
  <c r="B338" i="28" l="1"/>
  <c r="D337" i="28"/>
  <c r="F337" i="28" s="1"/>
  <c r="J337" i="28" s="1"/>
  <c r="P337" i="28" s="1"/>
  <c r="A339" i="28"/>
  <c r="C338" i="28"/>
  <c r="E338" i="28" s="1"/>
  <c r="I338" i="28" s="1"/>
  <c r="L339" i="28"/>
  <c r="N338" i="28"/>
  <c r="J332" i="23"/>
  <c r="C334" i="23"/>
  <c r="E334" i="23" s="1"/>
  <c r="P331" i="23"/>
  <c r="N332" i="23"/>
  <c r="L333" i="23"/>
  <c r="I333" i="23" s="1"/>
  <c r="D333" i="23"/>
  <c r="F333" i="23" s="1"/>
  <c r="B339" i="28" l="1"/>
  <c r="D338" i="28"/>
  <c r="F338" i="28" s="1"/>
  <c r="J338" i="28" s="1"/>
  <c r="P338" i="28" s="1"/>
  <c r="A340" i="28"/>
  <c r="C339" i="28"/>
  <c r="E339" i="28" s="1"/>
  <c r="I339" i="28" s="1"/>
  <c r="N339" i="28"/>
  <c r="L340" i="28"/>
  <c r="J333" i="23"/>
  <c r="C335" i="23"/>
  <c r="E335" i="23" s="1"/>
  <c r="P332" i="23"/>
  <c r="N333" i="23"/>
  <c r="L334" i="23"/>
  <c r="I334" i="23" s="1"/>
  <c r="D334" i="23"/>
  <c r="F334" i="23" s="1"/>
  <c r="B340" i="28" l="1"/>
  <c r="D339" i="28"/>
  <c r="F339" i="28" s="1"/>
  <c r="J339" i="28" s="1"/>
  <c r="P339" i="28" s="1"/>
  <c r="A341" i="28"/>
  <c r="C340" i="28"/>
  <c r="E340" i="28" s="1"/>
  <c r="I340" i="28" s="1"/>
  <c r="L341" i="28"/>
  <c r="N340" i="28"/>
  <c r="J334" i="23"/>
  <c r="C336" i="23"/>
  <c r="E336" i="23" s="1"/>
  <c r="P333" i="23"/>
  <c r="N334" i="23"/>
  <c r="L335" i="23"/>
  <c r="I335" i="23" s="1"/>
  <c r="D335" i="23"/>
  <c r="F335" i="23" s="1"/>
  <c r="B341" i="28" l="1"/>
  <c r="D340" i="28"/>
  <c r="F340" i="28" s="1"/>
  <c r="J340" i="28" s="1"/>
  <c r="P340" i="28" s="1"/>
  <c r="A342" i="28"/>
  <c r="C341" i="28"/>
  <c r="E341" i="28" s="1"/>
  <c r="I341" i="28" s="1"/>
  <c r="N341" i="28"/>
  <c r="L342" i="28"/>
  <c r="J335" i="23"/>
  <c r="C337" i="23"/>
  <c r="E337" i="23" s="1"/>
  <c r="P334" i="23"/>
  <c r="N335" i="23"/>
  <c r="L336" i="23"/>
  <c r="I336" i="23" s="1"/>
  <c r="D336" i="23"/>
  <c r="F336" i="23" s="1"/>
  <c r="B342" i="28" l="1"/>
  <c r="D341" i="28"/>
  <c r="F341" i="28" s="1"/>
  <c r="J341" i="28" s="1"/>
  <c r="P341" i="28" s="1"/>
  <c r="A343" i="28"/>
  <c r="C342" i="28"/>
  <c r="E342" i="28" s="1"/>
  <c r="I342" i="28" s="1"/>
  <c r="L343" i="28"/>
  <c r="N342" i="28"/>
  <c r="J336" i="23"/>
  <c r="C338" i="23"/>
  <c r="E338" i="23" s="1"/>
  <c r="P335" i="23"/>
  <c r="N336" i="23"/>
  <c r="L337" i="23"/>
  <c r="I337" i="23" s="1"/>
  <c r="D337" i="23"/>
  <c r="F337" i="23" s="1"/>
  <c r="D342" i="28" l="1"/>
  <c r="F342" i="28" s="1"/>
  <c r="J342" i="28" s="1"/>
  <c r="P342" i="28" s="1"/>
  <c r="B343" i="28"/>
  <c r="A344" i="28"/>
  <c r="C343" i="28"/>
  <c r="E343" i="28" s="1"/>
  <c r="I343" i="28" s="1"/>
  <c r="N343" i="28"/>
  <c r="L344" i="28"/>
  <c r="J337" i="23"/>
  <c r="C339" i="23"/>
  <c r="E339" i="23" s="1"/>
  <c r="P336" i="23"/>
  <c r="N337" i="23"/>
  <c r="L338" i="23"/>
  <c r="I338" i="23" s="1"/>
  <c r="D338" i="23"/>
  <c r="F338" i="23" s="1"/>
  <c r="D343" i="28" l="1"/>
  <c r="F343" i="28" s="1"/>
  <c r="J343" i="28" s="1"/>
  <c r="P343" i="28" s="1"/>
  <c r="B344" i="28"/>
  <c r="A345" i="28"/>
  <c r="C344" i="28"/>
  <c r="E344" i="28" s="1"/>
  <c r="I344" i="28" s="1"/>
  <c r="L345" i="28"/>
  <c r="N344" i="28"/>
  <c r="J338" i="23"/>
  <c r="C340" i="23"/>
  <c r="E340" i="23" s="1"/>
  <c r="P337" i="23"/>
  <c r="N338" i="23"/>
  <c r="L339" i="23"/>
  <c r="I339" i="23" s="1"/>
  <c r="D339" i="23"/>
  <c r="F339" i="23" s="1"/>
  <c r="B345" i="28" l="1"/>
  <c r="D344" i="28"/>
  <c r="F344" i="28" s="1"/>
  <c r="J344" i="28" s="1"/>
  <c r="P344" i="28" s="1"/>
  <c r="A346" i="28"/>
  <c r="C345" i="28"/>
  <c r="E345" i="28" s="1"/>
  <c r="I345" i="28" s="1"/>
  <c r="N345" i="28"/>
  <c r="L346" i="28"/>
  <c r="J339" i="23"/>
  <c r="C341" i="23"/>
  <c r="E341" i="23" s="1"/>
  <c r="P338" i="23"/>
  <c r="N339" i="23"/>
  <c r="L340" i="23"/>
  <c r="I340" i="23" s="1"/>
  <c r="D340" i="23"/>
  <c r="F340" i="23" s="1"/>
  <c r="B346" i="28" l="1"/>
  <c r="D345" i="28"/>
  <c r="F345" i="28" s="1"/>
  <c r="J345" i="28" s="1"/>
  <c r="P345" i="28" s="1"/>
  <c r="A347" i="28"/>
  <c r="C346" i="28"/>
  <c r="E346" i="28" s="1"/>
  <c r="I346" i="28" s="1"/>
  <c r="L347" i="28"/>
  <c r="N346" i="28"/>
  <c r="J340" i="23"/>
  <c r="C342" i="23"/>
  <c r="E342" i="23" s="1"/>
  <c r="P339" i="23"/>
  <c r="N340" i="23"/>
  <c r="L341" i="23"/>
  <c r="I341" i="23" s="1"/>
  <c r="D341" i="23"/>
  <c r="F341" i="23" s="1"/>
  <c r="B347" i="28" l="1"/>
  <c r="D346" i="28"/>
  <c r="F346" i="28" s="1"/>
  <c r="J346" i="28" s="1"/>
  <c r="P346" i="28" s="1"/>
  <c r="A348" i="28"/>
  <c r="C347" i="28"/>
  <c r="E347" i="28" s="1"/>
  <c r="I347" i="28" s="1"/>
  <c r="N347" i="28"/>
  <c r="L348" i="28"/>
  <c r="J341" i="23"/>
  <c r="C343" i="23"/>
  <c r="E343" i="23" s="1"/>
  <c r="P340" i="23"/>
  <c r="N341" i="23"/>
  <c r="L342" i="23"/>
  <c r="I342" i="23" s="1"/>
  <c r="D342" i="23"/>
  <c r="F342" i="23" s="1"/>
  <c r="D347" i="28" l="1"/>
  <c r="F347" i="28" s="1"/>
  <c r="J347" i="28" s="1"/>
  <c r="P347" i="28" s="1"/>
  <c r="B348" i="28"/>
  <c r="A349" i="28"/>
  <c r="C348" i="28"/>
  <c r="E348" i="28" s="1"/>
  <c r="I348" i="28" s="1"/>
  <c r="L349" i="28"/>
  <c r="N348" i="28"/>
  <c r="J342" i="23"/>
  <c r="C344" i="23"/>
  <c r="E344" i="23" s="1"/>
  <c r="P341" i="23"/>
  <c r="N342" i="23"/>
  <c r="L343" i="23"/>
  <c r="I343" i="23" s="1"/>
  <c r="D343" i="23"/>
  <c r="F343" i="23" s="1"/>
  <c r="B349" i="28" l="1"/>
  <c r="D348" i="28"/>
  <c r="F348" i="28" s="1"/>
  <c r="J348" i="28" s="1"/>
  <c r="P348" i="28" s="1"/>
  <c r="A350" i="28"/>
  <c r="C349" i="28"/>
  <c r="E349" i="28" s="1"/>
  <c r="I349" i="28" s="1"/>
  <c r="N349" i="28"/>
  <c r="L350" i="28"/>
  <c r="J343" i="23"/>
  <c r="C345" i="23"/>
  <c r="E345" i="23" s="1"/>
  <c r="P342" i="23"/>
  <c r="N343" i="23"/>
  <c r="L344" i="23"/>
  <c r="I344" i="23" s="1"/>
  <c r="D344" i="23"/>
  <c r="F344" i="23" s="1"/>
  <c r="B350" i="28" l="1"/>
  <c r="D349" i="28"/>
  <c r="F349" i="28" s="1"/>
  <c r="J349" i="28" s="1"/>
  <c r="P349" i="28" s="1"/>
  <c r="A351" i="28"/>
  <c r="C350" i="28"/>
  <c r="E350" i="28" s="1"/>
  <c r="I350" i="28" s="1"/>
  <c r="L351" i="28"/>
  <c r="N350" i="28"/>
  <c r="J344" i="23"/>
  <c r="C346" i="23"/>
  <c r="E346" i="23" s="1"/>
  <c r="P343" i="23"/>
  <c r="N344" i="23"/>
  <c r="L345" i="23"/>
  <c r="I345" i="23" s="1"/>
  <c r="D345" i="23"/>
  <c r="F345" i="23" s="1"/>
  <c r="B351" i="28" l="1"/>
  <c r="D350" i="28"/>
  <c r="F350" i="28" s="1"/>
  <c r="J350" i="28" s="1"/>
  <c r="P350" i="28" s="1"/>
  <c r="A352" i="28"/>
  <c r="C351" i="28"/>
  <c r="E351" i="28" s="1"/>
  <c r="I351" i="28" s="1"/>
  <c r="N351" i="28"/>
  <c r="L352" i="28"/>
  <c r="J345" i="23"/>
  <c r="C347" i="23"/>
  <c r="E347" i="23" s="1"/>
  <c r="P344" i="23"/>
  <c r="N345" i="23"/>
  <c r="L346" i="23"/>
  <c r="I346" i="23" s="1"/>
  <c r="D346" i="23"/>
  <c r="F346" i="23" s="1"/>
  <c r="D351" i="28" l="1"/>
  <c r="F351" i="28" s="1"/>
  <c r="J351" i="28" s="1"/>
  <c r="P351" i="28" s="1"/>
  <c r="B352" i="28"/>
  <c r="A353" i="28"/>
  <c r="C352" i="28"/>
  <c r="E352" i="28" s="1"/>
  <c r="I352" i="28" s="1"/>
  <c r="L353" i="28"/>
  <c r="N352" i="28"/>
  <c r="J346" i="23"/>
  <c r="C348" i="23"/>
  <c r="E348" i="23" s="1"/>
  <c r="P345" i="23"/>
  <c r="N346" i="23"/>
  <c r="L347" i="23"/>
  <c r="I347" i="23" s="1"/>
  <c r="D347" i="23"/>
  <c r="F347" i="23" s="1"/>
  <c r="B353" i="28" l="1"/>
  <c r="D352" i="28"/>
  <c r="F352" i="28" s="1"/>
  <c r="J352" i="28" s="1"/>
  <c r="P352" i="28" s="1"/>
  <c r="A354" i="28"/>
  <c r="C353" i="28"/>
  <c r="E353" i="28" s="1"/>
  <c r="I353" i="28" s="1"/>
  <c r="L354" i="28"/>
  <c r="N353" i="28"/>
  <c r="J347" i="23"/>
  <c r="C349" i="23"/>
  <c r="E349" i="23" s="1"/>
  <c r="P346" i="23"/>
  <c r="N347" i="23"/>
  <c r="L348" i="23"/>
  <c r="I348" i="23" s="1"/>
  <c r="D348" i="23"/>
  <c r="F348" i="23" s="1"/>
  <c r="B354" i="28" l="1"/>
  <c r="D353" i="28"/>
  <c r="F353" i="28" s="1"/>
  <c r="J353" i="28" s="1"/>
  <c r="P353" i="28" s="1"/>
  <c r="A355" i="28"/>
  <c r="C354" i="28"/>
  <c r="E354" i="28" s="1"/>
  <c r="I354" i="28" s="1"/>
  <c r="L355" i="28"/>
  <c r="N354" i="28"/>
  <c r="J348" i="23"/>
  <c r="C350" i="23"/>
  <c r="E350" i="23" s="1"/>
  <c r="P347" i="23"/>
  <c r="N348" i="23"/>
  <c r="L349" i="23"/>
  <c r="I349" i="23" s="1"/>
  <c r="D349" i="23"/>
  <c r="F349" i="23" s="1"/>
  <c r="B355" i="28" l="1"/>
  <c r="D354" i="28"/>
  <c r="F354" i="28" s="1"/>
  <c r="J354" i="28" s="1"/>
  <c r="P354" i="28" s="1"/>
  <c r="A356" i="28"/>
  <c r="C355" i="28"/>
  <c r="E355" i="28" s="1"/>
  <c r="I355" i="28" s="1"/>
  <c r="L356" i="28"/>
  <c r="N355" i="28"/>
  <c r="J349" i="23"/>
  <c r="C351" i="23"/>
  <c r="E351" i="23" s="1"/>
  <c r="P348" i="23"/>
  <c r="N349" i="23"/>
  <c r="L350" i="23"/>
  <c r="I350" i="23" s="1"/>
  <c r="D350" i="23"/>
  <c r="F350" i="23" s="1"/>
  <c r="B356" i="28" l="1"/>
  <c r="D355" i="28"/>
  <c r="F355" i="28" s="1"/>
  <c r="J355" i="28" s="1"/>
  <c r="P355" i="28" s="1"/>
  <c r="A357" i="28"/>
  <c r="C356" i="28"/>
  <c r="E356" i="28" s="1"/>
  <c r="I356" i="28" s="1"/>
  <c r="L357" i="28"/>
  <c r="N356" i="28"/>
  <c r="J350" i="23"/>
  <c r="C352" i="23"/>
  <c r="E352" i="23" s="1"/>
  <c r="P349" i="23"/>
  <c r="N350" i="23"/>
  <c r="L351" i="23"/>
  <c r="I351" i="23" s="1"/>
  <c r="D351" i="23"/>
  <c r="F351" i="23" s="1"/>
  <c r="B357" i="28" l="1"/>
  <c r="D356" i="28"/>
  <c r="F356" i="28" s="1"/>
  <c r="J356" i="28" s="1"/>
  <c r="P356" i="28" s="1"/>
  <c r="A358" i="28"/>
  <c r="C357" i="28"/>
  <c r="E357" i="28" s="1"/>
  <c r="I357" i="28" s="1"/>
  <c r="L358" i="28"/>
  <c r="N357" i="28"/>
  <c r="J351" i="23"/>
  <c r="C353" i="23"/>
  <c r="E353" i="23" s="1"/>
  <c r="P350" i="23"/>
  <c r="N351" i="23"/>
  <c r="L352" i="23"/>
  <c r="I352" i="23" s="1"/>
  <c r="D352" i="23"/>
  <c r="F352" i="23" s="1"/>
  <c r="D357" i="28" l="1"/>
  <c r="F357" i="28" s="1"/>
  <c r="J357" i="28" s="1"/>
  <c r="P357" i="28" s="1"/>
  <c r="B358" i="28"/>
  <c r="A359" i="28"/>
  <c r="C358" i="28"/>
  <c r="E358" i="28" s="1"/>
  <c r="I358" i="28" s="1"/>
  <c r="L359" i="28"/>
  <c r="N358" i="28"/>
  <c r="J352" i="23"/>
  <c r="C354" i="23"/>
  <c r="E354" i="23" s="1"/>
  <c r="P351" i="23"/>
  <c r="N352" i="23"/>
  <c r="L353" i="23"/>
  <c r="I353" i="23" s="1"/>
  <c r="D353" i="23"/>
  <c r="F353" i="23" s="1"/>
  <c r="B359" i="28" l="1"/>
  <c r="D358" i="28"/>
  <c r="F358" i="28" s="1"/>
  <c r="J358" i="28" s="1"/>
  <c r="P358" i="28" s="1"/>
  <c r="A360" i="28"/>
  <c r="C359" i="28"/>
  <c r="E359" i="28" s="1"/>
  <c r="I359" i="28" s="1"/>
  <c r="L360" i="28"/>
  <c r="N359" i="28"/>
  <c r="J353" i="23"/>
  <c r="C355" i="23"/>
  <c r="E355" i="23" s="1"/>
  <c r="P352" i="23"/>
  <c r="N353" i="23"/>
  <c r="L354" i="23"/>
  <c r="I354" i="23" s="1"/>
  <c r="D354" i="23"/>
  <c r="F354" i="23" s="1"/>
  <c r="D359" i="28" l="1"/>
  <c r="F359" i="28" s="1"/>
  <c r="J359" i="28" s="1"/>
  <c r="P359" i="28" s="1"/>
  <c r="B360" i="28"/>
  <c r="A361" i="28"/>
  <c r="C360" i="28"/>
  <c r="E360" i="28" s="1"/>
  <c r="I360" i="28" s="1"/>
  <c r="L361" i="28"/>
  <c r="N360" i="28"/>
  <c r="J354" i="23"/>
  <c r="C356" i="23"/>
  <c r="E356" i="23" s="1"/>
  <c r="P353" i="23"/>
  <c r="N354" i="23"/>
  <c r="L355" i="23"/>
  <c r="I355" i="23" s="1"/>
  <c r="D355" i="23"/>
  <c r="F355" i="23" s="1"/>
  <c r="B361" i="28" l="1"/>
  <c r="D360" i="28"/>
  <c r="F360" i="28" s="1"/>
  <c r="J360" i="28" s="1"/>
  <c r="P360" i="28" s="1"/>
  <c r="A362" i="28"/>
  <c r="C361" i="28"/>
  <c r="E361" i="28" s="1"/>
  <c r="I361" i="28" s="1"/>
  <c r="L362" i="28"/>
  <c r="N361" i="28"/>
  <c r="J355" i="23"/>
  <c r="C357" i="23"/>
  <c r="E357" i="23" s="1"/>
  <c r="P354" i="23"/>
  <c r="N355" i="23"/>
  <c r="L356" i="23"/>
  <c r="I356" i="23" s="1"/>
  <c r="D356" i="23"/>
  <c r="F356" i="23" s="1"/>
  <c r="D361" i="28" l="1"/>
  <c r="F361" i="28" s="1"/>
  <c r="J361" i="28" s="1"/>
  <c r="P361" i="28" s="1"/>
  <c r="B362" i="28"/>
  <c r="A363" i="28"/>
  <c r="C362" i="28"/>
  <c r="E362" i="28" s="1"/>
  <c r="I362" i="28" s="1"/>
  <c r="L363" i="28"/>
  <c r="N362" i="28"/>
  <c r="J356" i="23"/>
  <c r="C358" i="23"/>
  <c r="E358" i="23" s="1"/>
  <c r="P355" i="23"/>
  <c r="N356" i="23"/>
  <c r="L357" i="23"/>
  <c r="I357" i="23" s="1"/>
  <c r="D357" i="23"/>
  <c r="F357" i="23" s="1"/>
  <c r="B363" i="28" l="1"/>
  <c r="D362" i="28"/>
  <c r="F362" i="28" s="1"/>
  <c r="J362" i="28" s="1"/>
  <c r="P362" i="28" s="1"/>
  <c r="A364" i="28"/>
  <c r="C363" i="28"/>
  <c r="E363" i="28" s="1"/>
  <c r="I363" i="28" s="1"/>
  <c r="L364" i="28"/>
  <c r="N363" i="28"/>
  <c r="J357" i="23"/>
  <c r="C359" i="23"/>
  <c r="E359" i="23" s="1"/>
  <c r="P356" i="23"/>
  <c r="N357" i="23"/>
  <c r="L358" i="23"/>
  <c r="I358" i="23" s="1"/>
  <c r="D358" i="23"/>
  <c r="F358" i="23" s="1"/>
  <c r="B364" i="28" l="1"/>
  <c r="D363" i="28"/>
  <c r="F363" i="28" s="1"/>
  <c r="J363" i="28" s="1"/>
  <c r="P363" i="28" s="1"/>
  <c r="A365" i="28"/>
  <c r="C364" i="28"/>
  <c r="E364" i="28" s="1"/>
  <c r="I364" i="28" s="1"/>
  <c r="L365" i="28"/>
  <c r="N364" i="28"/>
  <c r="J358" i="23"/>
  <c r="C360" i="23"/>
  <c r="E360" i="23" s="1"/>
  <c r="P357" i="23"/>
  <c r="N358" i="23"/>
  <c r="L359" i="23"/>
  <c r="I359" i="23" s="1"/>
  <c r="D359" i="23"/>
  <c r="F359" i="23" s="1"/>
  <c r="B365" i="28" l="1"/>
  <c r="D364" i="28"/>
  <c r="F364" i="28" s="1"/>
  <c r="J364" i="28" s="1"/>
  <c r="P364" i="28" s="1"/>
  <c r="A366" i="28"/>
  <c r="C365" i="28"/>
  <c r="E365" i="28" s="1"/>
  <c r="I365" i="28" s="1"/>
  <c r="L366" i="28"/>
  <c r="N365" i="28"/>
  <c r="J359" i="23"/>
  <c r="C361" i="23"/>
  <c r="E361" i="23" s="1"/>
  <c r="P358" i="23"/>
  <c r="N359" i="23"/>
  <c r="L360" i="23"/>
  <c r="I360" i="23" s="1"/>
  <c r="D360" i="23"/>
  <c r="F360" i="23" s="1"/>
  <c r="D365" i="28" l="1"/>
  <c r="F365" i="28" s="1"/>
  <c r="J365" i="28" s="1"/>
  <c r="P365" i="28" s="1"/>
  <c r="B366" i="28"/>
  <c r="A367" i="28"/>
  <c r="C366" i="28"/>
  <c r="E366" i="28" s="1"/>
  <c r="I366" i="28" s="1"/>
  <c r="L367" i="28"/>
  <c r="N366" i="28"/>
  <c r="J360" i="23"/>
  <c r="C362" i="23"/>
  <c r="E362" i="23" s="1"/>
  <c r="P359" i="23"/>
  <c r="N360" i="23"/>
  <c r="L361" i="23"/>
  <c r="I361" i="23" s="1"/>
  <c r="D361" i="23"/>
  <c r="F361" i="23" s="1"/>
  <c r="B367" i="28" l="1"/>
  <c r="D366" i="28"/>
  <c r="F366" i="28" s="1"/>
  <c r="J366" i="28" s="1"/>
  <c r="P366" i="28" s="1"/>
  <c r="A368" i="28"/>
  <c r="C367" i="28"/>
  <c r="E367" i="28" s="1"/>
  <c r="I367" i="28" s="1"/>
  <c r="L368" i="28"/>
  <c r="N367" i="28"/>
  <c r="J361" i="23"/>
  <c r="C363" i="23"/>
  <c r="E363" i="23" s="1"/>
  <c r="P360" i="23"/>
  <c r="N361" i="23"/>
  <c r="L362" i="23"/>
  <c r="I362" i="23" s="1"/>
  <c r="D362" i="23"/>
  <c r="F362" i="23" s="1"/>
  <c r="B368" i="28" l="1"/>
  <c r="D367" i="28"/>
  <c r="F367" i="28" s="1"/>
  <c r="J367" i="28" s="1"/>
  <c r="P367" i="28" s="1"/>
  <c r="A369" i="28"/>
  <c r="C368" i="28"/>
  <c r="E368" i="28" s="1"/>
  <c r="I368" i="28" s="1"/>
  <c r="L369" i="28"/>
  <c r="N368" i="28"/>
  <c r="J362" i="23"/>
  <c r="C364" i="23"/>
  <c r="E364" i="23" s="1"/>
  <c r="P361" i="23"/>
  <c r="N362" i="23"/>
  <c r="L363" i="23"/>
  <c r="I363" i="23" s="1"/>
  <c r="D363" i="23"/>
  <c r="F363" i="23" s="1"/>
  <c r="B369" i="28" l="1"/>
  <c r="D368" i="28"/>
  <c r="F368" i="28" s="1"/>
  <c r="J368" i="28" s="1"/>
  <c r="P368" i="28" s="1"/>
  <c r="A370" i="28"/>
  <c r="C369" i="28"/>
  <c r="E369" i="28" s="1"/>
  <c r="I369" i="28" s="1"/>
  <c r="L370" i="28"/>
  <c r="N369" i="28"/>
  <c r="J363" i="23"/>
  <c r="C365" i="23"/>
  <c r="E365" i="23" s="1"/>
  <c r="P362" i="23"/>
  <c r="N363" i="23"/>
  <c r="L364" i="23"/>
  <c r="I364" i="23" s="1"/>
  <c r="D364" i="23"/>
  <c r="F364" i="23" s="1"/>
  <c r="B370" i="28" l="1"/>
  <c r="D369" i="28"/>
  <c r="F369" i="28" s="1"/>
  <c r="J369" i="28" s="1"/>
  <c r="P369" i="28" s="1"/>
  <c r="A371" i="28"/>
  <c r="C370" i="28"/>
  <c r="E370" i="28" s="1"/>
  <c r="I370" i="28" s="1"/>
  <c r="L371" i="28"/>
  <c r="N370" i="28"/>
  <c r="J364" i="23"/>
  <c r="C366" i="23"/>
  <c r="E366" i="23" s="1"/>
  <c r="P363" i="23"/>
  <c r="N364" i="23"/>
  <c r="L365" i="23"/>
  <c r="I365" i="23" s="1"/>
  <c r="D365" i="23"/>
  <c r="F365" i="23" s="1"/>
  <c r="B371" i="28" l="1"/>
  <c r="D370" i="28"/>
  <c r="F370" i="28" s="1"/>
  <c r="J370" i="28" s="1"/>
  <c r="P370" i="28" s="1"/>
  <c r="A372" i="28"/>
  <c r="C371" i="28"/>
  <c r="E371" i="28" s="1"/>
  <c r="I371" i="28" s="1"/>
  <c r="L372" i="28"/>
  <c r="N371" i="28"/>
  <c r="J365" i="23"/>
  <c r="C367" i="23"/>
  <c r="E367" i="23" s="1"/>
  <c r="P364" i="23"/>
  <c r="N365" i="23"/>
  <c r="L366" i="23"/>
  <c r="I366" i="23" s="1"/>
  <c r="D366" i="23"/>
  <c r="F366" i="23" s="1"/>
  <c r="D371" i="28" l="1"/>
  <c r="F371" i="28" s="1"/>
  <c r="J371" i="28" s="1"/>
  <c r="P371" i="28" s="1"/>
  <c r="B372" i="28"/>
  <c r="A373" i="28"/>
  <c r="C372" i="28"/>
  <c r="E372" i="28" s="1"/>
  <c r="I372" i="28" s="1"/>
  <c r="L373" i="28"/>
  <c r="N372" i="28"/>
  <c r="J366" i="23"/>
  <c r="C368" i="23"/>
  <c r="E368" i="23" s="1"/>
  <c r="P365" i="23"/>
  <c r="N366" i="23"/>
  <c r="L367" i="23"/>
  <c r="I367" i="23" s="1"/>
  <c r="D367" i="23"/>
  <c r="F367" i="23" s="1"/>
  <c r="B373" i="28" l="1"/>
  <c r="D372" i="28"/>
  <c r="F372" i="28" s="1"/>
  <c r="J372" i="28" s="1"/>
  <c r="P372" i="28" s="1"/>
  <c r="A374" i="28"/>
  <c r="C373" i="28"/>
  <c r="E373" i="28" s="1"/>
  <c r="I373" i="28" s="1"/>
  <c r="L374" i="28"/>
  <c r="N373" i="28"/>
  <c r="J367" i="23"/>
  <c r="C369" i="23"/>
  <c r="E369" i="23" s="1"/>
  <c r="P366" i="23"/>
  <c r="N367" i="23"/>
  <c r="L368" i="23"/>
  <c r="I368" i="23" s="1"/>
  <c r="D368" i="23"/>
  <c r="F368" i="23" s="1"/>
  <c r="B374" i="28" l="1"/>
  <c r="D373" i="28"/>
  <c r="F373" i="28" s="1"/>
  <c r="J373" i="28" s="1"/>
  <c r="P373" i="28" s="1"/>
  <c r="A375" i="28"/>
  <c r="C374" i="28"/>
  <c r="E374" i="28" s="1"/>
  <c r="I374" i="28" s="1"/>
  <c r="L375" i="28"/>
  <c r="N374" i="28"/>
  <c r="J368" i="23"/>
  <c r="C370" i="23"/>
  <c r="E370" i="23" s="1"/>
  <c r="P367" i="23"/>
  <c r="N368" i="23"/>
  <c r="L369" i="23"/>
  <c r="I369" i="23" s="1"/>
  <c r="D369" i="23"/>
  <c r="F369" i="23" s="1"/>
  <c r="B375" i="28" l="1"/>
  <c r="D374" i="28"/>
  <c r="F374" i="28" s="1"/>
  <c r="J374" i="28" s="1"/>
  <c r="P374" i="28" s="1"/>
  <c r="A376" i="28"/>
  <c r="C375" i="28"/>
  <c r="E375" i="28" s="1"/>
  <c r="I375" i="28" s="1"/>
  <c r="L376" i="28"/>
  <c r="N375" i="28"/>
  <c r="J369" i="23"/>
  <c r="C371" i="23"/>
  <c r="E371" i="23" s="1"/>
  <c r="P368" i="23"/>
  <c r="N369" i="23"/>
  <c r="L370" i="23"/>
  <c r="I370" i="23" s="1"/>
  <c r="D370" i="23"/>
  <c r="F370" i="23" s="1"/>
  <c r="B376" i="28" l="1"/>
  <c r="D375" i="28"/>
  <c r="F375" i="28" s="1"/>
  <c r="J375" i="28" s="1"/>
  <c r="P375" i="28" s="1"/>
  <c r="A377" i="28"/>
  <c r="C376" i="28"/>
  <c r="E376" i="28" s="1"/>
  <c r="I376" i="28" s="1"/>
  <c r="L377" i="28"/>
  <c r="N376" i="28"/>
  <c r="J370" i="23"/>
  <c r="C372" i="23"/>
  <c r="E372" i="23" s="1"/>
  <c r="P369" i="23"/>
  <c r="N370" i="23"/>
  <c r="L371" i="23"/>
  <c r="I371" i="23" s="1"/>
  <c r="D371" i="23"/>
  <c r="F371" i="23" s="1"/>
  <c r="B377" i="28" l="1"/>
  <c r="D376" i="28"/>
  <c r="F376" i="28" s="1"/>
  <c r="J376" i="28" s="1"/>
  <c r="P376" i="28" s="1"/>
  <c r="A378" i="28"/>
  <c r="C377" i="28"/>
  <c r="E377" i="28" s="1"/>
  <c r="I377" i="28" s="1"/>
  <c r="L378" i="28"/>
  <c r="N377" i="28"/>
  <c r="J371" i="23"/>
  <c r="C373" i="23"/>
  <c r="E373" i="23" s="1"/>
  <c r="P370" i="23"/>
  <c r="N371" i="23"/>
  <c r="L372" i="23"/>
  <c r="I372" i="23" s="1"/>
  <c r="D372" i="23"/>
  <c r="F372" i="23" s="1"/>
  <c r="B378" i="28" l="1"/>
  <c r="D377" i="28"/>
  <c r="F377" i="28" s="1"/>
  <c r="J377" i="28" s="1"/>
  <c r="P377" i="28" s="1"/>
  <c r="A379" i="28"/>
  <c r="C378" i="28"/>
  <c r="E378" i="28" s="1"/>
  <c r="I378" i="28" s="1"/>
  <c r="L379" i="28"/>
  <c r="N378" i="28"/>
  <c r="J372" i="23"/>
  <c r="C374" i="23"/>
  <c r="E374" i="23" s="1"/>
  <c r="P371" i="23"/>
  <c r="N372" i="23"/>
  <c r="L373" i="23"/>
  <c r="I373" i="23" s="1"/>
  <c r="D373" i="23"/>
  <c r="F373" i="23" s="1"/>
  <c r="B379" i="28" l="1"/>
  <c r="D378" i="28"/>
  <c r="F378" i="28" s="1"/>
  <c r="J378" i="28" s="1"/>
  <c r="P378" i="28" s="1"/>
  <c r="A380" i="28"/>
  <c r="C379" i="28"/>
  <c r="E379" i="28" s="1"/>
  <c r="I379" i="28" s="1"/>
  <c r="L380" i="28"/>
  <c r="N379" i="28"/>
  <c r="J373" i="23"/>
  <c r="C375" i="23"/>
  <c r="E375" i="23" s="1"/>
  <c r="P372" i="23"/>
  <c r="N373" i="23"/>
  <c r="L374" i="23"/>
  <c r="I374" i="23" s="1"/>
  <c r="D374" i="23"/>
  <c r="F374" i="23" s="1"/>
  <c r="D379" i="28" l="1"/>
  <c r="F379" i="28" s="1"/>
  <c r="J379" i="28" s="1"/>
  <c r="P379" i="28" s="1"/>
  <c r="B380" i="28"/>
  <c r="A381" i="28"/>
  <c r="C380" i="28"/>
  <c r="E380" i="28" s="1"/>
  <c r="I380" i="28" s="1"/>
  <c r="L381" i="28"/>
  <c r="N380" i="28"/>
  <c r="J374" i="23"/>
  <c r="C376" i="23"/>
  <c r="E376" i="23" s="1"/>
  <c r="P373" i="23"/>
  <c r="N374" i="23"/>
  <c r="L375" i="23"/>
  <c r="I375" i="23" s="1"/>
  <c r="D375" i="23"/>
  <c r="F375" i="23" s="1"/>
  <c r="B381" i="28" l="1"/>
  <c r="D380" i="28"/>
  <c r="F380" i="28" s="1"/>
  <c r="J380" i="28" s="1"/>
  <c r="P380" i="28" s="1"/>
  <c r="A382" i="28"/>
  <c r="C381" i="28"/>
  <c r="E381" i="28" s="1"/>
  <c r="I381" i="28" s="1"/>
  <c r="L382" i="28"/>
  <c r="N381" i="28"/>
  <c r="J375" i="23"/>
  <c r="C377" i="23"/>
  <c r="E377" i="23" s="1"/>
  <c r="P374" i="23"/>
  <c r="N375" i="23"/>
  <c r="L376" i="23"/>
  <c r="I376" i="23" s="1"/>
  <c r="D376" i="23"/>
  <c r="F376" i="23" s="1"/>
  <c r="B382" i="28" l="1"/>
  <c r="D381" i="28"/>
  <c r="F381" i="28" s="1"/>
  <c r="J381" i="28" s="1"/>
  <c r="P381" i="28" s="1"/>
  <c r="A383" i="28"/>
  <c r="C382" i="28"/>
  <c r="E382" i="28" s="1"/>
  <c r="I382" i="28" s="1"/>
  <c r="L383" i="28"/>
  <c r="N382" i="28"/>
  <c r="J376" i="23"/>
  <c r="C378" i="23"/>
  <c r="E378" i="23" s="1"/>
  <c r="P375" i="23"/>
  <c r="N376" i="23"/>
  <c r="L377" i="23"/>
  <c r="I377" i="23" s="1"/>
  <c r="D377" i="23"/>
  <c r="F377" i="23" s="1"/>
  <c r="B383" i="28" l="1"/>
  <c r="D382" i="28"/>
  <c r="F382" i="28" s="1"/>
  <c r="J382" i="28" s="1"/>
  <c r="P382" i="28" s="1"/>
  <c r="A384" i="28"/>
  <c r="C383" i="28"/>
  <c r="E383" i="28" s="1"/>
  <c r="I383" i="28" s="1"/>
  <c r="L384" i="28"/>
  <c r="N383" i="28"/>
  <c r="J377" i="23"/>
  <c r="C379" i="23"/>
  <c r="E379" i="23" s="1"/>
  <c r="P376" i="23"/>
  <c r="N377" i="23"/>
  <c r="L378" i="23"/>
  <c r="I378" i="23" s="1"/>
  <c r="D378" i="23"/>
  <c r="F378" i="23" s="1"/>
  <c r="D383" i="28" l="1"/>
  <c r="F383" i="28" s="1"/>
  <c r="J383" i="28" s="1"/>
  <c r="P383" i="28" s="1"/>
  <c r="B384" i="28"/>
  <c r="A385" i="28"/>
  <c r="C384" i="28"/>
  <c r="E384" i="28" s="1"/>
  <c r="I384" i="28" s="1"/>
  <c r="L385" i="28"/>
  <c r="N384" i="28"/>
  <c r="J378" i="23"/>
  <c r="C380" i="23"/>
  <c r="E380" i="23" s="1"/>
  <c r="P377" i="23"/>
  <c r="N378" i="23"/>
  <c r="L379" i="23"/>
  <c r="I379" i="23" s="1"/>
  <c r="D379" i="23"/>
  <c r="F379" i="23" s="1"/>
  <c r="B385" i="28" l="1"/>
  <c r="D384" i="28"/>
  <c r="F384" i="28" s="1"/>
  <c r="J384" i="28" s="1"/>
  <c r="P384" i="28" s="1"/>
  <c r="A386" i="28"/>
  <c r="C385" i="28"/>
  <c r="E385" i="28" s="1"/>
  <c r="I385" i="28" s="1"/>
  <c r="L386" i="28"/>
  <c r="N385" i="28"/>
  <c r="J379" i="23"/>
  <c r="C381" i="23"/>
  <c r="E381" i="23" s="1"/>
  <c r="P378" i="23"/>
  <c r="N379" i="23"/>
  <c r="L380" i="23"/>
  <c r="I380" i="23" s="1"/>
  <c r="D380" i="23"/>
  <c r="F380" i="23" s="1"/>
  <c r="B386" i="28" l="1"/>
  <c r="D385" i="28"/>
  <c r="F385" i="28" s="1"/>
  <c r="J385" i="28" s="1"/>
  <c r="P385" i="28" s="1"/>
  <c r="A387" i="28"/>
  <c r="C386" i="28"/>
  <c r="E386" i="28" s="1"/>
  <c r="I386" i="28" s="1"/>
  <c r="L387" i="28"/>
  <c r="N386" i="28"/>
  <c r="J380" i="23"/>
  <c r="C382" i="23"/>
  <c r="E382" i="23" s="1"/>
  <c r="P379" i="23"/>
  <c r="N380" i="23"/>
  <c r="L381" i="23"/>
  <c r="I381" i="23" s="1"/>
  <c r="D381" i="23"/>
  <c r="F381" i="23" s="1"/>
  <c r="B387" i="28" l="1"/>
  <c r="D386" i="28"/>
  <c r="F386" i="28" s="1"/>
  <c r="J386" i="28" s="1"/>
  <c r="P386" i="28" s="1"/>
  <c r="A388" i="28"/>
  <c r="C387" i="28"/>
  <c r="E387" i="28" s="1"/>
  <c r="I387" i="28" s="1"/>
  <c r="L388" i="28"/>
  <c r="N387" i="28"/>
  <c r="J381" i="23"/>
  <c r="C383" i="23"/>
  <c r="E383" i="23" s="1"/>
  <c r="P380" i="23"/>
  <c r="N381" i="23"/>
  <c r="L382" i="23"/>
  <c r="I382" i="23" s="1"/>
  <c r="D382" i="23"/>
  <c r="F382" i="23" s="1"/>
  <c r="D387" i="28" l="1"/>
  <c r="F387" i="28" s="1"/>
  <c r="J387" i="28" s="1"/>
  <c r="P387" i="28" s="1"/>
  <c r="B388" i="28"/>
  <c r="A389" i="28"/>
  <c r="C388" i="28"/>
  <c r="E388" i="28" s="1"/>
  <c r="I388" i="28" s="1"/>
  <c r="L389" i="28"/>
  <c r="N388" i="28"/>
  <c r="J382" i="23"/>
  <c r="C384" i="23"/>
  <c r="E384" i="23" s="1"/>
  <c r="P381" i="23"/>
  <c r="N382" i="23"/>
  <c r="L383" i="23"/>
  <c r="I383" i="23" s="1"/>
  <c r="D383" i="23"/>
  <c r="F383" i="23" s="1"/>
  <c r="B389" i="28" l="1"/>
  <c r="D388" i="28"/>
  <c r="F388" i="28" s="1"/>
  <c r="J388" i="28" s="1"/>
  <c r="P388" i="28" s="1"/>
  <c r="A390" i="28"/>
  <c r="C389" i="28"/>
  <c r="E389" i="28" s="1"/>
  <c r="I389" i="28" s="1"/>
  <c r="L390" i="28"/>
  <c r="N389" i="28"/>
  <c r="J383" i="23"/>
  <c r="C385" i="23"/>
  <c r="E385" i="23" s="1"/>
  <c r="P382" i="23"/>
  <c r="N383" i="23"/>
  <c r="L384" i="23"/>
  <c r="I384" i="23" s="1"/>
  <c r="D384" i="23"/>
  <c r="F384" i="23" s="1"/>
  <c r="D389" i="28" l="1"/>
  <c r="F389" i="28" s="1"/>
  <c r="J389" i="28" s="1"/>
  <c r="P389" i="28" s="1"/>
  <c r="B390" i="28"/>
  <c r="A391" i="28"/>
  <c r="C390" i="28"/>
  <c r="E390" i="28" s="1"/>
  <c r="I390" i="28" s="1"/>
  <c r="L391" i="28"/>
  <c r="N390" i="28"/>
  <c r="J384" i="23"/>
  <c r="C386" i="23"/>
  <c r="E386" i="23" s="1"/>
  <c r="P383" i="23"/>
  <c r="N384" i="23"/>
  <c r="L385" i="23"/>
  <c r="I385" i="23" s="1"/>
  <c r="D385" i="23"/>
  <c r="F385" i="23" s="1"/>
  <c r="B391" i="28" l="1"/>
  <c r="D390" i="28"/>
  <c r="F390" i="28" s="1"/>
  <c r="J390" i="28" s="1"/>
  <c r="P390" i="28" s="1"/>
  <c r="A392" i="28"/>
  <c r="C391" i="28"/>
  <c r="E391" i="28" s="1"/>
  <c r="I391" i="28" s="1"/>
  <c r="L392" i="28"/>
  <c r="N391" i="28"/>
  <c r="J385" i="23"/>
  <c r="C387" i="23"/>
  <c r="E387" i="23" s="1"/>
  <c r="P384" i="23"/>
  <c r="N385" i="23"/>
  <c r="L386" i="23"/>
  <c r="I386" i="23" s="1"/>
  <c r="D386" i="23"/>
  <c r="F386" i="23" s="1"/>
  <c r="B392" i="28" l="1"/>
  <c r="D391" i="28"/>
  <c r="F391" i="28" s="1"/>
  <c r="J391" i="28" s="1"/>
  <c r="P391" i="28" s="1"/>
  <c r="A393" i="28"/>
  <c r="C392" i="28"/>
  <c r="E392" i="28" s="1"/>
  <c r="I392" i="28" s="1"/>
  <c r="L393" i="28"/>
  <c r="N392" i="28"/>
  <c r="J386" i="23"/>
  <c r="C388" i="23"/>
  <c r="E388" i="23" s="1"/>
  <c r="P385" i="23"/>
  <c r="N386" i="23"/>
  <c r="L387" i="23"/>
  <c r="I387" i="23" s="1"/>
  <c r="D387" i="23"/>
  <c r="F387" i="23" s="1"/>
  <c r="B393" i="28" l="1"/>
  <c r="D392" i="28"/>
  <c r="F392" i="28" s="1"/>
  <c r="J392" i="28" s="1"/>
  <c r="P392" i="28" s="1"/>
  <c r="A394" i="28"/>
  <c r="C393" i="28"/>
  <c r="E393" i="28" s="1"/>
  <c r="I393" i="28" s="1"/>
  <c r="L394" i="28"/>
  <c r="N393" i="28"/>
  <c r="J387" i="23"/>
  <c r="C389" i="23"/>
  <c r="E389" i="23" s="1"/>
  <c r="P386" i="23"/>
  <c r="N387" i="23"/>
  <c r="L388" i="23"/>
  <c r="I388" i="23" s="1"/>
  <c r="D388" i="23"/>
  <c r="F388" i="23" s="1"/>
  <c r="D393" i="28" l="1"/>
  <c r="F393" i="28" s="1"/>
  <c r="J393" i="28" s="1"/>
  <c r="P393" i="28" s="1"/>
  <c r="B394" i="28"/>
  <c r="A395" i="28"/>
  <c r="C394" i="28"/>
  <c r="E394" i="28" s="1"/>
  <c r="I394" i="28" s="1"/>
  <c r="L395" i="28"/>
  <c r="N394" i="28"/>
  <c r="J388" i="23"/>
  <c r="C390" i="23"/>
  <c r="E390" i="23" s="1"/>
  <c r="P387" i="23"/>
  <c r="N388" i="23"/>
  <c r="L389" i="23"/>
  <c r="I389" i="23" s="1"/>
  <c r="D389" i="23"/>
  <c r="F389" i="23" s="1"/>
  <c r="B395" i="28" l="1"/>
  <c r="D394" i="28"/>
  <c r="F394" i="28" s="1"/>
  <c r="J394" i="28" s="1"/>
  <c r="P394" i="28" s="1"/>
  <c r="A396" i="28"/>
  <c r="C395" i="28"/>
  <c r="E395" i="28" s="1"/>
  <c r="I395" i="28" s="1"/>
  <c r="L396" i="28"/>
  <c r="N395" i="28"/>
  <c r="J389" i="23"/>
  <c r="C391" i="23"/>
  <c r="E391" i="23" s="1"/>
  <c r="P388" i="23"/>
  <c r="N389" i="23"/>
  <c r="L390" i="23"/>
  <c r="I390" i="23" s="1"/>
  <c r="D390" i="23"/>
  <c r="F390" i="23" s="1"/>
  <c r="B396" i="28" l="1"/>
  <c r="D395" i="28"/>
  <c r="F395" i="28" s="1"/>
  <c r="J395" i="28" s="1"/>
  <c r="P395" i="28" s="1"/>
  <c r="A397" i="28"/>
  <c r="C396" i="28"/>
  <c r="E396" i="28" s="1"/>
  <c r="I396" i="28" s="1"/>
  <c r="L397" i="28"/>
  <c r="N396" i="28"/>
  <c r="J390" i="23"/>
  <c r="C392" i="23"/>
  <c r="E392" i="23" s="1"/>
  <c r="P389" i="23"/>
  <c r="N390" i="23"/>
  <c r="L391" i="23"/>
  <c r="I391" i="23" s="1"/>
  <c r="D391" i="23"/>
  <c r="F391" i="23" s="1"/>
  <c r="B397" i="28" l="1"/>
  <c r="D396" i="28"/>
  <c r="F396" i="28" s="1"/>
  <c r="J396" i="28" s="1"/>
  <c r="P396" i="28" s="1"/>
  <c r="A398" i="28"/>
  <c r="C397" i="28"/>
  <c r="E397" i="28" s="1"/>
  <c r="I397" i="28" s="1"/>
  <c r="L398" i="28"/>
  <c r="N397" i="28"/>
  <c r="J391" i="23"/>
  <c r="C393" i="23"/>
  <c r="E393" i="23" s="1"/>
  <c r="P390" i="23"/>
  <c r="N391" i="23"/>
  <c r="L392" i="23"/>
  <c r="I392" i="23" s="1"/>
  <c r="D392" i="23"/>
  <c r="F392" i="23" s="1"/>
  <c r="D397" i="28" l="1"/>
  <c r="F397" i="28" s="1"/>
  <c r="J397" i="28" s="1"/>
  <c r="P397" i="28" s="1"/>
  <c r="B398" i="28"/>
  <c r="A399" i="28"/>
  <c r="C398" i="28"/>
  <c r="E398" i="28" s="1"/>
  <c r="I398" i="28" s="1"/>
  <c r="L399" i="28"/>
  <c r="N398" i="28"/>
  <c r="J392" i="23"/>
  <c r="C394" i="23"/>
  <c r="E394" i="23" s="1"/>
  <c r="P391" i="23"/>
  <c r="N392" i="23"/>
  <c r="L393" i="23"/>
  <c r="I393" i="23" s="1"/>
  <c r="D393" i="23"/>
  <c r="F393" i="23" s="1"/>
  <c r="B399" i="28" l="1"/>
  <c r="D398" i="28"/>
  <c r="F398" i="28" s="1"/>
  <c r="J398" i="28" s="1"/>
  <c r="P398" i="28" s="1"/>
  <c r="A400" i="28"/>
  <c r="C399" i="28"/>
  <c r="E399" i="28" s="1"/>
  <c r="I399" i="28" s="1"/>
  <c r="L400" i="28"/>
  <c r="N399" i="28"/>
  <c r="J393" i="23"/>
  <c r="C395" i="23"/>
  <c r="E395" i="23" s="1"/>
  <c r="P392" i="23"/>
  <c r="N393" i="23"/>
  <c r="L394" i="23"/>
  <c r="I394" i="23" s="1"/>
  <c r="D394" i="23"/>
  <c r="F394" i="23" s="1"/>
  <c r="D399" i="28" l="1"/>
  <c r="F399" i="28" s="1"/>
  <c r="J399" i="28" s="1"/>
  <c r="P399" i="28" s="1"/>
  <c r="B400" i="28"/>
  <c r="A401" i="28"/>
  <c r="C400" i="28"/>
  <c r="E400" i="28" s="1"/>
  <c r="I400" i="28" s="1"/>
  <c r="L401" i="28"/>
  <c r="N400" i="28"/>
  <c r="J394" i="23"/>
  <c r="C396" i="23"/>
  <c r="E396" i="23" s="1"/>
  <c r="P393" i="23"/>
  <c r="N394" i="23"/>
  <c r="L395" i="23"/>
  <c r="I395" i="23" s="1"/>
  <c r="D395" i="23"/>
  <c r="F395" i="23" s="1"/>
  <c r="B401" i="28" l="1"/>
  <c r="D400" i="28"/>
  <c r="F400" i="28" s="1"/>
  <c r="J400" i="28" s="1"/>
  <c r="P400" i="28" s="1"/>
  <c r="A402" i="28"/>
  <c r="C401" i="28"/>
  <c r="E401" i="28" s="1"/>
  <c r="I401" i="28" s="1"/>
  <c r="L402" i="28"/>
  <c r="N401" i="28"/>
  <c r="J395" i="23"/>
  <c r="C397" i="23"/>
  <c r="E397" i="23" s="1"/>
  <c r="P394" i="23"/>
  <c r="N395" i="23"/>
  <c r="L396" i="23"/>
  <c r="I396" i="23" s="1"/>
  <c r="D396" i="23"/>
  <c r="F396" i="23" s="1"/>
  <c r="B402" i="28" l="1"/>
  <c r="D401" i="28"/>
  <c r="F401" i="28" s="1"/>
  <c r="J401" i="28" s="1"/>
  <c r="P401" i="28" s="1"/>
  <c r="A403" i="28"/>
  <c r="C402" i="28"/>
  <c r="E402" i="28" s="1"/>
  <c r="I402" i="28" s="1"/>
  <c r="L403" i="28"/>
  <c r="N402" i="28"/>
  <c r="J396" i="23"/>
  <c r="C398" i="23"/>
  <c r="E398" i="23" s="1"/>
  <c r="P395" i="23"/>
  <c r="N396" i="23"/>
  <c r="L397" i="23"/>
  <c r="I397" i="23" s="1"/>
  <c r="D397" i="23"/>
  <c r="F397" i="23" s="1"/>
  <c r="B403" i="28" l="1"/>
  <c r="D402" i="28"/>
  <c r="F402" i="28" s="1"/>
  <c r="J402" i="28" s="1"/>
  <c r="P402" i="28" s="1"/>
  <c r="A404" i="28"/>
  <c r="C403" i="28"/>
  <c r="E403" i="28" s="1"/>
  <c r="I403" i="28" s="1"/>
  <c r="L404" i="28"/>
  <c r="N403" i="28"/>
  <c r="J397" i="23"/>
  <c r="C399" i="23"/>
  <c r="E399" i="23" s="1"/>
  <c r="P396" i="23"/>
  <c r="N397" i="23"/>
  <c r="L398" i="23"/>
  <c r="I398" i="23" s="1"/>
  <c r="D398" i="23"/>
  <c r="F398" i="23" s="1"/>
  <c r="D403" i="28" l="1"/>
  <c r="F403" i="28" s="1"/>
  <c r="J403" i="28" s="1"/>
  <c r="P403" i="28" s="1"/>
  <c r="B404" i="28"/>
  <c r="A405" i="28"/>
  <c r="C404" i="28"/>
  <c r="E404" i="28" s="1"/>
  <c r="I404" i="28" s="1"/>
  <c r="L405" i="28"/>
  <c r="N404" i="28"/>
  <c r="J398" i="23"/>
  <c r="C400" i="23"/>
  <c r="E400" i="23" s="1"/>
  <c r="P397" i="23"/>
  <c r="N398" i="23"/>
  <c r="L399" i="23"/>
  <c r="I399" i="23" s="1"/>
  <c r="D399" i="23"/>
  <c r="F399" i="23" s="1"/>
  <c r="B405" i="28" l="1"/>
  <c r="D404" i="28"/>
  <c r="F404" i="28" s="1"/>
  <c r="J404" i="28" s="1"/>
  <c r="P404" i="28" s="1"/>
  <c r="A406" i="28"/>
  <c r="C405" i="28"/>
  <c r="E405" i="28" s="1"/>
  <c r="I405" i="28" s="1"/>
  <c r="L406" i="28"/>
  <c r="N405" i="28"/>
  <c r="J399" i="23"/>
  <c r="C401" i="23"/>
  <c r="E401" i="23" s="1"/>
  <c r="P398" i="23"/>
  <c r="N399" i="23"/>
  <c r="L400" i="23"/>
  <c r="I400" i="23" s="1"/>
  <c r="D400" i="23"/>
  <c r="F400" i="23" s="1"/>
  <c r="B406" i="28" l="1"/>
  <c r="D405" i="28"/>
  <c r="F405" i="28" s="1"/>
  <c r="J405" i="28" s="1"/>
  <c r="P405" i="28" s="1"/>
  <c r="A407" i="28"/>
  <c r="C406" i="28"/>
  <c r="E406" i="28" s="1"/>
  <c r="I406" i="28" s="1"/>
  <c r="L407" i="28"/>
  <c r="N406" i="28"/>
  <c r="J400" i="23"/>
  <c r="C402" i="23"/>
  <c r="E402" i="23" s="1"/>
  <c r="P399" i="23"/>
  <c r="N400" i="23"/>
  <c r="L401" i="23"/>
  <c r="I401" i="23" s="1"/>
  <c r="D401" i="23"/>
  <c r="F401" i="23" s="1"/>
  <c r="B407" i="28" l="1"/>
  <c r="D406" i="28"/>
  <c r="F406" i="28" s="1"/>
  <c r="J406" i="28" s="1"/>
  <c r="P406" i="28" s="1"/>
  <c r="A408" i="28"/>
  <c r="C407" i="28"/>
  <c r="E407" i="28" s="1"/>
  <c r="I407" i="28" s="1"/>
  <c r="L408" i="28"/>
  <c r="N407" i="28"/>
  <c r="J401" i="23"/>
  <c r="C403" i="23"/>
  <c r="E403" i="23" s="1"/>
  <c r="P400" i="23"/>
  <c r="N401" i="23"/>
  <c r="L402" i="23"/>
  <c r="I402" i="23" s="1"/>
  <c r="D402" i="23"/>
  <c r="F402" i="23" s="1"/>
  <c r="B408" i="28" l="1"/>
  <c r="D407" i="28"/>
  <c r="F407" i="28" s="1"/>
  <c r="J407" i="28" s="1"/>
  <c r="P407" i="28" s="1"/>
  <c r="A409" i="28"/>
  <c r="C408" i="28"/>
  <c r="E408" i="28" s="1"/>
  <c r="I408" i="28" s="1"/>
  <c r="L409" i="28"/>
  <c r="N408" i="28"/>
  <c r="J402" i="23"/>
  <c r="C404" i="23"/>
  <c r="E404" i="23" s="1"/>
  <c r="P401" i="23"/>
  <c r="N402" i="23"/>
  <c r="L403" i="23"/>
  <c r="I403" i="23" s="1"/>
  <c r="D403" i="23"/>
  <c r="F403" i="23" s="1"/>
  <c r="B409" i="28" l="1"/>
  <c r="D408" i="28"/>
  <c r="F408" i="28" s="1"/>
  <c r="J408" i="28" s="1"/>
  <c r="P408" i="28" s="1"/>
  <c r="A410" i="28"/>
  <c r="C409" i="28"/>
  <c r="E409" i="28" s="1"/>
  <c r="I409" i="28" s="1"/>
  <c r="L410" i="28"/>
  <c r="N409" i="28"/>
  <c r="J403" i="23"/>
  <c r="C405" i="23"/>
  <c r="E405" i="23" s="1"/>
  <c r="P402" i="23"/>
  <c r="N403" i="23"/>
  <c r="L404" i="23"/>
  <c r="I404" i="23" s="1"/>
  <c r="D404" i="23"/>
  <c r="F404" i="23" s="1"/>
  <c r="B410" i="28" l="1"/>
  <c r="D409" i="28"/>
  <c r="F409" i="28" s="1"/>
  <c r="J409" i="28" s="1"/>
  <c r="P409" i="28" s="1"/>
  <c r="A411" i="28"/>
  <c r="C410" i="28"/>
  <c r="E410" i="28" s="1"/>
  <c r="I410" i="28" s="1"/>
  <c r="L411" i="28"/>
  <c r="N410" i="28"/>
  <c r="J404" i="23"/>
  <c r="C406" i="23"/>
  <c r="E406" i="23" s="1"/>
  <c r="P403" i="23"/>
  <c r="N404" i="23"/>
  <c r="L405" i="23"/>
  <c r="I405" i="23" s="1"/>
  <c r="D405" i="23"/>
  <c r="F405" i="23" s="1"/>
  <c r="B411" i="28" l="1"/>
  <c r="D410" i="28"/>
  <c r="F410" i="28" s="1"/>
  <c r="J410" i="28" s="1"/>
  <c r="P410" i="28" s="1"/>
  <c r="A412" i="28"/>
  <c r="C411" i="28"/>
  <c r="E411" i="28" s="1"/>
  <c r="I411" i="28" s="1"/>
  <c r="L412" i="28"/>
  <c r="N411" i="28"/>
  <c r="J405" i="23"/>
  <c r="C407" i="23"/>
  <c r="E407" i="23" s="1"/>
  <c r="P404" i="23"/>
  <c r="N405" i="23"/>
  <c r="L406" i="23"/>
  <c r="I406" i="23" s="1"/>
  <c r="D406" i="23"/>
  <c r="F406" i="23" s="1"/>
  <c r="D411" i="28" l="1"/>
  <c r="F411" i="28" s="1"/>
  <c r="J411" i="28" s="1"/>
  <c r="P411" i="28" s="1"/>
  <c r="B412" i="28"/>
  <c r="A413" i="28"/>
  <c r="C412" i="28"/>
  <c r="E412" i="28" s="1"/>
  <c r="I412" i="28" s="1"/>
  <c r="L413" i="28"/>
  <c r="N412" i="28"/>
  <c r="J406" i="23"/>
  <c r="C408" i="23"/>
  <c r="E408" i="23" s="1"/>
  <c r="P405" i="23"/>
  <c r="N406" i="23"/>
  <c r="L407" i="23"/>
  <c r="I407" i="23" s="1"/>
  <c r="D407" i="23"/>
  <c r="F407" i="23" s="1"/>
  <c r="B413" i="28" l="1"/>
  <c r="D412" i="28"/>
  <c r="F412" i="28" s="1"/>
  <c r="J412" i="28" s="1"/>
  <c r="P412" i="28" s="1"/>
  <c r="A414" i="28"/>
  <c r="C413" i="28"/>
  <c r="E413" i="28" s="1"/>
  <c r="I413" i="28" s="1"/>
  <c r="L414" i="28"/>
  <c r="N413" i="28"/>
  <c r="J407" i="23"/>
  <c r="C409" i="23"/>
  <c r="E409" i="23" s="1"/>
  <c r="P406" i="23"/>
  <c r="N407" i="23"/>
  <c r="L408" i="23"/>
  <c r="I408" i="23" s="1"/>
  <c r="D408" i="23"/>
  <c r="F408" i="23" s="1"/>
  <c r="B414" i="28" l="1"/>
  <c r="D413" i="28"/>
  <c r="F413" i="28" s="1"/>
  <c r="J413" i="28" s="1"/>
  <c r="P413" i="28" s="1"/>
  <c r="A415" i="28"/>
  <c r="C414" i="28"/>
  <c r="E414" i="28" s="1"/>
  <c r="I414" i="28" s="1"/>
  <c r="L415" i="28"/>
  <c r="N414" i="28"/>
  <c r="J408" i="23"/>
  <c r="C410" i="23"/>
  <c r="E410" i="23" s="1"/>
  <c r="P407" i="23"/>
  <c r="N408" i="23"/>
  <c r="L409" i="23"/>
  <c r="I409" i="23" s="1"/>
  <c r="D409" i="23"/>
  <c r="F409" i="23" s="1"/>
  <c r="B415" i="28" l="1"/>
  <c r="D414" i="28"/>
  <c r="F414" i="28" s="1"/>
  <c r="J414" i="28" s="1"/>
  <c r="P414" i="28" s="1"/>
  <c r="A416" i="28"/>
  <c r="C415" i="28"/>
  <c r="E415" i="28" s="1"/>
  <c r="I415" i="28" s="1"/>
  <c r="L416" i="28"/>
  <c r="N415" i="28"/>
  <c r="J409" i="23"/>
  <c r="C411" i="23"/>
  <c r="E411" i="23" s="1"/>
  <c r="P408" i="23"/>
  <c r="N409" i="23"/>
  <c r="L410" i="23"/>
  <c r="I410" i="23" s="1"/>
  <c r="D410" i="23"/>
  <c r="F410" i="23" s="1"/>
  <c r="B416" i="28" l="1"/>
  <c r="D415" i="28"/>
  <c r="F415" i="28" s="1"/>
  <c r="J415" i="28" s="1"/>
  <c r="P415" i="28" s="1"/>
  <c r="A417" i="28"/>
  <c r="C416" i="28"/>
  <c r="E416" i="28" s="1"/>
  <c r="I416" i="28" s="1"/>
  <c r="L417" i="28"/>
  <c r="N416" i="28"/>
  <c r="J410" i="23"/>
  <c r="C412" i="23"/>
  <c r="E412" i="23" s="1"/>
  <c r="P409" i="23"/>
  <c r="N410" i="23"/>
  <c r="L411" i="23"/>
  <c r="I411" i="23" s="1"/>
  <c r="D411" i="23"/>
  <c r="F411" i="23" s="1"/>
  <c r="B417" i="28" l="1"/>
  <c r="D416" i="28"/>
  <c r="F416" i="28" s="1"/>
  <c r="J416" i="28" s="1"/>
  <c r="P416" i="28" s="1"/>
  <c r="A418" i="28"/>
  <c r="C417" i="28"/>
  <c r="E417" i="28" s="1"/>
  <c r="I417" i="28" s="1"/>
  <c r="L418" i="28"/>
  <c r="N417" i="28"/>
  <c r="J411" i="23"/>
  <c r="C413" i="23"/>
  <c r="E413" i="23" s="1"/>
  <c r="P410" i="23"/>
  <c r="N411" i="23"/>
  <c r="L412" i="23"/>
  <c r="I412" i="23" s="1"/>
  <c r="D412" i="23"/>
  <c r="F412" i="23" s="1"/>
  <c r="D417" i="28" l="1"/>
  <c r="F417" i="28" s="1"/>
  <c r="J417" i="28" s="1"/>
  <c r="P417" i="28" s="1"/>
  <c r="B418" i="28"/>
  <c r="A419" i="28"/>
  <c r="C418" i="28"/>
  <c r="E418" i="28" s="1"/>
  <c r="I418" i="28" s="1"/>
  <c r="L419" i="28"/>
  <c r="N418" i="28"/>
  <c r="J412" i="23"/>
  <c r="C414" i="23"/>
  <c r="E414" i="23" s="1"/>
  <c r="P411" i="23"/>
  <c r="N412" i="23"/>
  <c r="L413" i="23"/>
  <c r="I413" i="23" s="1"/>
  <c r="D413" i="23"/>
  <c r="F413" i="23" s="1"/>
  <c r="B419" i="28" l="1"/>
  <c r="D418" i="28"/>
  <c r="F418" i="28" s="1"/>
  <c r="J418" i="28" s="1"/>
  <c r="P418" i="28" s="1"/>
  <c r="A420" i="28"/>
  <c r="C419" i="28"/>
  <c r="E419" i="28" s="1"/>
  <c r="I419" i="28" s="1"/>
  <c r="L420" i="28"/>
  <c r="N419" i="28"/>
  <c r="J413" i="23"/>
  <c r="C415" i="23"/>
  <c r="E415" i="23" s="1"/>
  <c r="P412" i="23"/>
  <c r="N413" i="23"/>
  <c r="L414" i="23"/>
  <c r="I414" i="23" s="1"/>
  <c r="D414" i="23"/>
  <c r="F414" i="23" s="1"/>
  <c r="B420" i="28" l="1"/>
  <c r="D419" i="28"/>
  <c r="F419" i="28" s="1"/>
  <c r="J419" i="28" s="1"/>
  <c r="P419" i="28" s="1"/>
  <c r="A421" i="28"/>
  <c r="C420" i="28"/>
  <c r="E420" i="28" s="1"/>
  <c r="I420" i="28" s="1"/>
  <c r="L421" i="28"/>
  <c r="N420" i="28"/>
  <c r="J414" i="23"/>
  <c r="C416" i="23"/>
  <c r="E416" i="23" s="1"/>
  <c r="P413" i="23"/>
  <c r="N414" i="23"/>
  <c r="L415" i="23"/>
  <c r="I415" i="23" s="1"/>
  <c r="D415" i="23"/>
  <c r="F415" i="23" s="1"/>
  <c r="B421" i="28" l="1"/>
  <c r="D420" i="28"/>
  <c r="F420" i="28" s="1"/>
  <c r="J420" i="28" s="1"/>
  <c r="P420" i="28" s="1"/>
  <c r="A422" i="28"/>
  <c r="C421" i="28"/>
  <c r="E421" i="28" s="1"/>
  <c r="I421" i="28" s="1"/>
  <c r="L422" i="28"/>
  <c r="N421" i="28"/>
  <c r="J415" i="23"/>
  <c r="C417" i="23"/>
  <c r="E417" i="23" s="1"/>
  <c r="P414" i="23"/>
  <c r="N415" i="23"/>
  <c r="L416" i="23"/>
  <c r="I416" i="23" s="1"/>
  <c r="D416" i="23"/>
  <c r="F416" i="23" s="1"/>
  <c r="D421" i="28" l="1"/>
  <c r="F421" i="28" s="1"/>
  <c r="J421" i="28" s="1"/>
  <c r="P421" i="28" s="1"/>
  <c r="B422" i="28"/>
  <c r="A423" i="28"/>
  <c r="C422" i="28"/>
  <c r="E422" i="28" s="1"/>
  <c r="I422" i="28" s="1"/>
  <c r="N422" i="28"/>
  <c r="L423" i="28"/>
  <c r="J416" i="23"/>
  <c r="C418" i="23"/>
  <c r="E418" i="23" s="1"/>
  <c r="P415" i="23"/>
  <c r="N416" i="23"/>
  <c r="L417" i="23"/>
  <c r="I417" i="23" s="1"/>
  <c r="D417" i="23"/>
  <c r="F417" i="23" s="1"/>
  <c r="B423" i="28" l="1"/>
  <c r="D422" i="28"/>
  <c r="F422" i="28" s="1"/>
  <c r="J422" i="28" s="1"/>
  <c r="P422" i="28" s="1"/>
  <c r="A424" i="28"/>
  <c r="C423" i="28"/>
  <c r="E423" i="28" s="1"/>
  <c r="I423" i="28" s="1"/>
  <c r="N423" i="28"/>
  <c r="L424" i="28"/>
  <c r="J417" i="23"/>
  <c r="C419" i="23"/>
  <c r="E419" i="23" s="1"/>
  <c r="P416" i="23"/>
  <c r="N417" i="23"/>
  <c r="L418" i="23"/>
  <c r="I418" i="23" s="1"/>
  <c r="D418" i="23"/>
  <c r="F418" i="23" s="1"/>
  <c r="D423" i="28" l="1"/>
  <c r="F423" i="28" s="1"/>
  <c r="J423" i="28" s="1"/>
  <c r="P423" i="28" s="1"/>
  <c r="B424" i="28"/>
  <c r="A425" i="28"/>
  <c r="C424" i="28"/>
  <c r="E424" i="28" s="1"/>
  <c r="I424" i="28" s="1"/>
  <c r="L425" i="28"/>
  <c r="N424" i="28"/>
  <c r="J418" i="23"/>
  <c r="C420" i="23"/>
  <c r="E420" i="23" s="1"/>
  <c r="P417" i="23"/>
  <c r="N418" i="23"/>
  <c r="L419" i="23"/>
  <c r="I419" i="23" s="1"/>
  <c r="D419" i="23"/>
  <c r="F419" i="23" s="1"/>
  <c r="B425" i="28" l="1"/>
  <c r="D424" i="28"/>
  <c r="F424" i="28" s="1"/>
  <c r="J424" i="28" s="1"/>
  <c r="P424" i="28" s="1"/>
  <c r="A426" i="28"/>
  <c r="C425" i="28"/>
  <c r="E425" i="28" s="1"/>
  <c r="I425" i="28" s="1"/>
  <c r="N425" i="28"/>
  <c r="L426" i="28"/>
  <c r="J419" i="23"/>
  <c r="C421" i="23"/>
  <c r="E421" i="23" s="1"/>
  <c r="P418" i="23"/>
  <c r="N419" i="23"/>
  <c r="L420" i="23"/>
  <c r="I420" i="23" s="1"/>
  <c r="D420" i="23"/>
  <c r="F420" i="23" s="1"/>
  <c r="B426" i="28" l="1"/>
  <c r="D425" i="28"/>
  <c r="F425" i="28" s="1"/>
  <c r="J425" i="28" s="1"/>
  <c r="P425" i="28" s="1"/>
  <c r="A427" i="28"/>
  <c r="C426" i="28"/>
  <c r="E426" i="28" s="1"/>
  <c r="I426" i="28" s="1"/>
  <c r="N426" i="28"/>
  <c r="L427" i="28"/>
  <c r="J420" i="23"/>
  <c r="C422" i="23"/>
  <c r="E422" i="23" s="1"/>
  <c r="P419" i="23"/>
  <c r="N420" i="23"/>
  <c r="L421" i="23"/>
  <c r="I421" i="23" s="1"/>
  <c r="D421" i="23"/>
  <c r="F421" i="23" s="1"/>
  <c r="D426" i="28" l="1"/>
  <c r="F426" i="28" s="1"/>
  <c r="J426" i="28" s="1"/>
  <c r="P426" i="28" s="1"/>
  <c r="B427" i="28"/>
  <c r="A428" i="28"/>
  <c r="C427" i="28"/>
  <c r="E427" i="28" s="1"/>
  <c r="I427" i="28" s="1"/>
  <c r="N427" i="28"/>
  <c r="L428" i="28"/>
  <c r="J421" i="23"/>
  <c r="C423" i="23"/>
  <c r="E423" i="23" s="1"/>
  <c r="P420" i="23"/>
  <c r="N421" i="23"/>
  <c r="L422" i="23"/>
  <c r="I422" i="23" s="1"/>
  <c r="D422" i="23"/>
  <c r="F422" i="23" s="1"/>
  <c r="D427" i="28" l="1"/>
  <c r="F427" i="28" s="1"/>
  <c r="J427" i="28" s="1"/>
  <c r="P427" i="28" s="1"/>
  <c r="B428" i="28"/>
  <c r="A429" i="28"/>
  <c r="C428" i="28"/>
  <c r="E428" i="28" s="1"/>
  <c r="I428" i="28" s="1"/>
  <c r="N428" i="28"/>
  <c r="L429" i="28"/>
  <c r="J422" i="23"/>
  <c r="C424" i="23"/>
  <c r="E424" i="23" s="1"/>
  <c r="P421" i="23"/>
  <c r="N422" i="23"/>
  <c r="L423" i="23"/>
  <c r="I423" i="23" s="1"/>
  <c r="D423" i="23"/>
  <c r="F423" i="23" s="1"/>
  <c r="B429" i="28" l="1"/>
  <c r="D428" i="28"/>
  <c r="F428" i="28" s="1"/>
  <c r="J428" i="28" s="1"/>
  <c r="P428" i="28" s="1"/>
  <c r="A430" i="28"/>
  <c r="C429" i="28"/>
  <c r="E429" i="28" s="1"/>
  <c r="I429" i="28" s="1"/>
  <c r="N429" i="28"/>
  <c r="L430" i="28"/>
  <c r="J423" i="23"/>
  <c r="C425" i="23"/>
  <c r="E425" i="23" s="1"/>
  <c r="P422" i="23"/>
  <c r="N423" i="23"/>
  <c r="L424" i="23"/>
  <c r="I424" i="23" s="1"/>
  <c r="D424" i="23"/>
  <c r="F424" i="23" s="1"/>
  <c r="D429" i="28" l="1"/>
  <c r="F429" i="28" s="1"/>
  <c r="J429" i="28" s="1"/>
  <c r="P429" i="28" s="1"/>
  <c r="B430" i="28"/>
  <c r="A431" i="28"/>
  <c r="C430" i="28"/>
  <c r="E430" i="28" s="1"/>
  <c r="I430" i="28" s="1"/>
  <c r="N430" i="28"/>
  <c r="L431" i="28"/>
  <c r="J424" i="23"/>
  <c r="C426" i="23"/>
  <c r="E426" i="23" s="1"/>
  <c r="P423" i="23"/>
  <c r="N424" i="23"/>
  <c r="L425" i="23"/>
  <c r="I425" i="23" s="1"/>
  <c r="D425" i="23"/>
  <c r="F425" i="23" s="1"/>
  <c r="B431" i="28" l="1"/>
  <c r="D430" i="28"/>
  <c r="F430" i="28" s="1"/>
  <c r="J430" i="28" s="1"/>
  <c r="P430" i="28" s="1"/>
  <c r="A432" i="28"/>
  <c r="C431" i="28"/>
  <c r="E431" i="28" s="1"/>
  <c r="I431" i="28" s="1"/>
  <c r="L432" i="28"/>
  <c r="N431" i="28"/>
  <c r="J425" i="23"/>
  <c r="C427" i="23"/>
  <c r="E427" i="23" s="1"/>
  <c r="P424" i="23"/>
  <c r="N425" i="23"/>
  <c r="L426" i="23"/>
  <c r="I426" i="23" s="1"/>
  <c r="D426" i="23"/>
  <c r="F426" i="23" s="1"/>
  <c r="D431" i="28" l="1"/>
  <c r="F431" i="28" s="1"/>
  <c r="J431" i="28" s="1"/>
  <c r="P431" i="28" s="1"/>
  <c r="B432" i="28"/>
  <c r="A433" i="28"/>
  <c r="C432" i="28"/>
  <c r="E432" i="28" s="1"/>
  <c r="I432" i="28" s="1"/>
  <c r="N432" i="28"/>
  <c r="L433" i="28"/>
  <c r="J426" i="23"/>
  <c r="C428" i="23"/>
  <c r="E428" i="23" s="1"/>
  <c r="P425" i="23"/>
  <c r="N426" i="23"/>
  <c r="L427" i="23"/>
  <c r="I427" i="23" s="1"/>
  <c r="D427" i="23"/>
  <c r="F427" i="23" s="1"/>
  <c r="D432" i="28" l="1"/>
  <c r="F432" i="28" s="1"/>
  <c r="J432" i="28" s="1"/>
  <c r="P432" i="28" s="1"/>
  <c r="B433" i="28"/>
  <c r="A434" i="28"/>
  <c r="C433" i="28"/>
  <c r="E433" i="28" s="1"/>
  <c r="I433" i="28" s="1"/>
  <c r="L434" i="28"/>
  <c r="N433" i="28"/>
  <c r="J427" i="23"/>
  <c r="C429" i="23"/>
  <c r="E429" i="23" s="1"/>
  <c r="P426" i="23"/>
  <c r="N427" i="23"/>
  <c r="L428" i="23"/>
  <c r="I428" i="23" s="1"/>
  <c r="D428" i="23"/>
  <c r="F428" i="23" s="1"/>
  <c r="B434" i="28" l="1"/>
  <c r="D433" i="28"/>
  <c r="F433" i="28" s="1"/>
  <c r="J433" i="28" s="1"/>
  <c r="P433" i="28" s="1"/>
  <c r="A435" i="28"/>
  <c r="C434" i="28"/>
  <c r="E434" i="28" s="1"/>
  <c r="I434" i="28" s="1"/>
  <c r="N434" i="28"/>
  <c r="L435" i="28"/>
  <c r="J428" i="23"/>
  <c r="C430" i="23"/>
  <c r="E430" i="23" s="1"/>
  <c r="P427" i="23"/>
  <c r="N428" i="23"/>
  <c r="L429" i="23"/>
  <c r="I429" i="23" s="1"/>
  <c r="D429" i="23"/>
  <c r="F429" i="23" s="1"/>
  <c r="D434" i="28" l="1"/>
  <c r="F434" i="28" s="1"/>
  <c r="J434" i="28" s="1"/>
  <c r="P434" i="28" s="1"/>
  <c r="B435" i="28"/>
  <c r="A436" i="28"/>
  <c r="C435" i="28"/>
  <c r="E435" i="28" s="1"/>
  <c r="I435" i="28" s="1"/>
  <c r="L436" i="28"/>
  <c r="N435" i="28"/>
  <c r="J429" i="23"/>
  <c r="C431" i="23"/>
  <c r="E431" i="23" s="1"/>
  <c r="P428" i="23"/>
  <c r="N429" i="23"/>
  <c r="L430" i="23"/>
  <c r="I430" i="23" s="1"/>
  <c r="D430" i="23"/>
  <c r="F430" i="23" s="1"/>
  <c r="D435" i="28" l="1"/>
  <c r="F435" i="28" s="1"/>
  <c r="J435" i="28" s="1"/>
  <c r="P435" i="28" s="1"/>
  <c r="B436" i="28"/>
  <c r="A437" i="28"/>
  <c r="C436" i="28"/>
  <c r="E436" i="28" s="1"/>
  <c r="I436" i="28" s="1"/>
  <c r="N436" i="28"/>
  <c r="L437" i="28"/>
  <c r="J430" i="23"/>
  <c r="C432" i="23"/>
  <c r="E432" i="23" s="1"/>
  <c r="P429" i="23"/>
  <c r="N430" i="23"/>
  <c r="L431" i="23"/>
  <c r="I431" i="23" s="1"/>
  <c r="D431" i="23"/>
  <c r="F431" i="23" s="1"/>
  <c r="B437" i="28" l="1"/>
  <c r="D436" i="28"/>
  <c r="F436" i="28" s="1"/>
  <c r="J436" i="28" s="1"/>
  <c r="P436" i="28" s="1"/>
  <c r="A438" i="28"/>
  <c r="C437" i="28"/>
  <c r="E437" i="28" s="1"/>
  <c r="I437" i="28" s="1"/>
  <c r="L438" i="28"/>
  <c r="N437" i="28"/>
  <c r="J431" i="23"/>
  <c r="C433" i="23"/>
  <c r="E433" i="23" s="1"/>
  <c r="P430" i="23"/>
  <c r="N431" i="23"/>
  <c r="L432" i="23"/>
  <c r="I432" i="23" s="1"/>
  <c r="D432" i="23"/>
  <c r="F432" i="23" s="1"/>
  <c r="B438" i="28" l="1"/>
  <c r="D437" i="28"/>
  <c r="F437" i="28" s="1"/>
  <c r="J437" i="28" s="1"/>
  <c r="P437" i="28" s="1"/>
  <c r="A439" i="28"/>
  <c r="C438" i="28"/>
  <c r="E438" i="28" s="1"/>
  <c r="I438" i="28" s="1"/>
  <c r="N438" i="28"/>
  <c r="L439" i="28"/>
  <c r="J432" i="23"/>
  <c r="C434" i="23"/>
  <c r="E434" i="23" s="1"/>
  <c r="P431" i="23"/>
  <c r="N432" i="23"/>
  <c r="L433" i="23"/>
  <c r="I433" i="23" s="1"/>
  <c r="D433" i="23"/>
  <c r="F433" i="23" s="1"/>
  <c r="B439" i="28" l="1"/>
  <c r="D438" i="28"/>
  <c r="F438" i="28" s="1"/>
  <c r="J438" i="28" s="1"/>
  <c r="P438" i="28" s="1"/>
  <c r="A440" i="28"/>
  <c r="C439" i="28"/>
  <c r="E439" i="28" s="1"/>
  <c r="I439" i="28" s="1"/>
  <c r="L440" i="28"/>
  <c r="N439" i="28"/>
  <c r="J433" i="23"/>
  <c r="C435" i="23"/>
  <c r="E435" i="23" s="1"/>
  <c r="P432" i="23"/>
  <c r="N433" i="23"/>
  <c r="L434" i="23"/>
  <c r="I434" i="23" s="1"/>
  <c r="D434" i="23"/>
  <c r="F434" i="23" s="1"/>
  <c r="D439" i="28" l="1"/>
  <c r="F439" i="28" s="1"/>
  <c r="J439" i="28" s="1"/>
  <c r="P439" i="28" s="1"/>
  <c r="B440" i="28"/>
  <c r="A441" i="28"/>
  <c r="C440" i="28"/>
  <c r="E440" i="28" s="1"/>
  <c r="I440" i="28" s="1"/>
  <c r="N440" i="28"/>
  <c r="L441" i="28"/>
  <c r="J434" i="23"/>
  <c r="C436" i="23"/>
  <c r="E436" i="23" s="1"/>
  <c r="P433" i="23"/>
  <c r="N434" i="23"/>
  <c r="L435" i="23"/>
  <c r="I435" i="23" s="1"/>
  <c r="D435" i="23"/>
  <c r="F435" i="23" s="1"/>
  <c r="D440" i="28" l="1"/>
  <c r="F440" i="28" s="1"/>
  <c r="J440" i="28" s="1"/>
  <c r="P440" i="28" s="1"/>
  <c r="B441" i="28"/>
  <c r="A442" i="28"/>
  <c r="C441" i="28"/>
  <c r="E441" i="28" s="1"/>
  <c r="I441" i="28" s="1"/>
  <c r="L442" i="28"/>
  <c r="N441" i="28"/>
  <c r="J435" i="23"/>
  <c r="C437" i="23"/>
  <c r="E437" i="23" s="1"/>
  <c r="P434" i="23"/>
  <c r="N435" i="23"/>
  <c r="L436" i="23"/>
  <c r="I436" i="23" s="1"/>
  <c r="D436" i="23"/>
  <c r="F436" i="23" s="1"/>
  <c r="B442" i="28" l="1"/>
  <c r="D441" i="28"/>
  <c r="F441" i="28" s="1"/>
  <c r="J441" i="28" s="1"/>
  <c r="P441" i="28" s="1"/>
  <c r="A443" i="28"/>
  <c r="C442" i="28"/>
  <c r="E442" i="28" s="1"/>
  <c r="I442" i="28" s="1"/>
  <c r="N442" i="28"/>
  <c r="L443" i="28"/>
  <c r="J436" i="23"/>
  <c r="C438" i="23"/>
  <c r="E438" i="23" s="1"/>
  <c r="P435" i="23"/>
  <c r="N436" i="23"/>
  <c r="L437" i="23"/>
  <c r="I437" i="23" s="1"/>
  <c r="D437" i="23"/>
  <c r="F437" i="23" s="1"/>
  <c r="D442" i="28" l="1"/>
  <c r="F442" i="28" s="1"/>
  <c r="J442" i="28" s="1"/>
  <c r="P442" i="28" s="1"/>
  <c r="B443" i="28"/>
  <c r="A444" i="28"/>
  <c r="C443" i="28"/>
  <c r="E443" i="28" s="1"/>
  <c r="I443" i="28" s="1"/>
  <c r="L444" i="28"/>
  <c r="N443" i="28"/>
  <c r="J437" i="23"/>
  <c r="C439" i="23"/>
  <c r="E439" i="23" s="1"/>
  <c r="P436" i="23"/>
  <c r="N437" i="23"/>
  <c r="L438" i="23"/>
  <c r="I438" i="23" s="1"/>
  <c r="D438" i="23"/>
  <c r="F438" i="23" s="1"/>
  <c r="D443" i="28" l="1"/>
  <c r="F443" i="28" s="1"/>
  <c r="J443" i="28" s="1"/>
  <c r="P443" i="28" s="1"/>
  <c r="B444" i="28"/>
  <c r="A445" i="28"/>
  <c r="C444" i="28"/>
  <c r="E444" i="28" s="1"/>
  <c r="I444" i="28" s="1"/>
  <c r="N444" i="28"/>
  <c r="L445" i="28"/>
  <c r="J438" i="23"/>
  <c r="C440" i="23"/>
  <c r="E440" i="23" s="1"/>
  <c r="P437" i="23"/>
  <c r="N438" i="23"/>
  <c r="L439" i="23"/>
  <c r="I439" i="23" s="1"/>
  <c r="D439" i="23"/>
  <c r="F439" i="23" s="1"/>
  <c r="D444" i="28" l="1"/>
  <c r="F444" i="28" s="1"/>
  <c r="J444" i="28" s="1"/>
  <c r="P444" i="28" s="1"/>
  <c r="B445" i="28"/>
  <c r="A446" i="28"/>
  <c r="C445" i="28"/>
  <c r="E445" i="28" s="1"/>
  <c r="I445" i="28" s="1"/>
  <c r="L446" i="28"/>
  <c r="N445" i="28"/>
  <c r="J439" i="23"/>
  <c r="C441" i="23"/>
  <c r="E441" i="23" s="1"/>
  <c r="P438" i="23"/>
  <c r="N439" i="23"/>
  <c r="L440" i="23"/>
  <c r="I440" i="23" s="1"/>
  <c r="D440" i="23"/>
  <c r="F440" i="23" s="1"/>
  <c r="B446" i="28" l="1"/>
  <c r="D445" i="28"/>
  <c r="F445" i="28" s="1"/>
  <c r="J445" i="28" s="1"/>
  <c r="P445" i="28" s="1"/>
  <c r="A447" i="28"/>
  <c r="C446" i="28"/>
  <c r="E446" i="28" s="1"/>
  <c r="I446" i="28" s="1"/>
  <c r="N446" i="28"/>
  <c r="L447" i="28"/>
  <c r="J440" i="23"/>
  <c r="C442" i="23"/>
  <c r="E442" i="23" s="1"/>
  <c r="P439" i="23"/>
  <c r="N440" i="23"/>
  <c r="L441" i="23"/>
  <c r="I441" i="23" s="1"/>
  <c r="D441" i="23"/>
  <c r="F441" i="23" s="1"/>
  <c r="D446" i="28" l="1"/>
  <c r="F446" i="28" s="1"/>
  <c r="J446" i="28" s="1"/>
  <c r="P446" i="28" s="1"/>
  <c r="B447" i="28"/>
  <c r="A448" i="28"/>
  <c r="C447" i="28"/>
  <c r="E447" i="28" s="1"/>
  <c r="I447" i="28" s="1"/>
  <c r="L448" i="28"/>
  <c r="N447" i="28"/>
  <c r="J441" i="23"/>
  <c r="C443" i="23"/>
  <c r="E443" i="23" s="1"/>
  <c r="P440" i="23"/>
  <c r="N441" i="23"/>
  <c r="L442" i="23"/>
  <c r="I442" i="23" s="1"/>
  <c r="D442" i="23"/>
  <c r="F442" i="23" s="1"/>
  <c r="D447" i="28" l="1"/>
  <c r="F447" i="28" s="1"/>
  <c r="J447" i="28" s="1"/>
  <c r="P447" i="28" s="1"/>
  <c r="B448" i="28"/>
  <c r="A449" i="28"/>
  <c r="C448" i="28"/>
  <c r="E448" i="28" s="1"/>
  <c r="I448" i="28" s="1"/>
  <c r="N448" i="28"/>
  <c r="L449" i="28"/>
  <c r="J442" i="23"/>
  <c r="C444" i="23"/>
  <c r="E444" i="23" s="1"/>
  <c r="P441" i="23"/>
  <c r="N442" i="23"/>
  <c r="L443" i="23"/>
  <c r="I443" i="23" s="1"/>
  <c r="D443" i="23"/>
  <c r="F443" i="23" s="1"/>
  <c r="B449" i="28" l="1"/>
  <c r="D448" i="28"/>
  <c r="F448" i="28" s="1"/>
  <c r="J448" i="28" s="1"/>
  <c r="P448" i="28" s="1"/>
  <c r="A450" i="28"/>
  <c r="C449" i="28"/>
  <c r="E449" i="28" s="1"/>
  <c r="I449" i="28" s="1"/>
  <c r="L450" i="28"/>
  <c r="N449" i="28"/>
  <c r="J443" i="23"/>
  <c r="C445" i="23"/>
  <c r="E445" i="23" s="1"/>
  <c r="P442" i="23"/>
  <c r="N443" i="23"/>
  <c r="L444" i="23"/>
  <c r="I444" i="23" s="1"/>
  <c r="D444" i="23"/>
  <c r="F444" i="23" s="1"/>
  <c r="B450" i="28" l="1"/>
  <c r="D449" i="28"/>
  <c r="F449" i="28" s="1"/>
  <c r="J449" i="28" s="1"/>
  <c r="P449" i="28" s="1"/>
  <c r="A451" i="28"/>
  <c r="C450" i="28"/>
  <c r="E450" i="28" s="1"/>
  <c r="I450" i="28" s="1"/>
  <c r="N450" i="28"/>
  <c r="L451" i="28"/>
  <c r="J444" i="23"/>
  <c r="C446" i="23"/>
  <c r="E446" i="23" s="1"/>
  <c r="P443" i="23"/>
  <c r="N444" i="23"/>
  <c r="L445" i="23"/>
  <c r="I445" i="23" s="1"/>
  <c r="D445" i="23"/>
  <c r="F445" i="23" s="1"/>
  <c r="D450" i="28" l="1"/>
  <c r="F450" i="28" s="1"/>
  <c r="J450" i="28" s="1"/>
  <c r="P450" i="28" s="1"/>
  <c r="B451" i="28"/>
  <c r="A452" i="28"/>
  <c r="C451" i="28"/>
  <c r="E451" i="28" s="1"/>
  <c r="I451" i="28" s="1"/>
  <c r="L452" i="28"/>
  <c r="N451" i="28"/>
  <c r="J445" i="23"/>
  <c r="C447" i="23"/>
  <c r="E447" i="23" s="1"/>
  <c r="P444" i="23"/>
  <c r="N445" i="23"/>
  <c r="L446" i="23"/>
  <c r="I446" i="23" s="1"/>
  <c r="D446" i="23"/>
  <c r="F446" i="23" s="1"/>
  <c r="D451" i="28" l="1"/>
  <c r="F451" i="28" s="1"/>
  <c r="J451" i="28" s="1"/>
  <c r="P451" i="28" s="1"/>
  <c r="B452" i="28"/>
  <c r="A453" i="28"/>
  <c r="C452" i="28"/>
  <c r="E452" i="28" s="1"/>
  <c r="I452" i="28" s="1"/>
  <c r="N452" i="28"/>
  <c r="L453" i="28"/>
  <c r="J446" i="23"/>
  <c r="C448" i="23"/>
  <c r="E448" i="23" s="1"/>
  <c r="P445" i="23"/>
  <c r="N446" i="23"/>
  <c r="L447" i="23"/>
  <c r="I447" i="23" s="1"/>
  <c r="D447" i="23"/>
  <c r="F447" i="23" s="1"/>
  <c r="D452" i="28" l="1"/>
  <c r="F452" i="28" s="1"/>
  <c r="J452" i="28" s="1"/>
  <c r="P452" i="28" s="1"/>
  <c r="B453" i="28"/>
  <c r="A454" i="28"/>
  <c r="C453" i="28"/>
  <c r="E453" i="28" s="1"/>
  <c r="I453" i="28" s="1"/>
  <c r="L454" i="28"/>
  <c r="N453" i="28"/>
  <c r="J447" i="23"/>
  <c r="C449" i="23"/>
  <c r="E449" i="23" s="1"/>
  <c r="P446" i="23"/>
  <c r="N447" i="23"/>
  <c r="L448" i="23"/>
  <c r="I448" i="23" s="1"/>
  <c r="D448" i="23"/>
  <c r="F448" i="23" s="1"/>
  <c r="B454" i="28" l="1"/>
  <c r="D453" i="28"/>
  <c r="F453" i="28" s="1"/>
  <c r="J453" i="28" s="1"/>
  <c r="P453" i="28" s="1"/>
  <c r="A455" i="28"/>
  <c r="C454" i="28"/>
  <c r="E454" i="28" s="1"/>
  <c r="I454" i="28" s="1"/>
  <c r="N454" i="28"/>
  <c r="L455" i="28"/>
  <c r="J448" i="23"/>
  <c r="C450" i="23"/>
  <c r="E450" i="23" s="1"/>
  <c r="P447" i="23"/>
  <c r="N448" i="23"/>
  <c r="L449" i="23"/>
  <c r="I449" i="23" s="1"/>
  <c r="D449" i="23"/>
  <c r="F449" i="23" s="1"/>
  <c r="D454" i="28" l="1"/>
  <c r="F454" i="28" s="1"/>
  <c r="J454" i="28" s="1"/>
  <c r="P454" i="28" s="1"/>
  <c r="B455" i="28"/>
  <c r="A456" i="28"/>
  <c r="C455" i="28"/>
  <c r="E455" i="28" s="1"/>
  <c r="I455" i="28" s="1"/>
  <c r="L456" i="28"/>
  <c r="N455" i="28"/>
  <c r="J449" i="23"/>
  <c r="C451" i="23"/>
  <c r="E451" i="23" s="1"/>
  <c r="P448" i="23"/>
  <c r="N449" i="23"/>
  <c r="L450" i="23"/>
  <c r="I450" i="23" s="1"/>
  <c r="D450" i="23"/>
  <c r="F450" i="23" s="1"/>
  <c r="D455" i="28" l="1"/>
  <c r="F455" i="28" s="1"/>
  <c r="J455" i="28" s="1"/>
  <c r="P455" i="28" s="1"/>
  <c r="B456" i="28"/>
  <c r="A457" i="28"/>
  <c r="C456" i="28"/>
  <c r="E456" i="28" s="1"/>
  <c r="I456" i="28" s="1"/>
  <c r="N456" i="28"/>
  <c r="L457" i="28"/>
  <c r="J450" i="23"/>
  <c r="C452" i="23"/>
  <c r="E452" i="23" s="1"/>
  <c r="P449" i="23"/>
  <c r="N450" i="23"/>
  <c r="L451" i="23"/>
  <c r="I451" i="23" s="1"/>
  <c r="D451" i="23"/>
  <c r="F451" i="23" s="1"/>
  <c r="B457" i="28" l="1"/>
  <c r="D456" i="28"/>
  <c r="F456" i="28" s="1"/>
  <c r="J456" i="28" s="1"/>
  <c r="P456" i="28" s="1"/>
  <c r="A458" i="28"/>
  <c r="C457" i="28"/>
  <c r="E457" i="28" s="1"/>
  <c r="I457" i="28" s="1"/>
  <c r="L458" i="28"/>
  <c r="N457" i="28"/>
  <c r="J451" i="23"/>
  <c r="C453" i="23"/>
  <c r="E453" i="23" s="1"/>
  <c r="P450" i="23"/>
  <c r="N451" i="23"/>
  <c r="L452" i="23"/>
  <c r="I452" i="23" s="1"/>
  <c r="D452" i="23"/>
  <c r="F452" i="23" s="1"/>
  <c r="B458" i="28" l="1"/>
  <c r="D457" i="28"/>
  <c r="F457" i="28" s="1"/>
  <c r="J457" i="28" s="1"/>
  <c r="P457" i="28" s="1"/>
  <c r="A459" i="28"/>
  <c r="C458" i="28"/>
  <c r="E458" i="28" s="1"/>
  <c r="I458" i="28" s="1"/>
  <c r="N458" i="28"/>
  <c r="L459" i="28"/>
  <c r="J452" i="23"/>
  <c r="C454" i="23"/>
  <c r="E454" i="23" s="1"/>
  <c r="P451" i="23"/>
  <c r="N452" i="23"/>
  <c r="L453" i="23"/>
  <c r="I453" i="23" s="1"/>
  <c r="D453" i="23"/>
  <c r="F453" i="23" s="1"/>
  <c r="B459" i="28" l="1"/>
  <c r="D458" i="28"/>
  <c r="F458" i="28" s="1"/>
  <c r="J458" i="28" s="1"/>
  <c r="P458" i="28" s="1"/>
  <c r="A460" i="28"/>
  <c r="C459" i="28"/>
  <c r="E459" i="28" s="1"/>
  <c r="I459" i="28" s="1"/>
  <c r="L460" i="28"/>
  <c r="N459" i="28"/>
  <c r="J453" i="23"/>
  <c r="C455" i="23"/>
  <c r="E455" i="23" s="1"/>
  <c r="P452" i="23"/>
  <c r="N453" i="23"/>
  <c r="L454" i="23"/>
  <c r="I454" i="23" s="1"/>
  <c r="D454" i="23"/>
  <c r="F454" i="23" s="1"/>
  <c r="B460" i="28" l="1"/>
  <c r="D459" i="28"/>
  <c r="F459" i="28" s="1"/>
  <c r="J459" i="28" s="1"/>
  <c r="P459" i="28" s="1"/>
  <c r="A461" i="28"/>
  <c r="C460" i="28"/>
  <c r="E460" i="28" s="1"/>
  <c r="I460" i="28" s="1"/>
  <c r="N460" i="28"/>
  <c r="L461" i="28"/>
  <c r="J454" i="23"/>
  <c r="C456" i="23"/>
  <c r="E456" i="23" s="1"/>
  <c r="P453" i="23"/>
  <c r="N454" i="23"/>
  <c r="L455" i="23"/>
  <c r="I455" i="23" s="1"/>
  <c r="D455" i="23"/>
  <c r="F455" i="23" s="1"/>
  <c r="D460" i="28" l="1"/>
  <c r="F460" i="28" s="1"/>
  <c r="J460" i="28" s="1"/>
  <c r="P460" i="28" s="1"/>
  <c r="B461" i="28"/>
  <c r="A462" i="28"/>
  <c r="C461" i="28"/>
  <c r="E461" i="28" s="1"/>
  <c r="I461" i="28" s="1"/>
  <c r="L462" i="28"/>
  <c r="N461" i="28"/>
  <c r="J455" i="23"/>
  <c r="C457" i="23"/>
  <c r="E457" i="23" s="1"/>
  <c r="P454" i="23"/>
  <c r="N455" i="23"/>
  <c r="L456" i="23"/>
  <c r="I456" i="23" s="1"/>
  <c r="D456" i="23"/>
  <c r="F456" i="23" s="1"/>
  <c r="B462" i="28" l="1"/>
  <c r="D461" i="28"/>
  <c r="F461" i="28" s="1"/>
  <c r="J461" i="28" s="1"/>
  <c r="P461" i="28" s="1"/>
  <c r="A463" i="28"/>
  <c r="C462" i="28"/>
  <c r="E462" i="28" s="1"/>
  <c r="I462" i="28" s="1"/>
  <c r="N462" i="28"/>
  <c r="L463" i="28"/>
  <c r="J456" i="23"/>
  <c r="C458" i="23"/>
  <c r="E458" i="23" s="1"/>
  <c r="P455" i="23"/>
  <c r="N456" i="23"/>
  <c r="L457" i="23"/>
  <c r="I457" i="23" s="1"/>
  <c r="D457" i="23"/>
  <c r="F457" i="23" s="1"/>
  <c r="D462" i="28" l="1"/>
  <c r="F462" i="28" s="1"/>
  <c r="J462" i="28" s="1"/>
  <c r="P462" i="28" s="1"/>
  <c r="B463" i="28"/>
  <c r="A464" i="28"/>
  <c r="C463" i="28"/>
  <c r="E463" i="28" s="1"/>
  <c r="I463" i="28" s="1"/>
  <c r="L464" i="28"/>
  <c r="N463" i="28"/>
  <c r="J457" i="23"/>
  <c r="C459" i="23"/>
  <c r="E459" i="23" s="1"/>
  <c r="P456" i="23"/>
  <c r="N457" i="23"/>
  <c r="L458" i="23"/>
  <c r="I458" i="23" s="1"/>
  <c r="D458" i="23"/>
  <c r="F458" i="23" s="1"/>
  <c r="D463" i="28" l="1"/>
  <c r="F463" i="28" s="1"/>
  <c r="J463" i="28" s="1"/>
  <c r="P463" i="28" s="1"/>
  <c r="B464" i="28"/>
  <c r="A465" i="28"/>
  <c r="C464" i="28"/>
  <c r="E464" i="28" s="1"/>
  <c r="I464" i="28" s="1"/>
  <c r="N464" i="28"/>
  <c r="L465" i="28"/>
  <c r="J458" i="23"/>
  <c r="C460" i="23"/>
  <c r="E460" i="23" s="1"/>
  <c r="P457" i="23"/>
  <c r="N458" i="23"/>
  <c r="L459" i="23"/>
  <c r="I459" i="23" s="1"/>
  <c r="D459" i="23"/>
  <c r="F459" i="23" s="1"/>
  <c r="D464" i="28" l="1"/>
  <c r="F464" i="28" s="1"/>
  <c r="J464" i="28" s="1"/>
  <c r="P464" i="28" s="1"/>
  <c r="B465" i="28"/>
  <c r="A466" i="28"/>
  <c r="C465" i="28"/>
  <c r="E465" i="28" s="1"/>
  <c r="I465" i="28" s="1"/>
  <c r="L466" i="28"/>
  <c r="N465" i="28"/>
  <c r="J459" i="23"/>
  <c r="C461" i="23"/>
  <c r="E461" i="23" s="1"/>
  <c r="P458" i="23"/>
  <c r="N459" i="23"/>
  <c r="L460" i="23"/>
  <c r="I460" i="23" s="1"/>
  <c r="D460" i="23"/>
  <c r="F460" i="23" s="1"/>
  <c r="D465" i="28" l="1"/>
  <c r="F465" i="28" s="1"/>
  <c r="J465" i="28" s="1"/>
  <c r="P465" i="28" s="1"/>
  <c r="B466" i="28"/>
  <c r="A467" i="28"/>
  <c r="C466" i="28"/>
  <c r="E466" i="28" s="1"/>
  <c r="I466" i="28" s="1"/>
  <c r="N466" i="28"/>
  <c r="L467" i="28"/>
  <c r="J460" i="23"/>
  <c r="C462" i="23"/>
  <c r="E462" i="23" s="1"/>
  <c r="P459" i="23"/>
  <c r="N460" i="23"/>
  <c r="L461" i="23"/>
  <c r="I461" i="23" s="1"/>
  <c r="D461" i="23"/>
  <c r="F461" i="23" s="1"/>
  <c r="D466" i="28" l="1"/>
  <c r="F466" i="28" s="1"/>
  <c r="J466" i="28" s="1"/>
  <c r="P466" i="28" s="1"/>
  <c r="B467" i="28"/>
  <c r="A468" i="28"/>
  <c r="C467" i="28"/>
  <c r="E467" i="28" s="1"/>
  <c r="I467" i="28" s="1"/>
  <c r="L468" i="28"/>
  <c r="N467" i="28"/>
  <c r="J461" i="23"/>
  <c r="C463" i="23"/>
  <c r="E463" i="23" s="1"/>
  <c r="P460" i="23"/>
  <c r="N461" i="23"/>
  <c r="L462" i="23"/>
  <c r="I462" i="23" s="1"/>
  <c r="D462" i="23"/>
  <c r="F462" i="23" s="1"/>
  <c r="D467" i="28" l="1"/>
  <c r="F467" i="28" s="1"/>
  <c r="J467" i="28" s="1"/>
  <c r="P467" i="28" s="1"/>
  <c r="B468" i="28"/>
  <c r="A469" i="28"/>
  <c r="C468" i="28"/>
  <c r="E468" i="28" s="1"/>
  <c r="I468" i="28" s="1"/>
  <c r="N468" i="28"/>
  <c r="L469" i="28"/>
  <c r="J462" i="23"/>
  <c r="C464" i="23"/>
  <c r="E464" i="23" s="1"/>
  <c r="P461" i="23"/>
  <c r="N462" i="23"/>
  <c r="L463" i="23"/>
  <c r="I463" i="23" s="1"/>
  <c r="D463" i="23"/>
  <c r="F463" i="23" s="1"/>
  <c r="D468" i="28" l="1"/>
  <c r="F468" i="28" s="1"/>
  <c r="J468" i="28" s="1"/>
  <c r="P468" i="28" s="1"/>
  <c r="B469" i="28"/>
  <c r="A470" i="28"/>
  <c r="C469" i="28"/>
  <c r="E469" i="28" s="1"/>
  <c r="I469" i="28" s="1"/>
  <c r="L470" i="28"/>
  <c r="N469" i="28"/>
  <c r="J463" i="23"/>
  <c r="C465" i="23"/>
  <c r="E465" i="23" s="1"/>
  <c r="P462" i="23"/>
  <c r="N463" i="23"/>
  <c r="L464" i="23"/>
  <c r="I464" i="23" s="1"/>
  <c r="D464" i="23"/>
  <c r="F464" i="23" s="1"/>
  <c r="B470" i="28" l="1"/>
  <c r="D469" i="28"/>
  <c r="F469" i="28" s="1"/>
  <c r="J469" i="28" s="1"/>
  <c r="P469" i="28" s="1"/>
  <c r="A471" i="28"/>
  <c r="C470" i="28"/>
  <c r="E470" i="28" s="1"/>
  <c r="I470" i="28" s="1"/>
  <c r="N470" i="28"/>
  <c r="L471" i="28"/>
  <c r="J464" i="23"/>
  <c r="C466" i="23"/>
  <c r="E466" i="23" s="1"/>
  <c r="P463" i="23"/>
  <c r="N464" i="23"/>
  <c r="L465" i="23"/>
  <c r="I465" i="23" s="1"/>
  <c r="D465" i="23"/>
  <c r="F465" i="23" s="1"/>
  <c r="B471" i="28" l="1"/>
  <c r="D470" i="28"/>
  <c r="F470" i="28" s="1"/>
  <c r="J470" i="28" s="1"/>
  <c r="P470" i="28" s="1"/>
  <c r="A472" i="28"/>
  <c r="C471" i="28"/>
  <c r="E471" i="28" s="1"/>
  <c r="I471" i="28" s="1"/>
  <c r="L472" i="28"/>
  <c r="N471" i="28"/>
  <c r="J465" i="23"/>
  <c r="C467" i="23"/>
  <c r="E467" i="23" s="1"/>
  <c r="P464" i="23"/>
  <c r="N465" i="23"/>
  <c r="L466" i="23"/>
  <c r="I466" i="23" s="1"/>
  <c r="D466" i="23"/>
  <c r="F466" i="23" s="1"/>
  <c r="D471" i="28" l="1"/>
  <c r="F471" i="28" s="1"/>
  <c r="J471" i="28" s="1"/>
  <c r="P471" i="28" s="1"/>
  <c r="B472" i="28"/>
  <c r="A473" i="28"/>
  <c r="C472" i="28"/>
  <c r="E472" i="28" s="1"/>
  <c r="I472" i="28" s="1"/>
  <c r="L473" i="28"/>
  <c r="N472" i="28"/>
  <c r="J466" i="23"/>
  <c r="C468" i="23"/>
  <c r="E468" i="23" s="1"/>
  <c r="P465" i="23"/>
  <c r="N466" i="23"/>
  <c r="L467" i="23"/>
  <c r="I467" i="23" s="1"/>
  <c r="D467" i="23"/>
  <c r="F467" i="23" s="1"/>
  <c r="D472" i="28" l="1"/>
  <c r="F472" i="28" s="1"/>
  <c r="J472" i="28" s="1"/>
  <c r="P472" i="28" s="1"/>
  <c r="B473" i="28"/>
  <c r="A474" i="28"/>
  <c r="C473" i="28"/>
  <c r="E473" i="28" s="1"/>
  <c r="I473" i="28" s="1"/>
  <c r="L474" i="28"/>
  <c r="N473" i="28"/>
  <c r="J467" i="23"/>
  <c r="C469" i="23"/>
  <c r="E469" i="23" s="1"/>
  <c r="P466" i="23"/>
  <c r="N467" i="23"/>
  <c r="L468" i="23"/>
  <c r="I468" i="23" s="1"/>
  <c r="D468" i="23"/>
  <c r="F468" i="23" s="1"/>
  <c r="B474" i="28" l="1"/>
  <c r="D473" i="28"/>
  <c r="F473" i="28" s="1"/>
  <c r="J473" i="28" s="1"/>
  <c r="P473" i="28" s="1"/>
  <c r="A475" i="28"/>
  <c r="C474" i="28"/>
  <c r="E474" i="28" s="1"/>
  <c r="I474" i="28" s="1"/>
  <c r="L475" i="28"/>
  <c r="N474" i="28"/>
  <c r="J468" i="23"/>
  <c r="C470" i="23"/>
  <c r="E470" i="23" s="1"/>
  <c r="P467" i="23"/>
  <c r="N468" i="23"/>
  <c r="L469" i="23"/>
  <c r="I469" i="23" s="1"/>
  <c r="D469" i="23"/>
  <c r="F469" i="23" s="1"/>
  <c r="D474" i="28" l="1"/>
  <c r="F474" i="28" s="1"/>
  <c r="J474" i="28" s="1"/>
  <c r="P474" i="28" s="1"/>
  <c r="B475" i="28"/>
  <c r="A476" i="28"/>
  <c r="C475" i="28"/>
  <c r="E475" i="28" s="1"/>
  <c r="I475" i="28" s="1"/>
  <c r="L476" i="28"/>
  <c r="N475" i="28"/>
  <c r="J469" i="23"/>
  <c r="C471" i="23"/>
  <c r="E471" i="23" s="1"/>
  <c r="P468" i="23"/>
  <c r="N469" i="23"/>
  <c r="L470" i="23"/>
  <c r="I470" i="23" s="1"/>
  <c r="D470" i="23"/>
  <c r="F470" i="23" s="1"/>
  <c r="B476" i="28" l="1"/>
  <c r="D475" i="28"/>
  <c r="F475" i="28" s="1"/>
  <c r="J475" i="28" s="1"/>
  <c r="P475" i="28" s="1"/>
  <c r="A477" i="28"/>
  <c r="C476" i="28"/>
  <c r="E476" i="28" s="1"/>
  <c r="I476" i="28" s="1"/>
  <c r="L477" i="28"/>
  <c r="N476" i="28"/>
  <c r="J470" i="23"/>
  <c r="C472" i="23"/>
  <c r="E472" i="23" s="1"/>
  <c r="P469" i="23"/>
  <c r="N470" i="23"/>
  <c r="L471" i="23"/>
  <c r="I471" i="23" s="1"/>
  <c r="D471" i="23"/>
  <c r="F471" i="23" s="1"/>
  <c r="B477" i="28" l="1"/>
  <c r="D476" i="28"/>
  <c r="F476" i="28" s="1"/>
  <c r="J476" i="28" s="1"/>
  <c r="P476" i="28" s="1"/>
  <c r="A478" i="28"/>
  <c r="C477" i="28"/>
  <c r="E477" i="28" s="1"/>
  <c r="I477" i="28" s="1"/>
  <c r="L478" i="28"/>
  <c r="N477" i="28"/>
  <c r="J471" i="23"/>
  <c r="C473" i="23"/>
  <c r="E473" i="23" s="1"/>
  <c r="P470" i="23"/>
  <c r="N471" i="23"/>
  <c r="L472" i="23"/>
  <c r="I472" i="23" s="1"/>
  <c r="D472" i="23"/>
  <c r="F472" i="23" s="1"/>
  <c r="D477" i="28" l="1"/>
  <c r="F477" i="28" s="1"/>
  <c r="J477" i="28" s="1"/>
  <c r="P477" i="28" s="1"/>
  <c r="B478" i="28"/>
  <c r="A479" i="28"/>
  <c r="C478" i="28"/>
  <c r="E478" i="28" s="1"/>
  <c r="I478" i="28" s="1"/>
  <c r="L479" i="28"/>
  <c r="N478" i="28"/>
  <c r="J472" i="23"/>
  <c r="C474" i="23"/>
  <c r="E474" i="23" s="1"/>
  <c r="P471" i="23"/>
  <c r="N472" i="23"/>
  <c r="L473" i="23"/>
  <c r="I473" i="23" s="1"/>
  <c r="D473" i="23"/>
  <c r="F473" i="23" s="1"/>
  <c r="B479" i="28" l="1"/>
  <c r="D478" i="28"/>
  <c r="F478" i="28" s="1"/>
  <c r="J478" i="28" s="1"/>
  <c r="P478" i="28" s="1"/>
  <c r="A480" i="28"/>
  <c r="C479" i="28"/>
  <c r="E479" i="28" s="1"/>
  <c r="I479" i="28" s="1"/>
  <c r="L480" i="28"/>
  <c r="N479" i="28"/>
  <c r="J473" i="23"/>
  <c r="C475" i="23"/>
  <c r="E475" i="23" s="1"/>
  <c r="P472" i="23"/>
  <c r="N473" i="23"/>
  <c r="L474" i="23"/>
  <c r="I474" i="23" s="1"/>
  <c r="D474" i="23"/>
  <c r="F474" i="23" s="1"/>
  <c r="D479" i="28" l="1"/>
  <c r="F479" i="28" s="1"/>
  <c r="J479" i="28" s="1"/>
  <c r="P479" i="28" s="1"/>
  <c r="B480" i="28"/>
  <c r="A481" i="28"/>
  <c r="C480" i="28"/>
  <c r="E480" i="28" s="1"/>
  <c r="I480" i="28" s="1"/>
  <c r="L481" i="28"/>
  <c r="N480" i="28"/>
  <c r="J474" i="23"/>
  <c r="C476" i="23"/>
  <c r="E476" i="23" s="1"/>
  <c r="P473" i="23"/>
  <c r="N474" i="23"/>
  <c r="L475" i="23"/>
  <c r="I475" i="23" s="1"/>
  <c r="D475" i="23"/>
  <c r="F475" i="23" s="1"/>
  <c r="B481" i="28" l="1"/>
  <c r="D480" i="28"/>
  <c r="F480" i="28" s="1"/>
  <c r="J480" i="28" s="1"/>
  <c r="P480" i="28" s="1"/>
  <c r="A482" i="28"/>
  <c r="C481" i="28"/>
  <c r="E481" i="28" s="1"/>
  <c r="I481" i="28" s="1"/>
  <c r="L482" i="28"/>
  <c r="N481" i="28"/>
  <c r="J475" i="23"/>
  <c r="C477" i="23"/>
  <c r="E477" i="23" s="1"/>
  <c r="P474" i="23"/>
  <c r="N475" i="23"/>
  <c r="L476" i="23"/>
  <c r="I476" i="23" s="1"/>
  <c r="D476" i="23"/>
  <c r="F476" i="23" s="1"/>
  <c r="D481" i="28" l="1"/>
  <c r="F481" i="28" s="1"/>
  <c r="J481" i="28" s="1"/>
  <c r="P481" i="28" s="1"/>
  <c r="B482" i="28"/>
  <c r="A483" i="28"/>
  <c r="C482" i="28"/>
  <c r="E482" i="28" s="1"/>
  <c r="I482" i="28" s="1"/>
  <c r="L483" i="28"/>
  <c r="N482" i="28"/>
  <c r="J476" i="23"/>
  <c r="C478" i="23"/>
  <c r="E478" i="23" s="1"/>
  <c r="P475" i="23"/>
  <c r="N476" i="23"/>
  <c r="L477" i="23"/>
  <c r="I477" i="23" s="1"/>
  <c r="D477" i="23"/>
  <c r="F477" i="23" s="1"/>
  <c r="B483" i="28" l="1"/>
  <c r="D482" i="28"/>
  <c r="F482" i="28" s="1"/>
  <c r="J482" i="28" s="1"/>
  <c r="P482" i="28" s="1"/>
  <c r="A484" i="28"/>
  <c r="C483" i="28"/>
  <c r="E483" i="28" s="1"/>
  <c r="I483" i="28" s="1"/>
  <c r="L484" i="28"/>
  <c r="N483" i="28"/>
  <c r="J477" i="23"/>
  <c r="C479" i="23"/>
  <c r="E479" i="23" s="1"/>
  <c r="P476" i="23"/>
  <c r="N477" i="23"/>
  <c r="L478" i="23"/>
  <c r="I478" i="23" s="1"/>
  <c r="D478" i="23"/>
  <c r="F478" i="23" s="1"/>
  <c r="D483" i="28" l="1"/>
  <c r="F483" i="28" s="1"/>
  <c r="J483" i="28" s="1"/>
  <c r="P483" i="28" s="1"/>
  <c r="B484" i="28"/>
  <c r="A485" i="28"/>
  <c r="C484" i="28"/>
  <c r="E484" i="28" s="1"/>
  <c r="I484" i="28" s="1"/>
  <c r="L485" i="28"/>
  <c r="N484" i="28"/>
  <c r="J478" i="23"/>
  <c r="C480" i="23"/>
  <c r="E480" i="23" s="1"/>
  <c r="P477" i="23"/>
  <c r="N478" i="23"/>
  <c r="L479" i="23"/>
  <c r="I479" i="23" s="1"/>
  <c r="D479" i="23"/>
  <c r="F479" i="23" s="1"/>
  <c r="B485" i="28" l="1"/>
  <c r="D484" i="28"/>
  <c r="F484" i="28" s="1"/>
  <c r="J484" i="28" s="1"/>
  <c r="P484" i="28" s="1"/>
  <c r="A486" i="28"/>
  <c r="C485" i="28"/>
  <c r="E485" i="28" s="1"/>
  <c r="I485" i="28" s="1"/>
  <c r="L486" i="28"/>
  <c r="N485" i="28"/>
  <c r="J479" i="23"/>
  <c r="C481" i="23"/>
  <c r="E481" i="23" s="1"/>
  <c r="P478" i="23"/>
  <c r="N479" i="23"/>
  <c r="L480" i="23"/>
  <c r="I480" i="23" s="1"/>
  <c r="D480" i="23"/>
  <c r="F480" i="23" s="1"/>
  <c r="D485" i="28" l="1"/>
  <c r="F485" i="28" s="1"/>
  <c r="J485" i="28" s="1"/>
  <c r="P485" i="28" s="1"/>
  <c r="B486" i="28"/>
  <c r="A487" i="28"/>
  <c r="C486" i="28"/>
  <c r="E486" i="28" s="1"/>
  <c r="I486" i="28" s="1"/>
  <c r="L487" i="28"/>
  <c r="N486" i="28"/>
  <c r="J480" i="23"/>
  <c r="C482" i="23"/>
  <c r="E482" i="23" s="1"/>
  <c r="P479" i="23"/>
  <c r="N480" i="23"/>
  <c r="L481" i="23"/>
  <c r="I481" i="23" s="1"/>
  <c r="D481" i="23"/>
  <c r="F481" i="23" s="1"/>
  <c r="B487" i="28" l="1"/>
  <c r="D486" i="28"/>
  <c r="F486" i="28" s="1"/>
  <c r="J486" i="28" s="1"/>
  <c r="P486" i="28" s="1"/>
  <c r="A488" i="28"/>
  <c r="C487" i="28"/>
  <c r="E487" i="28" s="1"/>
  <c r="I487" i="28" s="1"/>
  <c r="L488" i="28"/>
  <c r="N487" i="28"/>
  <c r="J481" i="23"/>
  <c r="C483" i="23"/>
  <c r="E483" i="23" s="1"/>
  <c r="P480" i="23"/>
  <c r="N481" i="23"/>
  <c r="L482" i="23"/>
  <c r="I482" i="23" s="1"/>
  <c r="D482" i="23"/>
  <c r="F482" i="23" s="1"/>
  <c r="D487" i="28" l="1"/>
  <c r="F487" i="28" s="1"/>
  <c r="J487" i="28" s="1"/>
  <c r="P487" i="28" s="1"/>
  <c r="B488" i="28"/>
  <c r="A489" i="28"/>
  <c r="C488" i="28"/>
  <c r="E488" i="28" s="1"/>
  <c r="I488" i="28" s="1"/>
  <c r="L489" i="28"/>
  <c r="N488" i="28"/>
  <c r="J482" i="23"/>
  <c r="C484" i="23"/>
  <c r="E484" i="23" s="1"/>
  <c r="P481" i="23"/>
  <c r="N482" i="23"/>
  <c r="L483" i="23"/>
  <c r="I483" i="23" s="1"/>
  <c r="D483" i="23"/>
  <c r="F483" i="23" s="1"/>
  <c r="D488" i="28" l="1"/>
  <c r="F488" i="28" s="1"/>
  <c r="J488" i="28" s="1"/>
  <c r="P488" i="28" s="1"/>
  <c r="B489" i="28"/>
  <c r="A490" i="28"/>
  <c r="C489" i="28"/>
  <c r="E489" i="28" s="1"/>
  <c r="I489" i="28" s="1"/>
  <c r="L490" i="28"/>
  <c r="N489" i="28"/>
  <c r="J483" i="23"/>
  <c r="C485" i="23"/>
  <c r="E485" i="23" s="1"/>
  <c r="P482" i="23"/>
  <c r="N483" i="23"/>
  <c r="L484" i="23"/>
  <c r="I484" i="23" s="1"/>
  <c r="D484" i="23"/>
  <c r="F484" i="23" s="1"/>
  <c r="D489" i="28" l="1"/>
  <c r="F489" i="28" s="1"/>
  <c r="J489" i="28" s="1"/>
  <c r="P489" i="28" s="1"/>
  <c r="B490" i="28"/>
  <c r="A491" i="28"/>
  <c r="C490" i="28"/>
  <c r="E490" i="28" s="1"/>
  <c r="I490" i="28" s="1"/>
  <c r="L491" i="28"/>
  <c r="N490" i="28"/>
  <c r="J484" i="23"/>
  <c r="C486" i="23"/>
  <c r="E486" i="23" s="1"/>
  <c r="P483" i="23"/>
  <c r="N484" i="23"/>
  <c r="L485" i="23"/>
  <c r="I485" i="23" s="1"/>
  <c r="D485" i="23"/>
  <c r="F485" i="23" s="1"/>
  <c r="B491" i="28" l="1"/>
  <c r="D490" i="28"/>
  <c r="F490" i="28" s="1"/>
  <c r="J490" i="28" s="1"/>
  <c r="P490" i="28" s="1"/>
  <c r="A492" i="28"/>
  <c r="C491" i="28"/>
  <c r="E491" i="28" s="1"/>
  <c r="I491" i="28" s="1"/>
  <c r="L492" i="28"/>
  <c r="N491" i="28"/>
  <c r="J485" i="23"/>
  <c r="C487" i="23"/>
  <c r="E487" i="23" s="1"/>
  <c r="P484" i="23"/>
  <c r="N485" i="23"/>
  <c r="L486" i="23"/>
  <c r="I486" i="23" s="1"/>
  <c r="D486" i="23"/>
  <c r="F486" i="23" s="1"/>
  <c r="D491" i="28" l="1"/>
  <c r="F491" i="28" s="1"/>
  <c r="J491" i="28" s="1"/>
  <c r="P491" i="28" s="1"/>
  <c r="B492" i="28"/>
  <c r="A493" i="28"/>
  <c r="C492" i="28"/>
  <c r="E492" i="28" s="1"/>
  <c r="I492" i="28" s="1"/>
  <c r="N492" i="28"/>
  <c r="L493" i="28"/>
  <c r="J486" i="23"/>
  <c r="C488" i="23"/>
  <c r="E488" i="23" s="1"/>
  <c r="P485" i="23"/>
  <c r="N486" i="23"/>
  <c r="L487" i="23"/>
  <c r="I487" i="23" s="1"/>
  <c r="D487" i="23"/>
  <c r="F487" i="23" s="1"/>
  <c r="B493" i="28" l="1"/>
  <c r="D492" i="28"/>
  <c r="F492" i="28" s="1"/>
  <c r="J492" i="28" s="1"/>
  <c r="P492" i="28" s="1"/>
  <c r="A494" i="28"/>
  <c r="C493" i="28"/>
  <c r="E493" i="28" s="1"/>
  <c r="I493" i="28" s="1"/>
  <c r="N493" i="28"/>
  <c r="L494" i="28"/>
  <c r="J487" i="23"/>
  <c r="C489" i="23"/>
  <c r="E489" i="23" s="1"/>
  <c r="P486" i="23"/>
  <c r="N487" i="23"/>
  <c r="L488" i="23"/>
  <c r="I488" i="23" s="1"/>
  <c r="D488" i="23"/>
  <c r="F488" i="23" s="1"/>
  <c r="B494" i="28" l="1"/>
  <c r="D493" i="28"/>
  <c r="F493" i="28" s="1"/>
  <c r="J493" i="28" s="1"/>
  <c r="P493" i="28" s="1"/>
  <c r="A495" i="28"/>
  <c r="C494" i="28"/>
  <c r="E494" i="28" s="1"/>
  <c r="I494" i="28" s="1"/>
  <c r="N494" i="28"/>
  <c r="L495" i="28"/>
  <c r="J488" i="23"/>
  <c r="C490" i="23"/>
  <c r="E490" i="23" s="1"/>
  <c r="P487" i="23"/>
  <c r="N488" i="23"/>
  <c r="L489" i="23"/>
  <c r="I489" i="23" s="1"/>
  <c r="D489" i="23"/>
  <c r="F489" i="23" s="1"/>
  <c r="D494" i="28" l="1"/>
  <c r="F494" i="28" s="1"/>
  <c r="J494" i="28" s="1"/>
  <c r="P494" i="28" s="1"/>
  <c r="B495" i="28"/>
  <c r="A496" i="28"/>
  <c r="C495" i="28"/>
  <c r="E495" i="28" s="1"/>
  <c r="I495" i="28" s="1"/>
  <c r="N495" i="28"/>
  <c r="L496" i="28"/>
  <c r="J489" i="23"/>
  <c r="C491" i="23"/>
  <c r="E491" i="23" s="1"/>
  <c r="P488" i="23"/>
  <c r="N489" i="23"/>
  <c r="L490" i="23"/>
  <c r="I490" i="23" s="1"/>
  <c r="D490" i="23"/>
  <c r="F490" i="23" s="1"/>
  <c r="B496" i="28" l="1"/>
  <c r="D495" i="28"/>
  <c r="F495" i="28" s="1"/>
  <c r="J495" i="28" s="1"/>
  <c r="P495" i="28" s="1"/>
  <c r="A497" i="28"/>
  <c r="C496" i="28"/>
  <c r="E496" i="28" s="1"/>
  <c r="I496" i="28" s="1"/>
  <c r="N496" i="28"/>
  <c r="L497" i="28"/>
  <c r="J490" i="23"/>
  <c r="C492" i="23"/>
  <c r="E492" i="23" s="1"/>
  <c r="P489" i="23"/>
  <c r="N490" i="23"/>
  <c r="L491" i="23"/>
  <c r="I491" i="23" s="1"/>
  <c r="D491" i="23"/>
  <c r="F491" i="23" s="1"/>
  <c r="B497" i="28" l="1"/>
  <c r="D496" i="28"/>
  <c r="F496" i="28" s="1"/>
  <c r="J496" i="28" s="1"/>
  <c r="P496" i="28" s="1"/>
  <c r="A498" i="28"/>
  <c r="C497" i="28"/>
  <c r="E497" i="28" s="1"/>
  <c r="I497" i="28" s="1"/>
  <c r="N497" i="28"/>
  <c r="L498" i="28"/>
  <c r="J491" i="23"/>
  <c r="C493" i="23"/>
  <c r="E493" i="23" s="1"/>
  <c r="P490" i="23"/>
  <c r="N491" i="23"/>
  <c r="L492" i="23"/>
  <c r="I492" i="23" s="1"/>
  <c r="D492" i="23"/>
  <c r="F492" i="23" s="1"/>
  <c r="B498" i="28" l="1"/>
  <c r="D497" i="28"/>
  <c r="F497" i="28" s="1"/>
  <c r="J497" i="28" s="1"/>
  <c r="P497" i="28" s="1"/>
  <c r="A499" i="28"/>
  <c r="C498" i="28"/>
  <c r="E498" i="28" s="1"/>
  <c r="I498" i="28" s="1"/>
  <c r="N498" i="28"/>
  <c r="L499" i="28"/>
  <c r="J492" i="23"/>
  <c r="C494" i="23"/>
  <c r="E494" i="23" s="1"/>
  <c r="P491" i="23"/>
  <c r="N492" i="23"/>
  <c r="L493" i="23"/>
  <c r="I493" i="23" s="1"/>
  <c r="D493" i="23"/>
  <c r="F493" i="23" s="1"/>
  <c r="D498" i="28" l="1"/>
  <c r="F498" i="28" s="1"/>
  <c r="J498" i="28" s="1"/>
  <c r="P498" i="28" s="1"/>
  <c r="B499" i="28"/>
  <c r="A500" i="28"/>
  <c r="C499" i="28"/>
  <c r="E499" i="28" s="1"/>
  <c r="I499" i="28" s="1"/>
  <c r="N499" i="28"/>
  <c r="L500" i="28"/>
  <c r="J493" i="23"/>
  <c r="C495" i="23"/>
  <c r="E495" i="23" s="1"/>
  <c r="P492" i="23"/>
  <c r="N493" i="23"/>
  <c r="L494" i="23"/>
  <c r="I494" i="23" s="1"/>
  <c r="D494" i="23"/>
  <c r="F494" i="23" s="1"/>
  <c r="B500" i="28" l="1"/>
  <c r="D499" i="28"/>
  <c r="F499" i="28" s="1"/>
  <c r="J499" i="28" s="1"/>
  <c r="P499" i="28" s="1"/>
  <c r="A501" i="28"/>
  <c r="C500" i="28"/>
  <c r="E500" i="28" s="1"/>
  <c r="I500" i="28" s="1"/>
  <c r="N500" i="28"/>
  <c r="L501" i="28"/>
  <c r="J494" i="23"/>
  <c r="C496" i="23"/>
  <c r="E496" i="23" s="1"/>
  <c r="P493" i="23"/>
  <c r="N494" i="23"/>
  <c r="L495" i="23"/>
  <c r="I495" i="23" s="1"/>
  <c r="D495" i="23"/>
  <c r="F495" i="23" s="1"/>
  <c r="D500" i="28" l="1"/>
  <c r="F500" i="28" s="1"/>
  <c r="J500" i="28" s="1"/>
  <c r="P500" i="28" s="1"/>
  <c r="B501" i="28"/>
  <c r="A502" i="28"/>
  <c r="C501" i="28"/>
  <c r="E501" i="28" s="1"/>
  <c r="I501" i="28" s="1"/>
  <c r="N501" i="28"/>
  <c r="L502" i="28"/>
  <c r="J495" i="23"/>
  <c r="C497" i="23"/>
  <c r="E497" i="23" s="1"/>
  <c r="P494" i="23"/>
  <c r="N495" i="23"/>
  <c r="L496" i="23"/>
  <c r="I496" i="23" s="1"/>
  <c r="D496" i="23"/>
  <c r="F496" i="23" s="1"/>
  <c r="B502" i="28" l="1"/>
  <c r="D501" i="28"/>
  <c r="F501" i="28" s="1"/>
  <c r="J501" i="28" s="1"/>
  <c r="P501" i="28" s="1"/>
  <c r="A503" i="28"/>
  <c r="C502" i="28"/>
  <c r="E502" i="28" s="1"/>
  <c r="I502" i="28" s="1"/>
  <c r="N502" i="28"/>
  <c r="L503" i="28"/>
  <c r="J496" i="23"/>
  <c r="C498" i="23"/>
  <c r="E498" i="23" s="1"/>
  <c r="P495" i="23"/>
  <c r="N496" i="23"/>
  <c r="L497" i="23"/>
  <c r="I497" i="23" s="1"/>
  <c r="D497" i="23"/>
  <c r="F497" i="23" s="1"/>
  <c r="D502" i="28" l="1"/>
  <c r="F502" i="28" s="1"/>
  <c r="J502" i="28" s="1"/>
  <c r="P502" i="28" s="1"/>
  <c r="B503" i="28"/>
  <c r="A504" i="28"/>
  <c r="C503" i="28"/>
  <c r="E503" i="28" s="1"/>
  <c r="I503" i="28" s="1"/>
  <c r="L504" i="28"/>
  <c r="N503" i="28"/>
  <c r="J497" i="23"/>
  <c r="C499" i="23"/>
  <c r="E499" i="23" s="1"/>
  <c r="P496" i="23"/>
  <c r="N497" i="23"/>
  <c r="L498" i="23"/>
  <c r="I498" i="23" s="1"/>
  <c r="D498" i="23"/>
  <c r="F498" i="23" s="1"/>
  <c r="D503" i="28" l="1"/>
  <c r="F503" i="28" s="1"/>
  <c r="J503" i="28" s="1"/>
  <c r="P503" i="28" s="1"/>
  <c r="B504" i="28"/>
  <c r="A505" i="28"/>
  <c r="C504" i="28"/>
  <c r="E504" i="28" s="1"/>
  <c r="I504" i="28" s="1"/>
  <c r="N504" i="28"/>
  <c r="L505" i="28"/>
  <c r="J498" i="23"/>
  <c r="C500" i="23"/>
  <c r="E500" i="23" s="1"/>
  <c r="P497" i="23"/>
  <c r="N498" i="23"/>
  <c r="L499" i="23"/>
  <c r="I499" i="23" s="1"/>
  <c r="D499" i="23"/>
  <c r="F499" i="23" s="1"/>
  <c r="D504" i="28" l="1"/>
  <c r="F504" i="28" s="1"/>
  <c r="J504" i="28" s="1"/>
  <c r="P504" i="28" s="1"/>
  <c r="B505" i="28"/>
  <c r="A506" i="28"/>
  <c r="C505" i="28"/>
  <c r="E505" i="28" s="1"/>
  <c r="I505" i="28" s="1"/>
  <c r="L506" i="28"/>
  <c r="N505" i="28"/>
  <c r="J499" i="23"/>
  <c r="C501" i="23"/>
  <c r="E501" i="23" s="1"/>
  <c r="P498" i="23"/>
  <c r="N499" i="23"/>
  <c r="L500" i="23"/>
  <c r="I500" i="23" s="1"/>
  <c r="D500" i="23"/>
  <c r="F500" i="23" s="1"/>
  <c r="B506" i="28" l="1"/>
  <c r="D505" i="28"/>
  <c r="F505" i="28" s="1"/>
  <c r="J505" i="28" s="1"/>
  <c r="P505" i="28" s="1"/>
  <c r="A507" i="28"/>
  <c r="C506" i="28"/>
  <c r="E506" i="28" s="1"/>
  <c r="I506" i="28" s="1"/>
  <c r="N506" i="28"/>
  <c r="L507" i="28"/>
  <c r="J500" i="23"/>
  <c r="C502" i="23"/>
  <c r="E502" i="23" s="1"/>
  <c r="P499" i="23"/>
  <c r="N500" i="23"/>
  <c r="L501" i="23"/>
  <c r="I501" i="23" s="1"/>
  <c r="D501" i="23"/>
  <c r="F501" i="23" s="1"/>
  <c r="D506" i="28" l="1"/>
  <c r="F506" i="28" s="1"/>
  <c r="J506" i="28" s="1"/>
  <c r="P506" i="28" s="1"/>
  <c r="B507" i="28"/>
  <c r="A508" i="28"/>
  <c r="C507" i="28"/>
  <c r="E507" i="28" s="1"/>
  <c r="I507" i="28" s="1"/>
  <c r="N507" i="28"/>
  <c r="L508" i="28"/>
  <c r="J501" i="23"/>
  <c r="C503" i="23"/>
  <c r="E503" i="23" s="1"/>
  <c r="P500" i="23"/>
  <c r="N501" i="23"/>
  <c r="L502" i="23"/>
  <c r="I502" i="23" s="1"/>
  <c r="D502" i="23"/>
  <c r="F502" i="23" s="1"/>
  <c r="D507" i="28" l="1"/>
  <c r="F507" i="28" s="1"/>
  <c r="J507" i="28" s="1"/>
  <c r="P507" i="28" s="1"/>
  <c r="B508" i="28"/>
  <c r="A509" i="28"/>
  <c r="C508" i="28"/>
  <c r="E508" i="28" s="1"/>
  <c r="I508" i="28" s="1"/>
  <c r="N508" i="28"/>
  <c r="L509" i="28"/>
  <c r="J502" i="23"/>
  <c r="C504" i="23"/>
  <c r="E504" i="23" s="1"/>
  <c r="P501" i="23"/>
  <c r="N502" i="23"/>
  <c r="L503" i="23"/>
  <c r="I503" i="23" s="1"/>
  <c r="D503" i="23"/>
  <c r="F503" i="23" s="1"/>
  <c r="B509" i="28" l="1"/>
  <c r="D508" i="28"/>
  <c r="F508" i="28" s="1"/>
  <c r="J508" i="28" s="1"/>
  <c r="P508" i="28" s="1"/>
  <c r="A510" i="28"/>
  <c r="C509" i="28"/>
  <c r="E509" i="28" s="1"/>
  <c r="I509" i="28" s="1"/>
  <c r="N509" i="28"/>
  <c r="L510" i="28"/>
  <c r="J503" i="23"/>
  <c r="C505" i="23"/>
  <c r="E505" i="23" s="1"/>
  <c r="P502" i="23"/>
  <c r="N503" i="23"/>
  <c r="L504" i="23"/>
  <c r="I504" i="23" s="1"/>
  <c r="D504" i="23"/>
  <c r="F504" i="23" s="1"/>
  <c r="D509" i="28" l="1"/>
  <c r="F509" i="28" s="1"/>
  <c r="J509" i="28" s="1"/>
  <c r="P509" i="28" s="1"/>
  <c r="B510" i="28"/>
  <c r="A511" i="28"/>
  <c r="C510" i="28"/>
  <c r="E510" i="28" s="1"/>
  <c r="I510" i="28" s="1"/>
  <c r="N510" i="28"/>
  <c r="L511" i="28"/>
  <c r="J504" i="23"/>
  <c r="C506" i="23"/>
  <c r="E506" i="23" s="1"/>
  <c r="P503" i="23"/>
  <c r="N504" i="23"/>
  <c r="L505" i="23"/>
  <c r="I505" i="23" s="1"/>
  <c r="D505" i="23"/>
  <c r="F505" i="23" s="1"/>
  <c r="D510" i="28" l="1"/>
  <c r="F510" i="28" s="1"/>
  <c r="J510" i="28" s="1"/>
  <c r="P510" i="28" s="1"/>
  <c r="B511" i="28"/>
  <c r="A512" i="28"/>
  <c r="C511" i="28"/>
  <c r="E511" i="28" s="1"/>
  <c r="I511" i="28" s="1"/>
  <c r="N511" i="28"/>
  <c r="L512" i="28"/>
  <c r="J505" i="23"/>
  <c r="C507" i="23"/>
  <c r="E507" i="23" s="1"/>
  <c r="P504" i="23"/>
  <c r="N505" i="23"/>
  <c r="L506" i="23"/>
  <c r="I506" i="23" s="1"/>
  <c r="D506" i="23"/>
  <c r="F506" i="23" s="1"/>
  <c r="B512" i="28" l="1"/>
  <c r="D511" i="28"/>
  <c r="F511" i="28" s="1"/>
  <c r="J511" i="28" s="1"/>
  <c r="P511" i="28" s="1"/>
  <c r="A513" i="28"/>
  <c r="C512" i="28"/>
  <c r="E512" i="28" s="1"/>
  <c r="I512" i="28" s="1"/>
  <c r="N512" i="28"/>
  <c r="L513" i="28"/>
  <c r="J506" i="23"/>
  <c r="C508" i="23"/>
  <c r="E508" i="23" s="1"/>
  <c r="P505" i="23"/>
  <c r="N506" i="23"/>
  <c r="L507" i="23"/>
  <c r="I507" i="23" s="1"/>
  <c r="D507" i="23"/>
  <c r="F507" i="23" s="1"/>
  <c r="D512" i="28" l="1"/>
  <c r="F512" i="28" s="1"/>
  <c r="J512" i="28" s="1"/>
  <c r="P512" i="28" s="1"/>
  <c r="B513" i="28"/>
  <c r="A514" i="28"/>
  <c r="C513" i="28"/>
  <c r="E513" i="28" s="1"/>
  <c r="I513" i="28" s="1"/>
  <c r="N513" i="28"/>
  <c r="L514" i="28"/>
  <c r="J507" i="23"/>
  <c r="C509" i="23"/>
  <c r="E509" i="23" s="1"/>
  <c r="P506" i="23"/>
  <c r="N507" i="23"/>
  <c r="L508" i="23"/>
  <c r="I508" i="23" s="1"/>
  <c r="D508" i="23"/>
  <c r="F508" i="23" s="1"/>
  <c r="D513" i="28" l="1"/>
  <c r="F513" i="28" s="1"/>
  <c r="J513" i="28" s="1"/>
  <c r="P513" i="28" s="1"/>
  <c r="B514" i="28"/>
  <c r="A515" i="28"/>
  <c r="C514" i="28"/>
  <c r="E514" i="28" s="1"/>
  <c r="I514" i="28" s="1"/>
  <c r="N514" i="28"/>
  <c r="L515" i="28"/>
  <c r="J508" i="23"/>
  <c r="C510" i="23"/>
  <c r="E510" i="23" s="1"/>
  <c r="P507" i="23"/>
  <c r="N508" i="23"/>
  <c r="L509" i="23"/>
  <c r="I509" i="23" s="1"/>
  <c r="D509" i="23"/>
  <c r="F509" i="23" s="1"/>
  <c r="D514" i="28" l="1"/>
  <c r="F514" i="28" s="1"/>
  <c r="J514" i="28" s="1"/>
  <c r="P514" i="28" s="1"/>
  <c r="B515" i="28"/>
  <c r="A516" i="28"/>
  <c r="C515" i="28"/>
  <c r="E515" i="28" s="1"/>
  <c r="I515" i="28" s="1"/>
  <c r="N515" i="28"/>
  <c r="L516" i="28"/>
  <c r="J509" i="23"/>
  <c r="C511" i="23"/>
  <c r="E511" i="23" s="1"/>
  <c r="P508" i="23"/>
  <c r="N509" i="23"/>
  <c r="L510" i="23"/>
  <c r="I510" i="23" s="1"/>
  <c r="D510" i="23"/>
  <c r="F510" i="23" s="1"/>
  <c r="B516" i="28" l="1"/>
  <c r="D515" i="28"/>
  <c r="F515" i="28" s="1"/>
  <c r="J515" i="28" s="1"/>
  <c r="P515" i="28" s="1"/>
  <c r="A517" i="28"/>
  <c r="C516" i="28"/>
  <c r="E516" i="28" s="1"/>
  <c r="I516" i="28" s="1"/>
  <c r="N516" i="28"/>
  <c r="L517" i="28"/>
  <c r="J510" i="23"/>
  <c r="C512" i="23"/>
  <c r="E512" i="23" s="1"/>
  <c r="P509" i="23"/>
  <c r="N510" i="23"/>
  <c r="L511" i="23"/>
  <c r="I511" i="23" s="1"/>
  <c r="D511" i="23"/>
  <c r="F511" i="23" s="1"/>
  <c r="D516" i="28" l="1"/>
  <c r="F516" i="28" s="1"/>
  <c r="J516" i="28" s="1"/>
  <c r="P516" i="28" s="1"/>
  <c r="B517" i="28"/>
  <c r="A518" i="28"/>
  <c r="C517" i="28"/>
  <c r="E517" i="28" s="1"/>
  <c r="I517" i="28" s="1"/>
  <c r="N517" i="28"/>
  <c r="L518" i="28"/>
  <c r="J511" i="23"/>
  <c r="C513" i="23"/>
  <c r="E513" i="23" s="1"/>
  <c r="P510" i="23"/>
  <c r="N511" i="23"/>
  <c r="L512" i="23"/>
  <c r="I512" i="23" s="1"/>
  <c r="D512" i="23"/>
  <c r="F512" i="23" s="1"/>
  <c r="D517" i="28" l="1"/>
  <c r="F517" i="28" s="1"/>
  <c r="J517" i="28" s="1"/>
  <c r="P517" i="28" s="1"/>
  <c r="B518" i="28"/>
  <c r="A519" i="28"/>
  <c r="C518" i="28"/>
  <c r="E518" i="28" s="1"/>
  <c r="I518" i="28" s="1"/>
  <c r="N518" i="28"/>
  <c r="L519" i="28"/>
  <c r="J512" i="23"/>
  <c r="C514" i="23"/>
  <c r="E514" i="23" s="1"/>
  <c r="P511" i="23"/>
  <c r="N512" i="23"/>
  <c r="L513" i="23"/>
  <c r="I513" i="23" s="1"/>
  <c r="D513" i="23"/>
  <c r="F513" i="23" s="1"/>
  <c r="B519" i="28" l="1"/>
  <c r="D518" i="28"/>
  <c r="F518" i="28" s="1"/>
  <c r="J518" i="28" s="1"/>
  <c r="P518" i="28" s="1"/>
  <c r="A520" i="28"/>
  <c r="C519" i="28"/>
  <c r="E519" i="28" s="1"/>
  <c r="I519" i="28" s="1"/>
  <c r="L520" i="28"/>
  <c r="N519" i="28"/>
  <c r="J513" i="23"/>
  <c r="C515" i="23"/>
  <c r="E515" i="23" s="1"/>
  <c r="P512" i="23"/>
  <c r="N513" i="23"/>
  <c r="L514" i="23"/>
  <c r="I514" i="23" s="1"/>
  <c r="D514" i="23"/>
  <c r="F514" i="23" s="1"/>
  <c r="B520" i="28" l="1"/>
  <c r="D519" i="28"/>
  <c r="F519" i="28" s="1"/>
  <c r="J519" i="28" s="1"/>
  <c r="P519" i="28" s="1"/>
  <c r="A521" i="28"/>
  <c r="C520" i="28"/>
  <c r="E520" i="28" s="1"/>
  <c r="I520" i="28" s="1"/>
  <c r="N520" i="28"/>
  <c r="L521" i="28"/>
  <c r="J514" i="23"/>
  <c r="C516" i="23"/>
  <c r="E516" i="23" s="1"/>
  <c r="P513" i="23"/>
  <c r="N514" i="23"/>
  <c r="L515" i="23"/>
  <c r="I515" i="23" s="1"/>
  <c r="D515" i="23"/>
  <c r="F515" i="23" s="1"/>
  <c r="B521" i="28" l="1"/>
  <c r="D520" i="28"/>
  <c r="F520" i="28" s="1"/>
  <c r="J520" i="28" s="1"/>
  <c r="P520" i="28" s="1"/>
  <c r="A522" i="28"/>
  <c r="C521" i="28"/>
  <c r="E521" i="28" s="1"/>
  <c r="I521" i="28" s="1"/>
  <c r="L522" i="28"/>
  <c r="N521" i="28"/>
  <c r="J515" i="23"/>
  <c r="C517" i="23"/>
  <c r="E517" i="23" s="1"/>
  <c r="P514" i="23"/>
  <c r="N515" i="23"/>
  <c r="L516" i="23"/>
  <c r="I516" i="23" s="1"/>
  <c r="D516" i="23"/>
  <c r="F516" i="23" s="1"/>
  <c r="D521" i="28" l="1"/>
  <c r="F521" i="28" s="1"/>
  <c r="J521" i="28" s="1"/>
  <c r="P521" i="28" s="1"/>
  <c r="B522" i="28"/>
  <c r="A523" i="28"/>
  <c r="C522" i="28"/>
  <c r="E522" i="28" s="1"/>
  <c r="I522" i="28" s="1"/>
  <c r="N522" i="28"/>
  <c r="L523" i="28"/>
  <c r="J516" i="23"/>
  <c r="C518" i="23"/>
  <c r="E518" i="23" s="1"/>
  <c r="P515" i="23"/>
  <c r="N516" i="23"/>
  <c r="L517" i="23"/>
  <c r="I517" i="23" s="1"/>
  <c r="D517" i="23"/>
  <c r="F517" i="23" s="1"/>
  <c r="B523" i="28" l="1"/>
  <c r="D522" i="28"/>
  <c r="F522" i="28" s="1"/>
  <c r="J522" i="28" s="1"/>
  <c r="P522" i="28" s="1"/>
  <c r="A524" i="28"/>
  <c r="C523" i="28"/>
  <c r="E523" i="28" s="1"/>
  <c r="I523" i="28" s="1"/>
  <c r="N523" i="28"/>
  <c r="L524" i="28"/>
  <c r="J517" i="23"/>
  <c r="C519" i="23"/>
  <c r="E519" i="23" s="1"/>
  <c r="P516" i="23"/>
  <c r="N517" i="23"/>
  <c r="L518" i="23"/>
  <c r="I518" i="23" s="1"/>
  <c r="D518" i="23"/>
  <c r="F518" i="23" s="1"/>
  <c r="D523" i="28" l="1"/>
  <c r="F523" i="28" s="1"/>
  <c r="J523" i="28" s="1"/>
  <c r="P523" i="28" s="1"/>
  <c r="B524" i="28"/>
  <c r="A525" i="28"/>
  <c r="C524" i="28"/>
  <c r="E524" i="28" s="1"/>
  <c r="I524" i="28" s="1"/>
  <c r="L525" i="28"/>
  <c r="N524" i="28"/>
  <c r="J518" i="23"/>
  <c r="C520" i="23"/>
  <c r="E520" i="23" s="1"/>
  <c r="P517" i="23"/>
  <c r="N518" i="23"/>
  <c r="L519" i="23"/>
  <c r="I519" i="23" s="1"/>
  <c r="D519" i="23"/>
  <c r="F519" i="23" s="1"/>
  <c r="D524" i="28" l="1"/>
  <c r="F524" i="28" s="1"/>
  <c r="J524" i="28" s="1"/>
  <c r="P524" i="28" s="1"/>
  <c r="B525" i="28"/>
  <c r="A526" i="28"/>
  <c r="C525" i="28"/>
  <c r="E525" i="28" s="1"/>
  <c r="I525" i="28" s="1"/>
  <c r="N525" i="28"/>
  <c r="L526" i="28"/>
  <c r="J519" i="23"/>
  <c r="C521" i="23"/>
  <c r="E521" i="23" s="1"/>
  <c r="P518" i="23"/>
  <c r="N519" i="23"/>
  <c r="L520" i="23"/>
  <c r="I520" i="23" s="1"/>
  <c r="D520" i="23"/>
  <c r="F520" i="23" s="1"/>
  <c r="B526" i="28" l="1"/>
  <c r="D525" i="28"/>
  <c r="F525" i="28" s="1"/>
  <c r="J525" i="28" s="1"/>
  <c r="P525" i="28" s="1"/>
  <c r="A527" i="28"/>
  <c r="C526" i="28"/>
  <c r="E526" i="28" s="1"/>
  <c r="I526" i="28" s="1"/>
  <c r="L527" i="28"/>
  <c r="N526" i="28"/>
  <c r="J520" i="23"/>
  <c r="C522" i="23"/>
  <c r="E522" i="23" s="1"/>
  <c r="P519" i="23"/>
  <c r="N520" i="23"/>
  <c r="L521" i="23"/>
  <c r="I521" i="23" s="1"/>
  <c r="D521" i="23"/>
  <c r="F521" i="23" s="1"/>
  <c r="D526" i="28" l="1"/>
  <c r="F526" i="28" s="1"/>
  <c r="J526" i="28" s="1"/>
  <c r="P526" i="28" s="1"/>
  <c r="B527" i="28"/>
  <c r="A528" i="28"/>
  <c r="C527" i="28"/>
  <c r="E527" i="28" s="1"/>
  <c r="I527" i="28" s="1"/>
  <c r="L528" i="28"/>
  <c r="N527" i="28"/>
  <c r="J521" i="23"/>
  <c r="C523" i="23"/>
  <c r="E523" i="23" s="1"/>
  <c r="P520" i="23"/>
  <c r="N521" i="23"/>
  <c r="L522" i="23"/>
  <c r="I522" i="23" s="1"/>
  <c r="D522" i="23"/>
  <c r="F522" i="23" s="1"/>
  <c r="D527" i="28" l="1"/>
  <c r="F527" i="28" s="1"/>
  <c r="J527" i="28" s="1"/>
  <c r="P527" i="28" s="1"/>
  <c r="B528" i="28"/>
  <c r="A529" i="28"/>
  <c r="C528" i="28"/>
  <c r="E528" i="28" s="1"/>
  <c r="I528" i="28" s="1"/>
  <c r="L529" i="28"/>
  <c r="N528" i="28"/>
  <c r="J522" i="23"/>
  <c r="C524" i="23"/>
  <c r="E524" i="23" s="1"/>
  <c r="P521" i="23"/>
  <c r="N522" i="23"/>
  <c r="L523" i="23"/>
  <c r="I523" i="23" s="1"/>
  <c r="D523" i="23"/>
  <c r="F523" i="23" s="1"/>
  <c r="D528" i="28" l="1"/>
  <c r="F528" i="28" s="1"/>
  <c r="J528" i="28" s="1"/>
  <c r="P528" i="28" s="1"/>
  <c r="B529" i="28"/>
  <c r="A530" i="28"/>
  <c r="C529" i="28"/>
  <c r="E529" i="28" s="1"/>
  <c r="I529" i="28" s="1"/>
  <c r="N529" i="28"/>
  <c r="L530" i="28"/>
  <c r="J523" i="23"/>
  <c r="C525" i="23"/>
  <c r="E525" i="23" s="1"/>
  <c r="P522" i="23"/>
  <c r="N523" i="23"/>
  <c r="L524" i="23"/>
  <c r="I524" i="23" s="1"/>
  <c r="D524" i="23"/>
  <c r="F524" i="23" s="1"/>
  <c r="D529" i="28" l="1"/>
  <c r="F529" i="28" s="1"/>
  <c r="J529" i="28" s="1"/>
  <c r="P529" i="28" s="1"/>
  <c r="B530" i="28"/>
  <c r="A531" i="28"/>
  <c r="C530" i="28"/>
  <c r="E530" i="28" s="1"/>
  <c r="I530" i="28" s="1"/>
  <c r="L531" i="28"/>
  <c r="N530" i="28"/>
  <c r="J524" i="23"/>
  <c r="C526" i="23"/>
  <c r="E526" i="23" s="1"/>
  <c r="P523" i="23"/>
  <c r="N524" i="23"/>
  <c r="L525" i="23"/>
  <c r="I525" i="23" s="1"/>
  <c r="D525" i="23"/>
  <c r="F525" i="23" s="1"/>
  <c r="D530" i="28" l="1"/>
  <c r="F530" i="28" s="1"/>
  <c r="J530" i="28" s="1"/>
  <c r="P530" i="28" s="1"/>
  <c r="B531" i="28"/>
  <c r="A532" i="28"/>
  <c r="C531" i="28"/>
  <c r="E531" i="28" s="1"/>
  <c r="I531" i="28" s="1"/>
  <c r="L532" i="28"/>
  <c r="N531" i="28"/>
  <c r="J525" i="23"/>
  <c r="C527" i="23"/>
  <c r="E527" i="23" s="1"/>
  <c r="P524" i="23"/>
  <c r="N525" i="23"/>
  <c r="L526" i="23"/>
  <c r="I526" i="23" s="1"/>
  <c r="D526" i="23"/>
  <c r="F526" i="23" s="1"/>
  <c r="B532" i="28" l="1"/>
  <c r="D531" i="28"/>
  <c r="F531" i="28" s="1"/>
  <c r="J531" i="28" s="1"/>
  <c r="P531" i="28" s="1"/>
  <c r="A533" i="28"/>
  <c r="C532" i="28"/>
  <c r="E532" i="28" s="1"/>
  <c r="I532" i="28" s="1"/>
  <c r="L533" i="28"/>
  <c r="N532" i="28"/>
  <c r="J526" i="23"/>
  <c r="C528" i="23"/>
  <c r="E528" i="23" s="1"/>
  <c r="P525" i="23"/>
  <c r="N526" i="23"/>
  <c r="L527" i="23"/>
  <c r="I527" i="23" s="1"/>
  <c r="D527" i="23"/>
  <c r="F527" i="23" s="1"/>
  <c r="D532" i="28" l="1"/>
  <c r="F532" i="28" s="1"/>
  <c r="J532" i="28" s="1"/>
  <c r="P532" i="28" s="1"/>
  <c r="B533" i="28"/>
  <c r="A534" i="28"/>
  <c r="C533" i="28"/>
  <c r="E533" i="28" s="1"/>
  <c r="I533" i="28" s="1"/>
  <c r="N533" i="28"/>
  <c r="L534" i="28"/>
  <c r="J527" i="23"/>
  <c r="C529" i="23"/>
  <c r="E529" i="23" s="1"/>
  <c r="P526" i="23"/>
  <c r="N527" i="23"/>
  <c r="L528" i="23"/>
  <c r="I528" i="23" s="1"/>
  <c r="D528" i="23"/>
  <c r="F528" i="23" s="1"/>
  <c r="D533" i="28" l="1"/>
  <c r="F533" i="28" s="1"/>
  <c r="J533" i="28" s="1"/>
  <c r="P533" i="28" s="1"/>
  <c r="B534" i="28"/>
  <c r="A535" i="28"/>
  <c r="C534" i="28"/>
  <c r="E534" i="28" s="1"/>
  <c r="I534" i="28" s="1"/>
  <c r="L535" i="28"/>
  <c r="N534" i="28"/>
  <c r="J528" i="23"/>
  <c r="C530" i="23"/>
  <c r="E530" i="23" s="1"/>
  <c r="P527" i="23"/>
  <c r="N528" i="23"/>
  <c r="L529" i="23"/>
  <c r="I529" i="23" s="1"/>
  <c r="D529" i="23"/>
  <c r="F529" i="23" s="1"/>
  <c r="D534" i="28" l="1"/>
  <c r="F534" i="28" s="1"/>
  <c r="J534" i="28" s="1"/>
  <c r="P534" i="28" s="1"/>
  <c r="B535" i="28"/>
  <c r="A536" i="28"/>
  <c r="C535" i="28"/>
  <c r="E535" i="28" s="1"/>
  <c r="I535" i="28" s="1"/>
  <c r="L536" i="28"/>
  <c r="N535" i="28"/>
  <c r="J529" i="23"/>
  <c r="C531" i="23"/>
  <c r="E531" i="23" s="1"/>
  <c r="P528" i="23"/>
  <c r="N529" i="23"/>
  <c r="L530" i="23"/>
  <c r="I530" i="23" s="1"/>
  <c r="D530" i="23"/>
  <c r="F530" i="23" s="1"/>
  <c r="B536" i="28" l="1"/>
  <c r="D535" i="28"/>
  <c r="F535" i="28" s="1"/>
  <c r="J535" i="28" s="1"/>
  <c r="P535" i="28" s="1"/>
  <c r="A537" i="28"/>
  <c r="C536" i="28"/>
  <c r="E536" i="28" s="1"/>
  <c r="I536" i="28" s="1"/>
  <c r="L537" i="28"/>
  <c r="N536" i="28"/>
  <c r="J530" i="23"/>
  <c r="C532" i="23"/>
  <c r="E532" i="23" s="1"/>
  <c r="P529" i="23"/>
  <c r="N530" i="23"/>
  <c r="L531" i="23"/>
  <c r="I531" i="23" s="1"/>
  <c r="D531" i="23"/>
  <c r="F531" i="23" s="1"/>
  <c r="D536" i="28" l="1"/>
  <c r="F536" i="28" s="1"/>
  <c r="J536" i="28" s="1"/>
  <c r="P536" i="28" s="1"/>
  <c r="B537" i="28"/>
  <c r="A538" i="28"/>
  <c r="C537" i="28"/>
  <c r="E537" i="28" s="1"/>
  <c r="I537" i="28" s="1"/>
  <c r="N537" i="28"/>
  <c r="L538" i="28"/>
  <c r="J531" i="23"/>
  <c r="C533" i="23"/>
  <c r="E533" i="23" s="1"/>
  <c r="P530" i="23"/>
  <c r="N531" i="23"/>
  <c r="L532" i="23"/>
  <c r="I532" i="23" s="1"/>
  <c r="D532" i="23"/>
  <c r="F532" i="23" s="1"/>
  <c r="D537" i="28" l="1"/>
  <c r="F537" i="28" s="1"/>
  <c r="J537" i="28" s="1"/>
  <c r="P537" i="28" s="1"/>
  <c r="B538" i="28"/>
  <c r="A539" i="28"/>
  <c r="C538" i="28"/>
  <c r="E538" i="28" s="1"/>
  <c r="I538" i="28" s="1"/>
  <c r="L539" i="28"/>
  <c r="N538" i="28"/>
  <c r="J532" i="23"/>
  <c r="C534" i="23"/>
  <c r="E534" i="23" s="1"/>
  <c r="P531" i="23"/>
  <c r="N532" i="23"/>
  <c r="L533" i="23"/>
  <c r="I533" i="23" s="1"/>
  <c r="D533" i="23"/>
  <c r="F533" i="23" s="1"/>
  <c r="D538" i="28" l="1"/>
  <c r="F538" i="28" s="1"/>
  <c r="J538" i="28" s="1"/>
  <c r="P538" i="28" s="1"/>
  <c r="B539" i="28"/>
  <c r="A540" i="28"/>
  <c r="C539" i="28"/>
  <c r="L540" i="28"/>
  <c r="N539" i="28"/>
  <c r="E539" i="28"/>
  <c r="I539" i="28" s="1"/>
  <c r="J533" i="23"/>
  <c r="C535" i="23"/>
  <c r="E535" i="23" s="1"/>
  <c r="P532" i="23"/>
  <c r="N533" i="23"/>
  <c r="L534" i="23"/>
  <c r="I534" i="23" s="1"/>
  <c r="D534" i="23"/>
  <c r="F534" i="23" s="1"/>
  <c r="D539" i="28" l="1"/>
  <c r="F539" i="28" s="1"/>
  <c r="J539" i="28" s="1"/>
  <c r="P539" i="28" s="1"/>
  <c r="B540" i="28"/>
  <c r="A541" i="28"/>
  <c r="C540" i="28"/>
  <c r="E540" i="28" s="1"/>
  <c r="I540" i="28" s="1"/>
  <c r="L541" i="28"/>
  <c r="N540" i="28"/>
  <c r="J534" i="23"/>
  <c r="C536" i="23"/>
  <c r="E536" i="23" s="1"/>
  <c r="P533" i="23"/>
  <c r="N534" i="23"/>
  <c r="L535" i="23"/>
  <c r="I535" i="23" s="1"/>
  <c r="D535" i="23"/>
  <c r="F535" i="23" s="1"/>
  <c r="D540" i="28" l="1"/>
  <c r="F540" i="28" s="1"/>
  <c r="J540" i="28" s="1"/>
  <c r="P540" i="28" s="1"/>
  <c r="B541" i="28"/>
  <c r="A542" i="28"/>
  <c r="C541" i="28"/>
  <c r="E541" i="28" s="1"/>
  <c r="I541" i="28" s="1"/>
  <c r="L542" i="28"/>
  <c r="N541" i="28"/>
  <c r="J535" i="23"/>
  <c r="C537" i="23"/>
  <c r="E537" i="23" s="1"/>
  <c r="P534" i="23"/>
  <c r="N535" i="23"/>
  <c r="L536" i="23"/>
  <c r="I536" i="23" s="1"/>
  <c r="D536" i="23"/>
  <c r="F536" i="23" s="1"/>
  <c r="D541" i="28" l="1"/>
  <c r="F541" i="28" s="1"/>
  <c r="J541" i="28" s="1"/>
  <c r="P541" i="28" s="1"/>
  <c r="B542" i="28"/>
  <c r="A543" i="28"/>
  <c r="C542" i="28"/>
  <c r="E542" i="28" s="1"/>
  <c r="I542" i="28" s="1"/>
  <c r="L543" i="28"/>
  <c r="N542" i="28"/>
  <c r="J536" i="23"/>
  <c r="C538" i="23"/>
  <c r="E538" i="23" s="1"/>
  <c r="P535" i="23"/>
  <c r="N536" i="23"/>
  <c r="L537" i="23"/>
  <c r="I537" i="23" s="1"/>
  <c r="D537" i="23"/>
  <c r="F537" i="23" s="1"/>
  <c r="B543" i="28" l="1"/>
  <c r="D542" i="28"/>
  <c r="F542" i="28" s="1"/>
  <c r="J542" i="28" s="1"/>
  <c r="P542" i="28" s="1"/>
  <c r="A544" i="28"/>
  <c r="C543" i="28"/>
  <c r="E543" i="28" s="1"/>
  <c r="I543" i="28" s="1"/>
  <c r="L544" i="28"/>
  <c r="N543" i="28"/>
  <c r="J537" i="23"/>
  <c r="C539" i="23"/>
  <c r="E539" i="23" s="1"/>
  <c r="P536" i="23"/>
  <c r="N537" i="23"/>
  <c r="L538" i="23"/>
  <c r="I538" i="23" s="1"/>
  <c r="D538" i="23"/>
  <c r="F538" i="23" s="1"/>
  <c r="B544" i="28" l="1"/>
  <c r="D543" i="28"/>
  <c r="F543" i="28" s="1"/>
  <c r="J543" i="28" s="1"/>
  <c r="P543" i="28" s="1"/>
  <c r="A545" i="28"/>
  <c r="C544" i="28"/>
  <c r="E544" i="28" s="1"/>
  <c r="I544" i="28" s="1"/>
  <c r="N544" i="28"/>
  <c r="L545" i="28"/>
  <c r="J538" i="23"/>
  <c r="C540" i="23"/>
  <c r="E540" i="23" s="1"/>
  <c r="P537" i="23"/>
  <c r="N538" i="23"/>
  <c r="L539" i="23"/>
  <c r="I539" i="23" s="1"/>
  <c r="D539" i="23"/>
  <c r="F539" i="23" s="1"/>
  <c r="B545" i="28" l="1"/>
  <c r="D544" i="28"/>
  <c r="F544" i="28" s="1"/>
  <c r="J544" i="28" s="1"/>
  <c r="P544" i="28" s="1"/>
  <c r="A546" i="28"/>
  <c r="C545" i="28"/>
  <c r="E545" i="28" s="1"/>
  <c r="I545" i="28" s="1"/>
  <c r="L546" i="28"/>
  <c r="N545" i="28"/>
  <c r="J539" i="23"/>
  <c r="C541" i="23"/>
  <c r="E541" i="23" s="1"/>
  <c r="P538" i="23"/>
  <c r="N539" i="23"/>
  <c r="L540" i="23"/>
  <c r="I540" i="23" s="1"/>
  <c r="D540" i="23"/>
  <c r="F540" i="23" s="1"/>
  <c r="D545" i="28" l="1"/>
  <c r="F545" i="28" s="1"/>
  <c r="J545" i="28" s="1"/>
  <c r="P545" i="28" s="1"/>
  <c r="B546" i="28"/>
  <c r="A547" i="28"/>
  <c r="C546" i="28"/>
  <c r="E546" i="28" s="1"/>
  <c r="I546" i="28" s="1"/>
  <c r="L547" i="28"/>
  <c r="N546" i="28"/>
  <c r="J540" i="23"/>
  <c r="C542" i="23"/>
  <c r="E542" i="23" s="1"/>
  <c r="P539" i="23"/>
  <c r="N540" i="23"/>
  <c r="L541" i="23"/>
  <c r="I541" i="23" s="1"/>
  <c r="D541" i="23"/>
  <c r="F541" i="23" s="1"/>
  <c r="D546" i="28" l="1"/>
  <c r="F546" i="28" s="1"/>
  <c r="J546" i="28" s="1"/>
  <c r="P546" i="28" s="1"/>
  <c r="B547" i="28"/>
  <c r="A548" i="28"/>
  <c r="C547" i="28"/>
  <c r="E547" i="28" s="1"/>
  <c r="I547" i="28" s="1"/>
  <c r="L548" i="28"/>
  <c r="N547" i="28"/>
  <c r="J541" i="23"/>
  <c r="C543" i="23"/>
  <c r="E543" i="23" s="1"/>
  <c r="P540" i="23"/>
  <c r="N541" i="23"/>
  <c r="L542" i="23"/>
  <c r="I542" i="23" s="1"/>
  <c r="D542" i="23"/>
  <c r="F542" i="23" s="1"/>
  <c r="B548" i="28" l="1"/>
  <c r="D547" i="28"/>
  <c r="F547" i="28" s="1"/>
  <c r="J547" i="28" s="1"/>
  <c r="P547" i="28" s="1"/>
  <c r="A549" i="28"/>
  <c r="C548" i="28"/>
  <c r="E548" i="28" s="1"/>
  <c r="I548" i="28" s="1"/>
  <c r="N548" i="28"/>
  <c r="L549" i="28"/>
  <c r="J542" i="23"/>
  <c r="C544" i="23"/>
  <c r="E544" i="23" s="1"/>
  <c r="P541" i="23"/>
  <c r="N542" i="23"/>
  <c r="L543" i="23"/>
  <c r="I543" i="23" s="1"/>
  <c r="D543" i="23"/>
  <c r="F543" i="23" s="1"/>
  <c r="B549" i="28" l="1"/>
  <c r="D548" i="28"/>
  <c r="F548" i="28" s="1"/>
  <c r="J548" i="28" s="1"/>
  <c r="P548" i="28" s="1"/>
  <c r="A550" i="28"/>
  <c r="C549" i="28"/>
  <c r="E549" i="28" s="1"/>
  <c r="I549" i="28" s="1"/>
  <c r="L550" i="28"/>
  <c r="N549" i="28"/>
  <c r="J543" i="23"/>
  <c r="C545" i="23"/>
  <c r="E545" i="23" s="1"/>
  <c r="P542" i="23"/>
  <c r="N543" i="23"/>
  <c r="L544" i="23"/>
  <c r="I544" i="23" s="1"/>
  <c r="D544" i="23"/>
  <c r="F544" i="23" s="1"/>
  <c r="B550" i="28" l="1"/>
  <c r="D549" i="28"/>
  <c r="F549" i="28" s="1"/>
  <c r="J549" i="28" s="1"/>
  <c r="P549" i="28" s="1"/>
  <c r="A551" i="28"/>
  <c r="C550" i="28"/>
  <c r="E550" i="28" s="1"/>
  <c r="I550" i="28" s="1"/>
  <c r="N550" i="28"/>
  <c r="L551" i="28"/>
  <c r="J544" i="23"/>
  <c r="C546" i="23"/>
  <c r="E546" i="23" s="1"/>
  <c r="P543" i="23"/>
  <c r="N544" i="23"/>
  <c r="L545" i="23"/>
  <c r="I545" i="23" s="1"/>
  <c r="D545" i="23"/>
  <c r="F545" i="23" s="1"/>
  <c r="B551" i="28" l="1"/>
  <c r="D550" i="28"/>
  <c r="F550" i="28" s="1"/>
  <c r="J550" i="28" s="1"/>
  <c r="P550" i="28" s="1"/>
  <c r="A552" i="28"/>
  <c r="C551" i="28"/>
  <c r="E551" i="28" s="1"/>
  <c r="I551" i="28" s="1"/>
  <c r="L552" i="28"/>
  <c r="N551" i="28"/>
  <c r="J545" i="23"/>
  <c r="C547" i="23"/>
  <c r="E547" i="23" s="1"/>
  <c r="P544" i="23"/>
  <c r="N545" i="23"/>
  <c r="L546" i="23"/>
  <c r="I546" i="23" s="1"/>
  <c r="D546" i="23"/>
  <c r="F546" i="23" s="1"/>
  <c r="B552" i="28" l="1"/>
  <c r="D551" i="28"/>
  <c r="F551" i="28" s="1"/>
  <c r="J551" i="28" s="1"/>
  <c r="P551" i="28" s="1"/>
  <c r="A553" i="28"/>
  <c r="C552" i="28"/>
  <c r="E552" i="28" s="1"/>
  <c r="I552" i="28" s="1"/>
  <c r="L553" i="28"/>
  <c r="N552" i="28"/>
  <c r="J546" i="23"/>
  <c r="C548" i="23"/>
  <c r="E548" i="23" s="1"/>
  <c r="P545" i="23"/>
  <c r="N546" i="23"/>
  <c r="L547" i="23"/>
  <c r="I547" i="23" s="1"/>
  <c r="D547" i="23"/>
  <c r="F547" i="23" s="1"/>
  <c r="D552" i="28" l="1"/>
  <c r="F552" i="28" s="1"/>
  <c r="J552" i="28" s="1"/>
  <c r="P552" i="28" s="1"/>
  <c r="B553" i="28"/>
  <c r="A554" i="28"/>
  <c r="C553" i="28"/>
  <c r="E553" i="28" s="1"/>
  <c r="I553" i="28" s="1"/>
  <c r="L554" i="28"/>
  <c r="N553" i="28"/>
  <c r="J547" i="23"/>
  <c r="C549" i="23"/>
  <c r="E549" i="23" s="1"/>
  <c r="P546" i="23"/>
  <c r="N547" i="23"/>
  <c r="L548" i="23"/>
  <c r="I548" i="23" s="1"/>
  <c r="D548" i="23"/>
  <c r="F548" i="23" s="1"/>
  <c r="D553" i="28" l="1"/>
  <c r="F553" i="28" s="1"/>
  <c r="J553" i="28" s="1"/>
  <c r="P553" i="28" s="1"/>
  <c r="B554" i="28"/>
  <c r="A555" i="28"/>
  <c r="C554" i="28"/>
  <c r="E554" i="28" s="1"/>
  <c r="I554" i="28" s="1"/>
  <c r="N554" i="28"/>
  <c r="L555" i="28"/>
  <c r="J548" i="23"/>
  <c r="C550" i="23"/>
  <c r="E550" i="23" s="1"/>
  <c r="P547" i="23"/>
  <c r="N548" i="23"/>
  <c r="L549" i="23"/>
  <c r="I549" i="23" s="1"/>
  <c r="D549" i="23"/>
  <c r="F549" i="23" s="1"/>
  <c r="B555" i="28" l="1"/>
  <c r="D554" i="28"/>
  <c r="F554" i="28" s="1"/>
  <c r="J554" i="28" s="1"/>
  <c r="P554" i="28" s="1"/>
  <c r="A556" i="28"/>
  <c r="C555" i="28"/>
  <c r="E555" i="28" s="1"/>
  <c r="I555" i="28" s="1"/>
  <c r="L556" i="28"/>
  <c r="N555" i="28"/>
  <c r="J549" i="23"/>
  <c r="C551" i="23"/>
  <c r="E551" i="23" s="1"/>
  <c r="P548" i="23"/>
  <c r="N549" i="23"/>
  <c r="L550" i="23"/>
  <c r="I550" i="23" s="1"/>
  <c r="D550" i="23"/>
  <c r="F550" i="23" s="1"/>
  <c r="D555" i="28" l="1"/>
  <c r="F555" i="28" s="1"/>
  <c r="J555" i="28" s="1"/>
  <c r="P555" i="28" s="1"/>
  <c r="B556" i="28"/>
  <c r="A557" i="28"/>
  <c r="C556" i="28"/>
  <c r="E556" i="28" s="1"/>
  <c r="I556" i="28" s="1"/>
  <c r="L557" i="28"/>
  <c r="N556" i="28"/>
  <c r="J550" i="23"/>
  <c r="C552" i="23"/>
  <c r="E552" i="23" s="1"/>
  <c r="P549" i="23"/>
  <c r="N550" i="23"/>
  <c r="L551" i="23"/>
  <c r="I551" i="23" s="1"/>
  <c r="D551" i="23"/>
  <c r="F551" i="23" s="1"/>
  <c r="D556" i="28" l="1"/>
  <c r="F556" i="28" s="1"/>
  <c r="J556" i="28" s="1"/>
  <c r="P556" i="28" s="1"/>
  <c r="B557" i="28"/>
  <c r="A558" i="28"/>
  <c r="C557" i="28"/>
  <c r="E557" i="28" s="1"/>
  <c r="I557" i="28" s="1"/>
  <c r="L558" i="28"/>
  <c r="N557" i="28"/>
  <c r="J551" i="23"/>
  <c r="C553" i="23"/>
  <c r="E553" i="23" s="1"/>
  <c r="P550" i="23"/>
  <c r="N551" i="23"/>
  <c r="L552" i="23"/>
  <c r="I552" i="23" s="1"/>
  <c r="D552" i="23"/>
  <c r="F552" i="23" s="1"/>
  <c r="D557" i="28" l="1"/>
  <c r="F557" i="28" s="1"/>
  <c r="J557" i="28" s="1"/>
  <c r="P557" i="28" s="1"/>
  <c r="B558" i="28"/>
  <c r="A559" i="28"/>
  <c r="C558" i="28"/>
  <c r="E558" i="28" s="1"/>
  <c r="I558" i="28" s="1"/>
  <c r="L559" i="28"/>
  <c r="N558" i="28"/>
  <c r="J552" i="23"/>
  <c r="C554" i="23"/>
  <c r="E554" i="23" s="1"/>
  <c r="P551" i="23"/>
  <c r="N552" i="23"/>
  <c r="L553" i="23"/>
  <c r="I553" i="23" s="1"/>
  <c r="D553" i="23"/>
  <c r="F553" i="23" s="1"/>
  <c r="B559" i="28" l="1"/>
  <c r="D558" i="28"/>
  <c r="F558" i="28" s="1"/>
  <c r="J558" i="28" s="1"/>
  <c r="P558" i="28" s="1"/>
  <c r="A560" i="28"/>
  <c r="C559" i="28"/>
  <c r="E559" i="28" s="1"/>
  <c r="I559" i="28" s="1"/>
  <c r="L560" i="28"/>
  <c r="N559" i="28"/>
  <c r="J553" i="23"/>
  <c r="C555" i="23"/>
  <c r="E555" i="23" s="1"/>
  <c r="P552" i="23"/>
  <c r="N553" i="23"/>
  <c r="L554" i="23"/>
  <c r="I554" i="23" s="1"/>
  <c r="D554" i="23"/>
  <c r="F554" i="23" s="1"/>
  <c r="D559" i="28" l="1"/>
  <c r="F559" i="28" s="1"/>
  <c r="J559" i="28" s="1"/>
  <c r="P559" i="28" s="1"/>
  <c r="B560" i="28"/>
  <c r="A561" i="28"/>
  <c r="C560" i="28"/>
  <c r="E560" i="28" s="1"/>
  <c r="I560" i="28" s="1"/>
  <c r="N560" i="28"/>
  <c r="L561" i="28"/>
  <c r="J554" i="23"/>
  <c r="C556" i="23"/>
  <c r="E556" i="23" s="1"/>
  <c r="P553" i="23"/>
  <c r="N554" i="23"/>
  <c r="L555" i="23"/>
  <c r="I555" i="23" s="1"/>
  <c r="D555" i="23"/>
  <c r="F555" i="23" s="1"/>
  <c r="B561" i="28" l="1"/>
  <c r="D560" i="28"/>
  <c r="F560" i="28" s="1"/>
  <c r="J560" i="28" s="1"/>
  <c r="P560" i="28" s="1"/>
  <c r="A562" i="28"/>
  <c r="C561" i="28"/>
  <c r="E561" i="28" s="1"/>
  <c r="I561" i="28" s="1"/>
  <c r="L562" i="28"/>
  <c r="N561" i="28"/>
  <c r="J555" i="23"/>
  <c r="C557" i="23"/>
  <c r="E557" i="23" s="1"/>
  <c r="P554" i="23"/>
  <c r="N555" i="23"/>
  <c r="L556" i="23"/>
  <c r="I556" i="23" s="1"/>
  <c r="D556" i="23"/>
  <c r="F556" i="23" s="1"/>
  <c r="D561" i="28" l="1"/>
  <c r="F561" i="28" s="1"/>
  <c r="J561" i="28" s="1"/>
  <c r="P561" i="28" s="1"/>
  <c r="B562" i="28"/>
  <c r="A563" i="28"/>
  <c r="C562" i="28"/>
  <c r="E562" i="28" s="1"/>
  <c r="I562" i="28" s="1"/>
  <c r="L563" i="28"/>
  <c r="N562" i="28"/>
  <c r="J556" i="23"/>
  <c r="C558" i="23"/>
  <c r="E558" i="23" s="1"/>
  <c r="P555" i="23"/>
  <c r="N556" i="23"/>
  <c r="L557" i="23"/>
  <c r="I557" i="23" s="1"/>
  <c r="D557" i="23"/>
  <c r="F557" i="23" s="1"/>
  <c r="D562" i="28" l="1"/>
  <c r="F562" i="28" s="1"/>
  <c r="J562" i="28" s="1"/>
  <c r="P562" i="28" s="1"/>
  <c r="B563" i="28"/>
  <c r="A564" i="28"/>
  <c r="C563" i="28"/>
  <c r="E563" i="28" s="1"/>
  <c r="I563" i="28" s="1"/>
  <c r="L564" i="28"/>
  <c r="N563" i="28"/>
  <c r="J557" i="23"/>
  <c r="C559" i="23"/>
  <c r="E559" i="23" s="1"/>
  <c r="P556" i="23"/>
  <c r="N557" i="23"/>
  <c r="L558" i="23"/>
  <c r="I558" i="23" s="1"/>
  <c r="D558" i="23"/>
  <c r="F558" i="23" s="1"/>
  <c r="B564" i="28" l="1"/>
  <c r="D563" i="28"/>
  <c r="F563" i="28" s="1"/>
  <c r="J563" i="28" s="1"/>
  <c r="P563" i="28" s="1"/>
  <c r="A565" i="28"/>
  <c r="C564" i="28"/>
  <c r="E564" i="28" s="1"/>
  <c r="I564" i="28" s="1"/>
  <c r="L565" i="28"/>
  <c r="N564" i="28"/>
  <c r="J558" i="23"/>
  <c r="C560" i="23"/>
  <c r="E560" i="23" s="1"/>
  <c r="P557" i="23"/>
  <c r="N558" i="23"/>
  <c r="L559" i="23"/>
  <c r="I559" i="23" s="1"/>
  <c r="D559" i="23"/>
  <c r="F559" i="23" s="1"/>
  <c r="B565" i="28" l="1"/>
  <c r="D564" i="28"/>
  <c r="F564" i="28" s="1"/>
  <c r="J564" i="28" s="1"/>
  <c r="P564" i="28" s="1"/>
  <c r="A566" i="28"/>
  <c r="C565" i="28"/>
  <c r="E565" i="28" s="1"/>
  <c r="I565" i="28" s="1"/>
  <c r="L566" i="28"/>
  <c r="N565" i="28"/>
  <c r="J559" i="23"/>
  <c r="C561" i="23"/>
  <c r="E561" i="23" s="1"/>
  <c r="P558" i="23"/>
  <c r="N559" i="23"/>
  <c r="L560" i="23"/>
  <c r="I560" i="23" s="1"/>
  <c r="D560" i="23"/>
  <c r="F560" i="23" s="1"/>
  <c r="D565" i="28" l="1"/>
  <c r="F565" i="28" s="1"/>
  <c r="J565" i="28" s="1"/>
  <c r="P565" i="28" s="1"/>
  <c r="B566" i="28"/>
  <c r="A567" i="28"/>
  <c r="C566" i="28"/>
  <c r="E566" i="28" s="1"/>
  <c r="I566" i="28" s="1"/>
  <c r="L567" i="28"/>
  <c r="N566" i="28"/>
  <c r="J560" i="23"/>
  <c r="C562" i="23"/>
  <c r="E562" i="23" s="1"/>
  <c r="P559" i="23"/>
  <c r="N560" i="23"/>
  <c r="L561" i="23"/>
  <c r="I561" i="23" s="1"/>
  <c r="D561" i="23"/>
  <c r="F561" i="23" s="1"/>
  <c r="B567" i="28" l="1"/>
  <c r="D566" i="28"/>
  <c r="F566" i="28" s="1"/>
  <c r="J566" i="28" s="1"/>
  <c r="P566" i="28" s="1"/>
  <c r="A568" i="28"/>
  <c r="C567" i="28"/>
  <c r="E567" i="28" s="1"/>
  <c r="I567" i="28" s="1"/>
  <c r="L568" i="28"/>
  <c r="N567" i="28"/>
  <c r="J561" i="23"/>
  <c r="C563" i="23"/>
  <c r="E563" i="23" s="1"/>
  <c r="P560" i="23"/>
  <c r="N561" i="23"/>
  <c r="L562" i="23"/>
  <c r="I562" i="23" s="1"/>
  <c r="D562" i="23"/>
  <c r="F562" i="23" s="1"/>
  <c r="D567" i="28" l="1"/>
  <c r="F567" i="28" s="1"/>
  <c r="J567" i="28" s="1"/>
  <c r="P567" i="28" s="1"/>
  <c r="B568" i="28"/>
  <c r="A569" i="28"/>
  <c r="C568" i="28"/>
  <c r="E568" i="28" s="1"/>
  <c r="I568" i="28" s="1"/>
  <c r="L569" i="28"/>
  <c r="N568" i="28"/>
  <c r="J562" i="23"/>
  <c r="C564" i="23"/>
  <c r="E564" i="23" s="1"/>
  <c r="P561" i="23"/>
  <c r="N562" i="23"/>
  <c r="L563" i="23"/>
  <c r="I563" i="23" s="1"/>
  <c r="D563" i="23"/>
  <c r="F563" i="23" s="1"/>
  <c r="B569" i="28" l="1"/>
  <c r="D568" i="28"/>
  <c r="F568" i="28" s="1"/>
  <c r="J568" i="28" s="1"/>
  <c r="P568" i="28" s="1"/>
  <c r="A570" i="28"/>
  <c r="C569" i="28"/>
  <c r="E569" i="28" s="1"/>
  <c r="I569" i="28" s="1"/>
  <c r="N569" i="28"/>
  <c r="L570" i="28"/>
  <c r="J563" i="23"/>
  <c r="C565" i="23"/>
  <c r="E565" i="23" s="1"/>
  <c r="P562" i="23"/>
  <c r="N563" i="23"/>
  <c r="L564" i="23"/>
  <c r="I564" i="23" s="1"/>
  <c r="D564" i="23"/>
  <c r="F564" i="23" s="1"/>
  <c r="B570" i="28" l="1"/>
  <c r="D569" i="28"/>
  <c r="F569" i="28" s="1"/>
  <c r="J569" i="28" s="1"/>
  <c r="P569" i="28" s="1"/>
  <c r="A571" i="28"/>
  <c r="C570" i="28"/>
  <c r="E570" i="28" s="1"/>
  <c r="I570" i="28" s="1"/>
  <c r="L571" i="28"/>
  <c r="N570" i="28"/>
  <c r="J564" i="23"/>
  <c r="C566" i="23"/>
  <c r="E566" i="23" s="1"/>
  <c r="P563" i="23"/>
  <c r="N564" i="23"/>
  <c r="L565" i="23"/>
  <c r="I565" i="23" s="1"/>
  <c r="D565" i="23"/>
  <c r="F565" i="23" s="1"/>
  <c r="D570" i="28" l="1"/>
  <c r="F570" i="28" s="1"/>
  <c r="J570" i="28" s="1"/>
  <c r="P570" i="28" s="1"/>
  <c r="B571" i="28"/>
  <c r="A572" i="28"/>
  <c r="C571" i="28"/>
  <c r="E571" i="28" s="1"/>
  <c r="I571" i="28" s="1"/>
  <c r="L572" i="28"/>
  <c r="N571" i="28"/>
  <c r="J565" i="23"/>
  <c r="C567" i="23"/>
  <c r="E567" i="23" s="1"/>
  <c r="P564" i="23"/>
  <c r="N565" i="23"/>
  <c r="L566" i="23"/>
  <c r="I566" i="23" s="1"/>
  <c r="D566" i="23"/>
  <c r="F566" i="23" s="1"/>
  <c r="D571" i="28" l="1"/>
  <c r="F571" i="28" s="1"/>
  <c r="J571" i="28" s="1"/>
  <c r="P571" i="28" s="1"/>
  <c r="B572" i="28"/>
  <c r="A573" i="28"/>
  <c r="C572" i="28"/>
  <c r="E572" i="28" s="1"/>
  <c r="I572" i="28" s="1"/>
  <c r="L573" i="28"/>
  <c r="N572" i="28"/>
  <c r="J566" i="23"/>
  <c r="C568" i="23"/>
  <c r="E568" i="23" s="1"/>
  <c r="P565" i="23"/>
  <c r="N566" i="23"/>
  <c r="L567" i="23"/>
  <c r="I567" i="23" s="1"/>
  <c r="D567" i="23"/>
  <c r="F567" i="23" s="1"/>
  <c r="D572" i="28" l="1"/>
  <c r="F572" i="28" s="1"/>
  <c r="J572" i="28" s="1"/>
  <c r="P572" i="28" s="1"/>
  <c r="B573" i="28"/>
  <c r="A574" i="28"/>
  <c r="C573" i="28"/>
  <c r="E573" i="28" s="1"/>
  <c r="I573" i="28" s="1"/>
  <c r="L574" i="28"/>
  <c r="N573" i="28"/>
  <c r="J567" i="23"/>
  <c r="C569" i="23"/>
  <c r="E569" i="23" s="1"/>
  <c r="P566" i="23"/>
  <c r="N567" i="23"/>
  <c r="L568" i="23"/>
  <c r="I568" i="23" s="1"/>
  <c r="D568" i="23"/>
  <c r="F568" i="23" s="1"/>
  <c r="B574" i="28" l="1"/>
  <c r="D573" i="28"/>
  <c r="F573" i="28" s="1"/>
  <c r="J573" i="28" s="1"/>
  <c r="P573" i="28" s="1"/>
  <c r="A575" i="28"/>
  <c r="C574" i="28"/>
  <c r="E574" i="28" s="1"/>
  <c r="I574" i="28" s="1"/>
  <c r="N574" i="28"/>
  <c r="L575" i="28"/>
  <c r="J568" i="23"/>
  <c r="C570" i="23"/>
  <c r="E570" i="23" s="1"/>
  <c r="P567" i="23"/>
  <c r="N568" i="23"/>
  <c r="L569" i="23"/>
  <c r="I569" i="23" s="1"/>
  <c r="D569" i="23"/>
  <c r="F569" i="23" s="1"/>
  <c r="D574" i="28" l="1"/>
  <c r="F574" i="28" s="1"/>
  <c r="J574" i="28" s="1"/>
  <c r="P574" i="28" s="1"/>
  <c r="B575" i="28"/>
  <c r="A576" i="28"/>
  <c r="C575" i="28"/>
  <c r="E575" i="28" s="1"/>
  <c r="I575" i="28" s="1"/>
  <c r="N575" i="28"/>
  <c r="L576" i="28"/>
  <c r="J569" i="23"/>
  <c r="C571" i="23"/>
  <c r="E571" i="23" s="1"/>
  <c r="P568" i="23"/>
  <c r="N569" i="23"/>
  <c r="L570" i="23"/>
  <c r="I570" i="23" s="1"/>
  <c r="D570" i="23"/>
  <c r="F570" i="23" s="1"/>
  <c r="B576" i="28" l="1"/>
  <c r="D575" i="28"/>
  <c r="F575" i="28" s="1"/>
  <c r="J575" i="28" s="1"/>
  <c r="P575" i="28" s="1"/>
  <c r="A577" i="28"/>
  <c r="C576" i="28"/>
  <c r="E576" i="28" s="1"/>
  <c r="I576" i="28" s="1"/>
  <c r="N576" i="28"/>
  <c r="L577" i="28"/>
  <c r="J570" i="23"/>
  <c r="C572" i="23"/>
  <c r="E572" i="23" s="1"/>
  <c r="P569" i="23"/>
  <c r="N570" i="23"/>
  <c r="L571" i="23"/>
  <c r="I571" i="23" s="1"/>
  <c r="D571" i="23"/>
  <c r="F571" i="23" s="1"/>
  <c r="B577" i="28" l="1"/>
  <c r="D576" i="28"/>
  <c r="F576" i="28" s="1"/>
  <c r="J576" i="28" s="1"/>
  <c r="P576" i="28" s="1"/>
  <c r="A578" i="28"/>
  <c r="C577" i="28"/>
  <c r="E577" i="28" s="1"/>
  <c r="I577" i="28" s="1"/>
  <c r="L578" i="28"/>
  <c r="N577" i="28"/>
  <c r="J571" i="23"/>
  <c r="C573" i="23"/>
  <c r="E573" i="23" s="1"/>
  <c r="P570" i="23"/>
  <c r="N571" i="23"/>
  <c r="L572" i="23"/>
  <c r="I572" i="23" s="1"/>
  <c r="D572" i="23"/>
  <c r="F572" i="23" s="1"/>
  <c r="B578" i="28" l="1"/>
  <c r="D577" i="28"/>
  <c r="F577" i="28" s="1"/>
  <c r="J577" i="28" s="1"/>
  <c r="P577" i="28" s="1"/>
  <c r="A579" i="28"/>
  <c r="C578" i="28"/>
  <c r="E578" i="28" s="1"/>
  <c r="I578" i="28" s="1"/>
  <c r="N578" i="28"/>
  <c r="L579" i="28"/>
  <c r="J572" i="23"/>
  <c r="C574" i="23"/>
  <c r="E574" i="23" s="1"/>
  <c r="P571" i="23"/>
  <c r="N572" i="23"/>
  <c r="L573" i="23"/>
  <c r="I573" i="23" s="1"/>
  <c r="D573" i="23"/>
  <c r="F573" i="23" s="1"/>
  <c r="D578" i="28" l="1"/>
  <c r="F578" i="28" s="1"/>
  <c r="J578" i="28" s="1"/>
  <c r="P578" i="28" s="1"/>
  <c r="B579" i="28"/>
  <c r="A580" i="28"/>
  <c r="C579" i="28"/>
  <c r="E579" i="28" s="1"/>
  <c r="I579" i="28" s="1"/>
  <c r="N579" i="28"/>
  <c r="L580" i="28"/>
  <c r="J573" i="23"/>
  <c r="C575" i="23"/>
  <c r="E575" i="23" s="1"/>
  <c r="P572" i="23"/>
  <c r="N573" i="23"/>
  <c r="L574" i="23"/>
  <c r="I574" i="23" s="1"/>
  <c r="D574" i="23"/>
  <c r="F574" i="23" s="1"/>
  <c r="D579" i="28" l="1"/>
  <c r="F579" i="28" s="1"/>
  <c r="J579" i="28" s="1"/>
  <c r="P579" i="28" s="1"/>
  <c r="B580" i="28"/>
  <c r="A581" i="28"/>
  <c r="C580" i="28"/>
  <c r="E580" i="28" s="1"/>
  <c r="I580" i="28" s="1"/>
  <c r="L581" i="28"/>
  <c r="N580" i="28"/>
  <c r="J574" i="23"/>
  <c r="C576" i="23"/>
  <c r="E576" i="23" s="1"/>
  <c r="P573" i="23"/>
  <c r="N574" i="23"/>
  <c r="L575" i="23"/>
  <c r="I575" i="23" s="1"/>
  <c r="D575" i="23"/>
  <c r="F575" i="23" s="1"/>
  <c r="D580" i="28" l="1"/>
  <c r="F580" i="28" s="1"/>
  <c r="J580" i="28" s="1"/>
  <c r="P580" i="28" s="1"/>
  <c r="B581" i="28"/>
  <c r="A582" i="28"/>
  <c r="C581" i="28"/>
  <c r="E581" i="28" s="1"/>
  <c r="I581" i="28" s="1"/>
  <c r="L582" i="28"/>
  <c r="N581" i="28"/>
  <c r="J575" i="23"/>
  <c r="C577" i="23"/>
  <c r="E577" i="23" s="1"/>
  <c r="P574" i="23"/>
  <c r="N575" i="23"/>
  <c r="L576" i="23"/>
  <c r="I576" i="23" s="1"/>
  <c r="D576" i="23"/>
  <c r="F576" i="23" s="1"/>
  <c r="D581" i="28" l="1"/>
  <c r="F581" i="28" s="1"/>
  <c r="J581" i="28" s="1"/>
  <c r="P581" i="28" s="1"/>
  <c r="B582" i="28"/>
  <c r="A583" i="28"/>
  <c r="C582" i="28"/>
  <c r="E582" i="28" s="1"/>
  <c r="I582" i="28" s="1"/>
  <c r="N582" i="28"/>
  <c r="L583" i="28"/>
  <c r="J576" i="23"/>
  <c r="C578" i="23"/>
  <c r="E578" i="23" s="1"/>
  <c r="P575" i="23"/>
  <c r="N576" i="23"/>
  <c r="L577" i="23"/>
  <c r="I577" i="23" s="1"/>
  <c r="D577" i="23"/>
  <c r="F577" i="23" s="1"/>
  <c r="B583" i="28" l="1"/>
  <c r="D582" i="28"/>
  <c r="F582" i="28" s="1"/>
  <c r="J582" i="28" s="1"/>
  <c r="P582" i="28" s="1"/>
  <c r="A584" i="28"/>
  <c r="C583" i="28"/>
  <c r="E583" i="28" s="1"/>
  <c r="I583" i="28" s="1"/>
  <c r="L584" i="28"/>
  <c r="N583" i="28"/>
  <c r="J577" i="23"/>
  <c r="C579" i="23"/>
  <c r="E579" i="23" s="1"/>
  <c r="P576" i="23"/>
  <c r="N577" i="23"/>
  <c r="L578" i="23"/>
  <c r="I578" i="23" s="1"/>
  <c r="D578" i="23"/>
  <c r="F578" i="23" s="1"/>
  <c r="D583" i="28" l="1"/>
  <c r="F583" i="28" s="1"/>
  <c r="J583" i="28" s="1"/>
  <c r="P583" i="28" s="1"/>
  <c r="B584" i="28"/>
  <c r="A585" i="28"/>
  <c r="C584" i="28"/>
  <c r="E584" i="28" s="1"/>
  <c r="I584" i="28" s="1"/>
  <c r="L585" i="28"/>
  <c r="N584" i="28"/>
  <c r="J578" i="23"/>
  <c r="C580" i="23"/>
  <c r="E580" i="23" s="1"/>
  <c r="P577" i="23"/>
  <c r="N578" i="23"/>
  <c r="L579" i="23"/>
  <c r="I579" i="23" s="1"/>
  <c r="D579" i="23"/>
  <c r="F579" i="23" s="1"/>
  <c r="D584" i="28" l="1"/>
  <c r="F584" i="28" s="1"/>
  <c r="J584" i="28" s="1"/>
  <c r="P584" i="28" s="1"/>
  <c r="B585" i="28"/>
  <c r="A586" i="28"/>
  <c r="C585" i="28"/>
  <c r="E585" i="28" s="1"/>
  <c r="I585" i="28" s="1"/>
  <c r="L586" i="28"/>
  <c r="N585" i="28"/>
  <c r="J579" i="23"/>
  <c r="C581" i="23"/>
  <c r="E581" i="23" s="1"/>
  <c r="P578" i="23"/>
  <c r="N579" i="23"/>
  <c r="L580" i="23"/>
  <c r="I580" i="23" s="1"/>
  <c r="D580" i="23"/>
  <c r="F580" i="23" s="1"/>
  <c r="D585" i="28" l="1"/>
  <c r="F585" i="28" s="1"/>
  <c r="J585" i="28" s="1"/>
  <c r="P585" i="28" s="1"/>
  <c r="B586" i="28"/>
  <c r="A587" i="28"/>
  <c r="C586" i="28"/>
  <c r="E586" i="28" s="1"/>
  <c r="I586" i="28" s="1"/>
  <c r="L587" i="28"/>
  <c r="N586" i="28"/>
  <c r="J580" i="23"/>
  <c r="C582" i="23"/>
  <c r="E582" i="23" s="1"/>
  <c r="P579" i="23"/>
  <c r="N580" i="23"/>
  <c r="L581" i="23"/>
  <c r="I581" i="23" s="1"/>
  <c r="D581" i="23"/>
  <c r="F581" i="23" s="1"/>
  <c r="B587" i="28" l="1"/>
  <c r="D586" i="28"/>
  <c r="F586" i="28" s="1"/>
  <c r="J586" i="28" s="1"/>
  <c r="P586" i="28" s="1"/>
  <c r="A588" i="28"/>
  <c r="C587" i="28"/>
  <c r="E587" i="28" s="1"/>
  <c r="I587" i="28" s="1"/>
  <c r="L588" i="28"/>
  <c r="N587" i="28"/>
  <c r="J581" i="23"/>
  <c r="C583" i="23"/>
  <c r="E583" i="23" s="1"/>
  <c r="P580" i="23"/>
  <c r="N581" i="23"/>
  <c r="L582" i="23"/>
  <c r="I582" i="23" s="1"/>
  <c r="D582" i="23"/>
  <c r="F582" i="23" s="1"/>
  <c r="D587" i="28" l="1"/>
  <c r="F587" i="28" s="1"/>
  <c r="J587" i="28" s="1"/>
  <c r="P587" i="28" s="1"/>
  <c r="B588" i="28"/>
  <c r="A589" i="28"/>
  <c r="C588" i="28"/>
  <c r="E588" i="28" s="1"/>
  <c r="I588" i="28" s="1"/>
  <c r="L589" i="28"/>
  <c r="N588" i="28"/>
  <c r="J582" i="23"/>
  <c r="C584" i="23"/>
  <c r="E584" i="23" s="1"/>
  <c r="P581" i="23"/>
  <c r="N582" i="23"/>
  <c r="L583" i="23"/>
  <c r="I583" i="23" s="1"/>
  <c r="D583" i="23"/>
  <c r="F583" i="23" s="1"/>
  <c r="D588" i="28" l="1"/>
  <c r="F588" i="28" s="1"/>
  <c r="J588" i="28" s="1"/>
  <c r="P588" i="28" s="1"/>
  <c r="B589" i="28"/>
  <c r="A590" i="28"/>
  <c r="C589" i="28"/>
  <c r="E589" i="28" s="1"/>
  <c r="I589" i="28" s="1"/>
  <c r="L590" i="28"/>
  <c r="N589" i="28"/>
  <c r="J583" i="23"/>
  <c r="C585" i="23"/>
  <c r="E585" i="23" s="1"/>
  <c r="P582" i="23"/>
  <c r="N583" i="23"/>
  <c r="L584" i="23"/>
  <c r="I584" i="23" s="1"/>
  <c r="D584" i="23"/>
  <c r="F584" i="23" s="1"/>
  <c r="D589" i="28" l="1"/>
  <c r="F589" i="28" s="1"/>
  <c r="J589" i="28" s="1"/>
  <c r="P589" i="28" s="1"/>
  <c r="B590" i="28"/>
  <c r="A591" i="28"/>
  <c r="C590" i="28"/>
  <c r="E590" i="28" s="1"/>
  <c r="I590" i="28" s="1"/>
  <c r="L591" i="28"/>
  <c r="N590" i="28"/>
  <c r="J584" i="23"/>
  <c r="C586" i="23"/>
  <c r="E586" i="23" s="1"/>
  <c r="P583" i="23"/>
  <c r="N584" i="23"/>
  <c r="L585" i="23"/>
  <c r="I585" i="23" s="1"/>
  <c r="D585" i="23"/>
  <c r="F585" i="23" s="1"/>
  <c r="D590" i="28" l="1"/>
  <c r="F590" i="28" s="1"/>
  <c r="J590" i="28" s="1"/>
  <c r="P590" i="28" s="1"/>
  <c r="B591" i="28"/>
  <c r="A592" i="28"/>
  <c r="C591" i="28"/>
  <c r="E591" i="28" s="1"/>
  <c r="I591" i="28" s="1"/>
  <c r="L592" i="28"/>
  <c r="N591" i="28"/>
  <c r="J585" i="23"/>
  <c r="C587" i="23"/>
  <c r="E587" i="23" s="1"/>
  <c r="P584" i="23"/>
  <c r="N585" i="23"/>
  <c r="L586" i="23"/>
  <c r="I586" i="23" s="1"/>
  <c r="D586" i="23"/>
  <c r="F586" i="23" s="1"/>
  <c r="B592" i="28" l="1"/>
  <c r="D591" i="28"/>
  <c r="F591" i="28" s="1"/>
  <c r="J591" i="28" s="1"/>
  <c r="P591" i="28" s="1"/>
  <c r="A593" i="28"/>
  <c r="C592" i="28"/>
  <c r="E592" i="28" s="1"/>
  <c r="I592" i="28" s="1"/>
  <c r="N592" i="28"/>
  <c r="L593" i="28"/>
  <c r="J586" i="23"/>
  <c r="C588" i="23"/>
  <c r="E588" i="23" s="1"/>
  <c r="P585" i="23"/>
  <c r="N586" i="23"/>
  <c r="L587" i="23"/>
  <c r="I587" i="23" s="1"/>
  <c r="D587" i="23"/>
  <c r="F587" i="23" s="1"/>
  <c r="B593" i="28" l="1"/>
  <c r="D592" i="28"/>
  <c r="F592" i="28" s="1"/>
  <c r="J592" i="28" s="1"/>
  <c r="P592" i="28" s="1"/>
  <c r="A594" i="28"/>
  <c r="C593" i="28"/>
  <c r="E593" i="28" s="1"/>
  <c r="I593" i="28" s="1"/>
  <c r="L594" i="28"/>
  <c r="N593" i="28"/>
  <c r="J587" i="23"/>
  <c r="C589" i="23"/>
  <c r="E589" i="23" s="1"/>
  <c r="P586" i="23"/>
  <c r="N587" i="23"/>
  <c r="L588" i="23"/>
  <c r="I588" i="23" s="1"/>
  <c r="D588" i="23"/>
  <c r="F588" i="23" s="1"/>
  <c r="B594" i="28" l="1"/>
  <c r="D593" i="28"/>
  <c r="F593" i="28" s="1"/>
  <c r="J593" i="28" s="1"/>
  <c r="P593" i="28" s="1"/>
  <c r="A595" i="28"/>
  <c r="C594" i="28"/>
  <c r="E594" i="28" s="1"/>
  <c r="I594" i="28" s="1"/>
  <c r="N594" i="28"/>
  <c r="L595" i="28"/>
  <c r="J588" i="23"/>
  <c r="C590" i="23"/>
  <c r="E590" i="23" s="1"/>
  <c r="P587" i="23"/>
  <c r="N588" i="23"/>
  <c r="L589" i="23"/>
  <c r="I589" i="23" s="1"/>
  <c r="D589" i="23"/>
  <c r="F589" i="23" s="1"/>
  <c r="D594" i="28" l="1"/>
  <c r="F594" i="28" s="1"/>
  <c r="J594" i="28" s="1"/>
  <c r="P594" i="28" s="1"/>
  <c r="B595" i="28"/>
  <c r="A596" i="28"/>
  <c r="C595" i="28"/>
  <c r="E595" i="28" s="1"/>
  <c r="I595" i="28" s="1"/>
  <c r="N595" i="28"/>
  <c r="L596" i="28"/>
  <c r="J589" i="23"/>
  <c r="C591" i="23"/>
  <c r="E591" i="23" s="1"/>
  <c r="P588" i="23"/>
  <c r="N589" i="23"/>
  <c r="L590" i="23"/>
  <c r="I590" i="23" s="1"/>
  <c r="D590" i="23"/>
  <c r="F590" i="23" s="1"/>
  <c r="B596" i="28" l="1"/>
  <c r="D595" i="28"/>
  <c r="F595" i="28" s="1"/>
  <c r="J595" i="28" s="1"/>
  <c r="P595" i="28" s="1"/>
  <c r="A597" i="28"/>
  <c r="C596" i="28"/>
  <c r="E596" i="28" s="1"/>
  <c r="I596" i="28" s="1"/>
  <c r="N596" i="28"/>
  <c r="L597" i="28"/>
  <c r="J590" i="23"/>
  <c r="C592" i="23"/>
  <c r="E592" i="23" s="1"/>
  <c r="P589" i="23"/>
  <c r="N590" i="23"/>
  <c r="L591" i="23"/>
  <c r="I591" i="23" s="1"/>
  <c r="D591" i="23"/>
  <c r="F591" i="23" s="1"/>
  <c r="B597" i="28" l="1"/>
  <c r="D596" i="28"/>
  <c r="F596" i="28" s="1"/>
  <c r="J596" i="28" s="1"/>
  <c r="P596" i="28" s="1"/>
  <c r="A598" i="28"/>
  <c r="C597" i="28"/>
  <c r="E597" i="28" s="1"/>
  <c r="I597" i="28" s="1"/>
  <c r="L598" i="28"/>
  <c r="N597" i="28"/>
  <c r="J591" i="23"/>
  <c r="C593" i="23"/>
  <c r="E593" i="23" s="1"/>
  <c r="P590" i="23"/>
  <c r="N591" i="23"/>
  <c r="L592" i="23"/>
  <c r="I592" i="23" s="1"/>
  <c r="D592" i="23"/>
  <c r="F592" i="23" s="1"/>
  <c r="B598" i="28" l="1"/>
  <c r="D597" i="28"/>
  <c r="F597" i="28" s="1"/>
  <c r="J597" i="28" s="1"/>
  <c r="P597" i="28" s="1"/>
  <c r="A599" i="28"/>
  <c r="C598" i="28"/>
  <c r="E598" i="28" s="1"/>
  <c r="I598" i="28" s="1"/>
  <c r="N598" i="28"/>
  <c r="L599" i="28"/>
  <c r="J592" i="23"/>
  <c r="C594" i="23"/>
  <c r="E594" i="23" s="1"/>
  <c r="P591" i="23"/>
  <c r="N592" i="23"/>
  <c r="L593" i="23"/>
  <c r="I593" i="23" s="1"/>
  <c r="D593" i="23"/>
  <c r="F593" i="23" s="1"/>
  <c r="D598" i="28" l="1"/>
  <c r="F598" i="28" s="1"/>
  <c r="J598" i="28" s="1"/>
  <c r="P598" i="28" s="1"/>
  <c r="B599" i="28"/>
  <c r="A600" i="28"/>
  <c r="C599" i="28"/>
  <c r="E599" i="28" s="1"/>
  <c r="I599" i="28" s="1"/>
  <c r="N599" i="28"/>
  <c r="L600" i="28"/>
  <c r="J593" i="23"/>
  <c r="C595" i="23"/>
  <c r="E595" i="23" s="1"/>
  <c r="P592" i="23"/>
  <c r="N593" i="23"/>
  <c r="L594" i="23"/>
  <c r="I594" i="23" s="1"/>
  <c r="D594" i="23"/>
  <c r="F594" i="23" s="1"/>
  <c r="B600" i="28" l="1"/>
  <c r="D599" i="28"/>
  <c r="F599" i="28" s="1"/>
  <c r="J599" i="28" s="1"/>
  <c r="P599" i="28" s="1"/>
  <c r="A601" i="28"/>
  <c r="C600" i="28"/>
  <c r="E600" i="28" s="1"/>
  <c r="I600" i="28" s="1"/>
  <c r="L601" i="28"/>
  <c r="N600" i="28"/>
  <c r="J594" i="23"/>
  <c r="C596" i="23"/>
  <c r="E596" i="23" s="1"/>
  <c r="P593" i="23"/>
  <c r="N594" i="23"/>
  <c r="L595" i="23"/>
  <c r="I595" i="23" s="1"/>
  <c r="D595" i="23"/>
  <c r="F595" i="23" s="1"/>
  <c r="B601" i="28" l="1"/>
  <c r="D600" i="28"/>
  <c r="F600" i="28" s="1"/>
  <c r="J600" i="28" s="1"/>
  <c r="P600" i="28" s="1"/>
  <c r="A602" i="28"/>
  <c r="C601" i="28"/>
  <c r="E601" i="28" s="1"/>
  <c r="I601" i="28" s="1"/>
  <c r="L602" i="28"/>
  <c r="N601" i="28"/>
  <c r="J595" i="23"/>
  <c r="C597" i="23"/>
  <c r="E597" i="23" s="1"/>
  <c r="P594" i="23"/>
  <c r="N595" i="23"/>
  <c r="L596" i="23"/>
  <c r="I596" i="23" s="1"/>
  <c r="D596" i="23"/>
  <c r="F596" i="23" s="1"/>
  <c r="D601" i="28" l="1"/>
  <c r="F601" i="28" s="1"/>
  <c r="J601" i="28" s="1"/>
  <c r="P601" i="28" s="1"/>
  <c r="B602" i="28"/>
  <c r="A603" i="28"/>
  <c r="C602" i="28"/>
  <c r="E602" i="28" s="1"/>
  <c r="I602" i="28" s="1"/>
  <c r="N602" i="28"/>
  <c r="L603" i="28"/>
  <c r="J596" i="23"/>
  <c r="C598" i="23"/>
  <c r="E598" i="23" s="1"/>
  <c r="P595" i="23"/>
  <c r="N596" i="23"/>
  <c r="L597" i="23"/>
  <c r="I597" i="23" s="1"/>
  <c r="D597" i="23"/>
  <c r="F597" i="23" s="1"/>
  <c r="D602" i="28" l="1"/>
  <c r="F602" i="28" s="1"/>
  <c r="J602" i="28" s="1"/>
  <c r="P602" i="28" s="1"/>
  <c r="B603" i="28"/>
  <c r="A604" i="28"/>
  <c r="C603" i="28"/>
  <c r="E603" i="28" s="1"/>
  <c r="I603" i="28" s="1"/>
  <c r="N603" i="28"/>
  <c r="L604" i="28"/>
  <c r="J597" i="23"/>
  <c r="C599" i="23"/>
  <c r="E599" i="23" s="1"/>
  <c r="P596" i="23"/>
  <c r="N597" i="23"/>
  <c r="L598" i="23"/>
  <c r="I598" i="23" s="1"/>
  <c r="D598" i="23"/>
  <c r="F598" i="23" s="1"/>
  <c r="D603" i="28" l="1"/>
  <c r="F603" i="28" s="1"/>
  <c r="J603" i="28" s="1"/>
  <c r="P603" i="28" s="1"/>
  <c r="B604" i="28"/>
  <c r="A605" i="28"/>
  <c r="C604" i="28"/>
  <c r="E604" i="28" s="1"/>
  <c r="I604" i="28" s="1"/>
  <c r="L605" i="28"/>
  <c r="N604" i="28"/>
  <c r="J598" i="23"/>
  <c r="C600" i="23"/>
  <c r="E600" i="23" s="1"/>
  <c r="P597" i="23"/>
  <c r="N598" i="23"/>
  <c r="L599" i="23"/>
  <c r="I599" i="23" s="1"/>
  <c r="D599" i="23"/>
  <c r="F599" i="23" s="1"/>
  <c r="D604" i="28" l="1"/>
  <c r="F604" i="28" s="1"/>
  <c r="J604" i="28" s="1"/>
  <c r="P604" i="28" s="1"/>
  <c r="B605" i="28"/>
  <c r="A606" i="28"/>
  <c r="C605" i="28"/>
  <c r="E605" i="28" s="1"/>
  <c r="I605" i="28" s="1"/>
  <c r="N605" i="28"/>
  <c r="L606" i="28"/>
  <c r="J599" i="23"/>
  <c r="C601" i="23"/>
  <c r="E601" i="23" s="1"/>
  <c r="P598" i="23"/>
  <c r="N599" i="23"/>
  <c r="L600" i="23"/>
  <c r="I600" i="23" s="1"/>
  <c r="D600" i="23"/>
  <c r="F600" i="23" s="1"/>
  <c r="B606" i="28" l="1"/>
  <c r="D605" i="28"/>
  <c r="F605" i="28" s="1"/>
  <c r="J605" i="28" s="1"/>
  <c r="P605" i="28" s="1"/>
  <c r="A607" i="28"/>
  <c r="C606" i="28"/>
  <c r="E606" i="28" s="1"/>
  <c r="I606" i="28" s="1"/>
  <c r="N606" i="28"/>
  <c r="L607" i="28"/>
  <c r="J600" i="23"/>
  <c r="C602" i="23"/>
  <c r="E602" i="23" s="1"/>
  <c r="P599" i="23"/>
  <c r="N600" i="23"/>
  <c r="L601" i="23"/>
  <c r="I601" i="23" s="1"/>
  <c r="D601" i="23"/>
  <c r="F601" i="23" s="1"/>
  <c r="D606" i="28" l="1"/>
  <c r="F606" i="28" s="1"/>
  <c r="J606" i="28" s="1"/>
  <c r="P606" i="28" s="1"/>
  <c r="B607" i="28"/>
  <c r="A608" i="28"/>
  <c r="C607" i="28"/>
  <c r="E607" i="28" s="1"/>
  <c r="I607" i="28" s="1"/>
  <c r="N607" i="28"/>
  <c r="L608" i="28"/>
  <c r="J601" i="23"/>
  <c r="C603" i="23"/>
  <c r="E603" i="23" s="1"/>
  <c r="P600" i="23"/>
  <c r="N601" i="23"/>
  <c r="L602" i="23"/>
  <c r="I602" i="23" s="1"/>
  <c r="D602" i="23"/>
  <c r="F602" i="23" s="1"/>
  <c r="B608" i="28" l="1"/>
  <c r="D607" i="28"/>
  <c r="F607" i="28" s="1"/>
  <c r="J607" i="28" s="1"/>
  <c r="P607" i="28" s="1"/>
  <c r="A609" i="28"/>
  <c r="C608" i="28"/>
  <c r="E608" i="28" s="1"/>
  <c r="I608" i="28" s="1"/>
  <c r="L609" i="28"/>
  <c r="N608" i="28"/>
  <c r="J602" i="23"/>
  <c r="C604" i="23"/>
  <c r="E604" i="23" s="1"/>
  <c r="P601" i="23"/>
  <c r="N602" i="23"/>
  <c r="L603" i="23"/>
  <c r="I603" i="23" s="1"/>
  <c r="D603" i="23"/>
  <c r="F603" i="23" s="1"/>
  <c r="B609" i="28" l="1"/>
  <c r="D608" i="28"/>
  <c r="F608" i="28" s="1"/>
  <c r="J608" i="28" s="1"/>
  <c r="P608" i="28" s="1"/>
  <c r="A610" i="28"/>
  <c r="C609" i="28"/>
  <c r="E609" i="28" s="1"/>
  <c r="I609" i="28" s="1"/>
  <c r="N609" i="28"/>
  <c r="L610" i="28"/>
  <c r="J603" i="23"/>
  <c r="C605" i="23"/>
  <c r="E605" i="23" s="1"/>
  <c r="P602" i="23"/>
  <c r="N603" i="23"/>
  <c r="L604" i="23"/>
  <c r="I604" i="23" s="1"/>
  <c r="D604" i="23"/>
  <c r="F604" i="23" s="1"/>
  <c r="B610" i="28" l="1"/>
  <c r="D609" i="28"/>
  <c r="F609" i="28" s="1"/>
  <c r="J609" i="28" s="1"/>
  <c r="P609" i="28" s="1"/>
  <c r="A611" i="28"/>
  <c r="C610" i="28"/>
  <c r="E610" i="28" s="1"/>
  <c r="I610" i="28" s="1"/>
  <c r="N610" i="28"/>
  <c r="L611" i="28"/>
  <c r="J604" i="23"/>
  <c r="C606" i="23"/>
  <c r="E606" i="23" s="1"/>
  <c r="P603" i="23"/>
  <c r="N604" i="23"/>
  <c r="L605" i="23"/>
  <c r="I605" i="23" s="1"/>
  <c r="D605" i="23"/>
  <c r="F605" i="23" s="1"/>
  <c r="D610" i="28" l="1"/>
  <c r="F610" i="28" s="1"/>
  <c r="J610" i="28" s="1"/>
  <c r="P610" i="28" s="1"/>
  <c r="B611" i="28"/>
  <c r="A612" i="28"/>
  <c r="C611" i="28"/>
  <c r="E611" i="28" s="1"/>
  <c r="I611" i="28" s="1"/>
  <c r="L612" i="28"/>
  <c r="N611" i="28"/>
  <c r="J605" i="23"/>
  <c r="C607" i="23"/>
  <c r="E607" i="23" s="1"/>
  <c r="P604" i="23"/>
  <c r="N605" i="23"/>
  <c r="L606" i="23"/>
  <c r="I606" i="23" s="1"/>
  <c r="D606" i="23"/>
  <c r="F606" i="23" s="1"/>
  <c r="B612" i="28" l="1"/>
  <c r="D611" i="28"/>
  <c r="F611" i="28" s="1"/>
  <c r="J611" i="28" s="1"/>
  <c r="P611" i="28" s="1"/>
  <c r="A613" i="28"/>
  <c r="C612" i="28"/>
  <c r="E612" i="28" s="1"/>
  <c r="I612" i="28" s="1"/>
  <c r="L613" i="28"/>
  <c r="N612" i="28"/>
  <c r="J606" i="23"/>
  <c r="C608" i="23"/>
  <c r="E608" i="23" s="1"/>
  <c r="P605" i="23"/>
  <c r="N606" i="23"/>
  <c r="L607" i="23"/>
  <c r="I607" i="23" s="1"/>
  <c r="D607" i="23"/>
  <c r="F607" i="23" s="1"/>
  <c r="B613" i="28" l="1"/>
  <c r="D612" i="28"/>
  <c r="F612" i="28" s="1"/>
  <c r="J612" i="28" s="1"/>
  <c r="P612" i="28" s="1"/>
  <c r="A614" i="28"/>
  <c r="C613" i="28"/>
  <c r="E613" i="28" s="1"/>
  <c r="I613" i="28" s="1"/>
  <c r="L614" i="28"/>
  <c r="N613" i="28"/>
  <c r="J607" i="23"/>
  <c r="C609" i="23"/>
  <c r="E609" i="23" s="1"/>
  <c r="P606" i="23"/>
  <c r="N607" i="23"/>
  <c r="L608" i="23"/>
  <c r="I608" i="23" s="1"/>
  <c r="D608" i="23"/>
  <c r="F608" i="23" s="1"/>
  <c r="B614" i="28" l="1"/>
  <c r="D613" i="28"/>
  <c r="F613" i="28" s="1"/>
  <c r="J613" i="28" s="1"/>
  <c r="P613" i="28" s="1"/>
  <c r="A615" i="28"/>
  <c r="C614" i="28"/>
  <c r="E614" i="28" s="1"/>
  <c r="I614" i="28" s="1"/>
  <c r="N614" i="28"/>
  <c r="L615" i="28"/>
  <c r="J608" i="23"/>
  <c r="C610" i="23"/>
  <c r="E610" i="23" s="1"/>
  <c r="P607" i="23"/>
  <c r="N608" i="23"/>
  <c r="L609" i="23"/>
  <c r="I609" i="23" s="1"/>
  <c r="D609" i="23"/>
  <c r="F609" i="23" s="1"/>
  <c r="B615" i="28" l="1"/>
  <c r="D614" i="28"/>
  <c r="F614" i="28" s="1"/>
  <c r="J614" i="28" s="1"/>
  <c r="P614" i="28" s="1"/>
  <c r="A616" i="28"/>
  <c r="C615" i="28"/>
  <c r="E615" i="28" s="1"/>
  <c r="I615" i="28" s="1"/>
  <c r="N615" i="28"/>
  <c r="L616" i="28"/>
  <c r="J609" i="23"/>
  <c r="C611" i="23"/>
  <c r="E611" i="23" s="1"/>
  <c r="P608" i="23"/>
  <c r="N609" i="23"/>
  <c r="L610" i="23"/>
  <c r="I610" i="23" s="1"/>
  <c r="D610" i="23"/>
  <c r="F610" i="23" s="1"/>
  <c r="B616" i="28" l="1"/>
  <c r="D615" i="28"/>
  <c r="F615" i="28" s="1"/>
  <c r="J615" i="28" s="1"/>
  <c r="P615" i="28" s="1"/>
  <c r="A617" i="28"/>
  <c r="C616" i="28"/>
  <c r="E616" i="28" s="1"/>
  <c r="I616" i="28" s="1"/>
  <c r="L617" i="28"/>
  <c r="N616" i="28"/>
  <c r="J610" i="23"/>
  <c r="C612" i="23"/>
  <c r="E612" i="23" s="1"/>
  <c r="P609" i="23"/>
  <c r="N610" i="23"/>
  <c r="L611" i="23"/>
  <c r="I611" i="23" s="1"/>
  <c r="D611" i="23"/>
  <c r="F611" i="23" s="1"/>
  <c r="B617" i="28" l="1"/>
  <c r="D616" i="28"/>
  <c r="F616" i="28" s="1"/>
  <c r="J616" i="28" s="1"/>
  <c r="P616" i="28" s="1"/>
  <c r="A618" i="28"/>
  <c r="C617" i="28"/>
  <c r="E617" i="28" s="1"/>
  <c r="I617" i="28" s="1"/>
  <c r="L618" i="28"/>
  <c r="N617" i="28"/>
  <c r="J611" i="23"/>
  <c r="C613" i="23"/>
  <c r="E613" i="23" s="1"/>
  <c r="P610" i="23"/>
  <c r="N611" i="23"/>
  <c r="L612" i="23"/>
  <c r="I612" i="23" s="1"/>
  <c r="D612" i="23"/>
  <c r="F612" i="23" s="1"/>
  <c r="B618" i="28" l="1"/>
  <c r="D617" i="28"/>
  <c r="F617" i="28" s="1"/>
  <c r="J617" i="28" s="1"/>
  <c r="P617" i="28" s="1"/>
  <c r="A619" i="28"/>
  <c r="C618" i="28"/>
  <c r="E618" i="28" s="1"/>
  <c r="I618" i="28" s="1"/>
  <c r="N618" i="28"/>
  <c r="L619" i="28"/>
  <c r="J612" i="23"/>
  <c r="C614" i="23"/>
  <c r="E614" i="23" s="1"/>
  <c r="P611" i="23"/>
  <c r="N612" i="23"/>
  <c r="L613" i="23"/>
  <c r="I613" i="23" s="1"/>
  <c r="D613" i="23"/>
  <c r="F613" i="23" s="1"/>
  <c r="B619" i="28" l="1"/>
  <c r="D618" i="28"/>
  <c r="F618" i="28" s="1"/>
  <c r="J618" i="28" s="1"/>
  <c r="P618" i="28" s="1"/>
  <c r="A620" i="28"/>
  <c r="C619" i="28"/>
  <c r="E619" i="28" s="1"/>
  <c r="I619" i="28" s="1"/>
  <c r="L620" i="28"/>
  <c r="N619" i="28"/>
  <c r="J613" i="23"/>
  <c r="C615" i="23"/>
  <c r="E615" i="23" s="1"/>
  <c r="P612" i="23"/>
  <c r="N613" i="23"/>
  <c r="L614" i="23"/>
  <c r="I614" i="23" s="1"/>
  <c r="D614" i="23"/>
  <c r="F614" i="23" s="1"/>
  <c r="D619" i="28" l="1"/>
  <c r="F619" i="28" s="1"/>
  <c r="J619" i="28" s="1"/>
  <c r="P619" i="28" s="1"/>
  <c r="B620" i="28"/>
  <c r="A621" i="28"/>
  <c r="C620" i="28"/>
  <c r="L621" i="28"/>
  <c r="N620" i="28"/>
  <c r="E620" i="28"/>
  <c r="I620" i="28" s="1"/>
  <c r="J614" i="23"/>
  <c r="C616" i="23"/>
  <c r="E616" i="23" s="1"/>
  <c r="P613" i="23"/>
  <c r="N614" i="23"/>
  <c r="L615" i="23"/>
  <c r="I615" i="23" s="1"/>
  <c r="D615" i="23"/>
  <c r="F615" i="23" s="1"/>
  <c r="D620" i="28" l="1"/>
  <c r="F620" i="28" s="1"/>
  <c r="J620" i="28" s="1"/>
  <c r="P620" i="28" s="1"/>
  <c r="B621" i="28"/>
  <c r="A622" i="28"/>
  <c r="C621" i="28"/>
  <c r="E621" i="28" s="1"/>
  <c r="I621" i="28" s="1"/>
  <c r="N621" i="28"/>
  <c r="L622" i="28"/>
  <c r="J615" i="23"/>
  <c r="C617" i="23"/>
  <c r="E617" i="23" s="1"/>
  <c r="P614" i="23"/>
  <c r="N615" i="23"/>
  <c r="L616" i="23"/>
  <c r="I616" i="23" s="1"/>
  <c r="D616" i="23"/>
  <c r="F616" i="23" s="1"/>
  <c r="D621" i="28" l="1"/>
  <c r="F621" i="28" s="1"/>
  <c r="J621" i="28" s="1"/>
  <c r="P621" i="28" s="1"/>
  <c r="B622" i="28"/>
  <c r="A623" i="28"/>
  <c r="C622" i="28"/>
  <c r="N622" i="28"/>
  <c r="L623" i="28"/>
  <c r="E622" i="28"/>
  <c r="I622" i="28" s="1"/>
  <c r="J616" i="23"/>
  <c r="C618" i="23"/>
  <c r="E618" i="23" s="1"/>
  <c r="P615" i="23"/>
  <c r="N616" i="23"/>
  <c r="L617" i="23"/>
  <c r="I617" i="23" s="1"/>
  <c r="D617" i="23"/>
  <c r="F617" i="23" s="1"/>
  <c r="D622" i="28" l="1"/>
  <c r="F622" i="28" s="1"/>
  <c r="J622" i="28" s="1"/>
  <c r="P622" i="28" s="1"/>
  <c r="B623" i="28"/>
  <c r="A624" i="28"/>
  <c r="C623" i="28"/>
  <c r="E623" i="28" s="1"/>
  <c r="I623" i="28" s="1"/>
  <c r="N623" i="28"/>
  <c r="L624" i="28"/>
  <c r="J617" i="23"/>
  <c r="C619" i="23"/>
  <c r="E619" i="23" s="1"/>
  <c r="P616" i="23"/>
  <c r="N617" i="23"/>
  <c r="L618" i="23"/>
  <c r="I618" i="23" s="1"/>
  <c r="D618" i="23"/>
  <c r="F618" i="23" s="1"/>
  <c r="D623" i="28" l="1"/>
  <c r="F623" i="28" s="1"/>
  <c r="J623" i="28" s="1"/>
  <c r="P623" i="28" s="1"/>
  <c r="B624" i="28"/>
  <c r="A625" i="28"/>
  <c r="C624" i="28"/>
  <c r="E624" i="28" s="1"/>
  <c r="I624" i="28" s="1"/>
  <c r="N624" i="28"/>
  <c r="L625" i="28"/>
  <c r="J618" i="23"/>
  <c r="C620" i="23"/>
  <c r="E620" i="23" s="1"/>
  <c r="P617" i="23"/>
  <c r="N618" i="23"/>
  <c r="L619" i="23"/>
  <c r="I619" i="23" s="1"/>
  <c r="D619" i="23"/>
  <c r="F619" i="23" s="1"/>
  <c r="B625" i="28" l="1"/>
  <c r="D624" i="28"/>
  <c r="F624" i="28" s="1"/>
  <c r="J624" i="28" s="1"/>
  <c r="P624" i="28" s="1"/>
  <c r="A626" i="28"/>
  <c r="C625" i="28"/>
  <c r="E625" i="28" s="1"/>
  <c r="I625" i="28" s="1"/>
  <c r="N625" i="28"/>
  <c r="L626" i="28"/>
  <c r="J619" i="23"/>
  <c r="C621" i="23"/>
  <c r="E621" i="23" s="1"/>
  <c r="P618" i="23"/>
  <c r="N619" i="23"/>
  <c r="L620" i="23"/>
  <c r="I620" i="23" s="1"/>
  <c r="D620" i="23"/>
  <c r="F620" i="23" s="1"/>
  <c r="D625" i="28" l="1"/>
  <c r="F625" i="28" s="1"/>
  <c r="J625" i="28" s="1"/>
  <c r="P625" i="28" s="1"/>
  <c r="B626" i="28"/>
  <c r="A627" i="28"/>
  <c r="C626" i="28"/>
  <c r="E626" i="28" s="1"/>
  <c r="I626" i="28" s="1"/>
  <c r="N626" i="28"/>
  <c r="L627" i="28"/>
  <c r="J620" i="23"/>
  <c r="C622" i="23"/>
  <c r="E622" i="23" s="1"/>
  <c r="P619" i="23"/>
  <c r="N620" i="23"/>
  <c r="L621" i="23"/>
  <c r="I621" i="23" s="1"/>
  <c r="D621" i="23"/>
  <c r="F621" i="23" s="1"/>
  <c r="D626" i="28" l="1"/>
  <c r="F626" i="28" s="1"/>
  <c r="J626" i="28" s="1"/>
  <c r="P626" i="28" s="1"/>
  <c r="B627" i="28"/>
  <c r="A628" i="28"/>
  <c r="C627" i="28"/>
  <c r="E627" i="28" s="1"/>
  <c r="I627" i="28" s="1"/>
  <c r="L628" i="28"/>
  <c r="N627" i="28"/>
  <c r="J621" i="23"/>
  <c r="C623" i="23"/>
  <c r="E623" i="23" s="1"/>
  <c r="P620" i="23"/>
  <c r="N621" i="23"/>
  <c r="L622" i="23"/>
  <c r="I622" i="23" s="1"/>
  <c r="D622" i="23"/>
  <c r="F622" i="23" s="1"/>
  <c r="B628" i="28" l="1"/>
  <c r="D627" i="28"/>
  <c r="F627" i="28" s="1"/>
  <c r="J627" i="28" s="1"/>
  <c r="P627" i="28" s="1"/>
  <c r="A629" i="28"/>
  <c r="C628" i="28"/>
  <c r="E628" i="28" s="1"/>
  <c r="I628" i="28" s="1"/>
  <c r="N628" i="28"/>
  <c r="L629" i="28"/>
  <c r="J622" i="23"/>
  <c r="C624" i="23"/>
  <c r="E624" i="23" s="1"/>
  <c r="P621" i="23"/>
  <c r="N622" i="23"/>
  <c r="L623" i="23"/>
  <c r="I623" i="23" s="1"/>
  <c r="D623" i="23"/>
  <c r="F623" i="23" s="1"/>
  <c r="B629" i="28" l="1"/>
  <c r="D628" i="28"/>
  <c r="F628" i="28" s="1"/>
  <c r="J628" i="28" s="1"/>
  <c r="P628" i="28" s="1"/>
  <c r="A630" i="28"/>
  <c r="C629" i="28"/>
  <c r="E629" i="28" s="1"/>
  <c r="I629" i="28" s="1"/>
  <c r="L630" i="28"/>
  <c r="N629" i="28"/>
  <c r="J623" i="23"/>
  <c r="C625" i="23"/>
  <c r="E625" i="23" s="1"/>
  <c r="P622" i="23"/>
  <c r="N623" i="23"/>
  <c r="L624" i="23"/>
  <c r="I624" i="23" s="1"/>
  <c r="D624" i="23"/>
  <c r="F624" i="23" s="1"/>
  <c r="B630" i="28" l="1"/>
  <c r="D629" i="28"/>
  <c r="F629" i="28" s="1"/>
  <c r="J629" i="28" s="1"/>
  <c r="P629" i="28" s="1"/>
  <c r="A631" i="28"/>
  <c r="C630" i="28"/>
  <c r="E630" i="28" s="1"/>
  <c r="I630" i="28" s="1"/>
  <c r="N630" i="28"/>
  <c r="L631" i="28"/>
  <c r="J624" i="23"/>
  <c r="C626" i="23"/>
  <c r="E626" i="23" s="1"/>
  <c r="P623" i="23"/>
  <c r="N624" i="23"/>
  <c r="L625" i="23"/>
  <c r="I625" i="23" s="1"/>
  <c r="D625" i="23"/>
  <c r="F625" i="23" s="1"/>
  <c r="D630" i="28" l="1"/>
  <c r="F630" i="28" s="1"/>
  <c r="J630" i="28" s="1"/>
  <c r="P630" i="28" s="1"/>
  <c r="B631" i="28"/>
  <c r="A632" i="28"/>
  <c r="C631" i="28"/>
  <c r="E631" i="28" s="1"/>
  <c r="I631" i="28" s="1"/>
  <c r="L632" i="28"/>
  <c r="N631" i="28"/>
  <c r="J625" i="23"/>
  <c r="C627" i="23"/>
  <c r="E627" i="23" s="1"/>
  <c r="P624" i="23"/>
  <c r="N625" i="23"/>
  <c r="L626" i="23"/>
  <c r="I626" i="23" s="1"/>
  <c r="D626" i="23"/>
  <c r="F626" i="23" s="1"/>
  <c r="D631" i="28" l="1"/>
  <c r="F631" i="28" s="1"/>
  <c r="J631" i="28" s="1"/>
  <c r="P631" i="28" s="1"/>
  <c r="B632" i="28"/>
  <c r="A633" i="28"/>
  <c r="C632" i="28"/>
  <c r="E632" i="28" s="1"/>
  <c r="I632" i="28" s="1"/>
  <c r="L633" i="28"/>
  <c r="N632" i="28"/>
  <c r="J626" i="23"/>
  <c r="C628" i="23"/>
  <c r="E628" i="23" s="1"/>
  <c r="P625" i="23"/>
  <c r="N626" i="23"/>
  <c r="L627" i="23"/>
  <c r="I627" i="23" s="1"/>
  <c r="D627" i="23"/>
  <c r="F627" i="23" s="1"/>
  <c r="B633" i="28" l="1"/>
  <c r="D632" i="28"/>
  <c r="F632" i="28" s="1"/>
  <c r="J632" i="28" s="1"/>
  <c r="P632" i="28" s="1"/>
  <c r="A634" i="28"/>
  <c r="C633" i="28"/>
  <c r="E633" i="28" s="1"/>
  <c r="I633" i="28" s="1"/>
  <c r="L634" i="28"/>
  <c r="N633" i="28"/>
  <c r="J627" i="23"/>
  <c r="C629" i="23"/>
  <c r="E629" i="23" s="1"/>
  <c r="P626" i="23"/>
  <c r="N627" i="23"/>
  <c r="L628" i="23"/>
  <c r="I628" i="23" s="1"/>
  <c r="D628" i="23"/>
  <c r="F628" i="23" s="1"/>
  <c r="D633" i="28" l="1"/>
  <c r="F633" i="28" s="1"/>
  <c r="J633" i="28" s="1"/>
  <c r="P633" i="28" s="1"/>
  <c r="B634" i="28"/>
  <c r="A635" i="28"/>
  <c r="C634" i="28"/>
  <c r="E634" i="28" s="1"/>
  <c r="I634" i="28" s="1"/>
  <c r="L635" i="28"/>
  <c r="N634" i="28"/>
  <c r="J628" i="23"/>
  <c r="C630" i="23"/>
  <c r="E630" i="23" s="1"/>
  <c r="P627" i="23"/>
  <c r="N628" i="23"/>
  <c r="L629" i="23"/>
  <c r="I629" i="23" s="1"/>
  <c r="D629" i="23"/>
  <c r="F629" i="23" s="1"/>
  <c r="B635" i="28" l="1"/>
  <c r="D634" i="28"/>
  <c r="F634" i="28" s="1"/>
  <c r="J634" i="28" s="1"/>
  <c r="P634" i="28" s="1"/>
  <c r="A636" i="28"/>
  <c r="C635" i="28"/>
  <c r="E635" i="28" s="1"/>
  <c r="I635" i="28" s="1"/>
  <c r="L636" i="28"/>
  <c r="N635" i="28"/>
  <c r="J629" i="23"/>
  <c r="C631" i="23"/>
  <c r="E631" i="23" s="1"/>
  <c r="P628" i="23"/>
  <c r="N629" i="23"/>
  <c r="L630" i="23"/>
  <c r="I630" i="23" s="1"/>
  <c r="D630" i="23"/>
  <c r="F630" i="23" s="1"/>
  <c r="D635" i="28" l="1"/>
  <c r="F635" i="28" s="1"/>
  <c r="J635" i="28" s="1"/>
  <c r="P635" i="28" s="1"/>
  <c r="B636" i="28"/>
  <c r="A637" i="28"/>
  <c r="C636" i="28"/>
  <c r="E636" i="28" s="1"/>
  <c r="I636" i="28" s="1"/>
  <c r="L637" i="28"/>
  <c r="N636" i="28"/>
  <c r="J630" i="23"/>
  <c r="C632" i="23"/>
  <c r="E632" i="23" s="1"/>
  <c r="P629" i="23"/>
  <c r="N630" i="23"/>
  <c r="L631" i="23"/>
  <c r="I631" i="23" s="1"/>
  <c r="D631" i="23"/>
  <c r="F631" i="23" s="1"/>
  <c r="D636" i="28" l="1"/>
  <c r="F636" i="28" s="1"/>
  <c r="J636" i="28" s="1"/>
  <c r="P636" i="28" s="1"/>
  <c r="B637" i="28"/>
  <c r="A638" i="28"/>
  <c r="C637" i="28"/>
  <c r="E637" i="28" s="1"/>
  <c r="I637" i="28" s="1"/>
  <c r="L638" i="28"/>
  <c r="N637" i="28"/>
  <c r="J631" i="23"/>
  <c r="C633" i="23"/>
  <c r="E633" i="23" s="1"/>
  <c r="P630" i="23"/>
  <c r="N631" i="23"/>
  <c r="L632" i="23"/>
  <c r="I632" i="23" s="1"/>
  <c r="D632" i="23"/>
  <c r="F632" i="23" s="1"/>
  <c r="D637" i="28" l="1"/>
  <c r="F637" i="28" s="1"/>
  <c r="J637" i="28" s="1"/>
  <c r="P637" i="28" s="1"/>
  <c r="B638" i="28"/>
  <c r="A639" i="28"/>
  <c r="C638" i="28"/>
  <c r="E638" i="28" s="1"/>
  <c r="I638" i="28" s="1"/>
  <c r="L639" i="28"/>
  <c r="N638" i="28"/>
  <c r="J632" i="23"/>
  <c r="C634" i="23"/>
  <c r="E634" i="23" s="1"/>
  <c r="P631" i="23"/>
  <c r="N632" i="23"/>
  <c r="L633" i="23"/>
  <c r="I633" i="23" s="1"/>
  <c r="D633" i="23"/>
  <c r="F633" i="23" s="1"/>
  <c r="B639" i="28" l="1"/>
  <c r="D638" i="28"/>
  <c r="F638" i="28" s="1"/>
  <c r="J638" i="28" s="1"/>
  <c r="P638" i="28" s="1"/>
  <c r="A640" i="28"/>
  <c r="C639" i="28"/>
  <c r="E639" i="28" s="1"/>
  <c r="I639" i="28" s="1"/>
  <c r="L640" i="28"/>
  <c r="N639" i="28"/>
  <c r="J633" i="23"/>
  <c r="C635" i="23"/>
  <c r="E635" i="23" s="1"/>
  <c r="P632" i="23"/>
  <c r="N633" i="23"/>
  <c r="L634" i="23"/>
  <c r="I634" i="23" s="1"/>
  <c r="D634" i="23"/>
  <c r="F634" i="23" s="1"/>
  <c r="D639" i="28" l="1"/>
  <c r="F639" i="28" s="1"/>
  <c r="J639" i="28" s="1"/>
  <c r="P639" i="28" s="1"/>
  <c r="B640" i="28"/>
  <c r="A641" i="28"/>
  <c r="C640" i="28"/>
  <c r="E640" i="28" s="1"/>
  <c r="I640" i="28" s="1"/>
  <c r="N640" i="28"/>
  <c r="L641" i="28"/>
  <c r="J634" i="23"/>
  <c r="C636" i="23"/>
  <c r="E636" i="23" s="1"/>
  <c r="P633" i="23"/>
  <c r="N634" i="23"/>
  <c r="L635" i="23"/>
  <c r="I635" i="23" s="1"/>
  <c r="D635" i="23"/>
  <c r="F635" i="23" s="1"/>
  <c r="D640" i="28" l="1"/>
  <c r="F640" i="28" s="1"/>
  <c r="J640" i="28" s="1"/>
  <c r="P640" i="28" s="1"/>
  <c r="B641" i="28"/>
  <c r="A642" i="28"/>
  <c r="C641" i="28"/>
  <c r="E641" i="28" s="1"/>
  <c r="I641" i="28" s="1"/>
  <c r="L642" i="28"/>
  <c r="N641" i="28"/>
  <c r="J635" i="23"/>
  <c r="C637" i="23"/>
  <c r="E637" i="23" s="1"/>
  <c r="P634" i="23"/>
  <c r="N635" i="23"/>
  <c r="L636" i="23"/>
  <c r="I636" i="23" s="1"/>
  <c r="D636" i="23"/>
  <c r="F636" i="23" s="1"/>
  <c r="D641" i="28" l="1"/>
  <c r="F641" i="28" s="1"/>
  <c r="J641" i="28" s="1"/>
  <c r="P641" i="28" s="1"/>
  <c r="B642" i="28"/>
  <c r="A643" i="28"/>
  <c r="C642" i="28"/>
  <c r="E642" i="28" s="1"/>
  <c r="I642" i="28" s="1"/>
  <c r="N642" i="28"/>
  <c r="L643" i="28"/>
  <c r="J636" i="23"/>
  <c r="C638" i="23"/>
  <c r="E638" i="23" s="1"/>
  <c r="P635" i="23"/>
  <c r="N636" i="23"/>
  <c r="L637" i="23"/>
  <c r="I637" i="23" s="1"/>
  <c r="D637" i="23"/>
  <c r="F637" i="23" s="1"/>
  <c r="D642" i="28" l="1"/>
  <c r="F642" i="28" s="1"/>
  <c r="J642" i="28" s="1"/>
  <c r="P642" i="28" s="1"/>
  <c r="B643" i="28"/>
  <c r="A644" i="28"/>
  <c r="C643" i="28"/>
  <c r="E643" i="28" s="1"/>
  <c r="I643" i="28" s="1"/>
  <c r="N643" i="28"/>
  <c r="L644" i="28"/>
  <c r="J637" i="23"/>
  <c r="C639" i="23"/>
  <c r="E639" i="23" s="1"/>
  <c r="P636" i="23"/>
  <c r="N637" i="23"/>
  <c r="L638" i="23"/>
  <c r="I638" i="23" s="1"/>
  <c r="D638" i="23"/>
  <c r="F638" i="23" s="1"/>
  <c r="D643" i="28" l="1"/>
  <c r="F643" i="28" s="1"/>
  <c r="J643" i="28" s="1"/>
  <c r="P643" i="28" s="1"/>
  <c r="B644" i="28"/>
  <c r="A645" i="28"/>
  <c r="C644" i="28"/>
  <c r="E644" i="28" s="1"/>
  <c r="I644" i="28" s="1"/>
  <c r="N644" i="28"/>
  <c r="L645" i="28"/>
  <c r="J638" i="23"/>
  <c r="C640" i="23"/>
  <c r="E640" i="23" s="1"/>
  <c r="P637" i="23"/>
  <c r="N638" i="23"/>
  <c r="L639" i="23"/>
  <c r="I639" i="23" s="1"/>
  <c r="D639" i="23"/>
  <c r="F639" i="23" s="1"/>
  <c r="B645" i="28" l="1"/>
  <c r="D644" i="28"/>
  <c r="F644" i="28" s="1"/>
  <c r="J644" i="28" s="1"/>
  <c r="P644" i="28" s="1"/>
  <c r="A646" i="28"/>
  <c r="C645" i="28"/>
  <c r="E645" i="28" s="1"/>
  <c r="I645" i="28" s="1"/>
  <c r="N645" i="28"/>
  <c r="L646" i="28"/>
  <c r="J639" i="23"/>
  <c r="C641" i="23"/>
  <c r="E641" i="23" s="1"/>
  <c r="P638" i="23"/>
  <c r="N639" i="23"/>
  <c r="L640" i="23"/>
  <c r="I640" i="23" s="1"/>
  <c r="D640" i="23"/>
  <c r="F640" i="23" s="1"/>
  <c r="D645" i="28" l="1"/>
  <c r="F645" i="28" s="1"/>
  <c r="J645" i="28" s="1"/>
  <c r="P645" i="28" s="1"/>
  <c r="B646" i="28"/>
  <c r="A647" i="28"/>
  <c r="C646" i="28"/>
  <c r="E646" i="28" s="1"/>
  <c r="I646" i="28" s="1"/>
  <c r="L647" i="28"/>
  <c r="N646" i="28"/>
  <c r="J640" i="23"/>
  <c r="C642" i="23"/>
  <c r="E642" i="23" s="1"/>
  <c r="P639" i="23"/>
  <c r="N640" i="23"/>
  <c r="L641" i="23"/>
  <c r="I641" i="23" s="1"/>
  <c r="D641" i="23"/>
  <c r="F641" i="23" s="1"/>
  <c r="D646" i="28" l="1"/>
  <c r="F646" i="28" s="1"/>
  <c r="J646" i="28" s="1"/>
  <c r="P646" i="28" s="1"/>
  <c r="B647" i="28"/>
  <c r="A648" i="28"/>
  <c r="C647" i="28"/>
  <c r="E647" i="28" s="1"/>
  <c r="I647" i="28" s="1"/>
  <c r="L648" i="28"/>
  <c r="N647" i="28"/>
  <c r="J641" i="23"/>
  <c r="C643" i="23"/>
  <c r="E643" i="23" s="1"/>
  <c r="P640" i="23"/>
  <c r="N641" i="23"/>
  <c r="L642" i="23"/>
  <c r="I642" i="23" s="1"/>
  <c r="D642" i="23"/>
  <c r="F642" i="23" s="1"/>
  <c r="D647" i="28" l="1"/>
  <c r="F647" i="28" s="1"/>
  <c r="J647" i="28" s="1"/>
  <c r="P647" i="28" s="1"/>
  <c r="B648" i="28"/>
  <c r="A649" i="28"/>
  <c r="C648" i="28"/>
  <c r="E648" i="28" s="1"/>
  <c r="I648" i="28" s="1"/>
  <c r="L649" i="28"/>
  <c r="N648" i="28"/>
  <c r="J642" i="23"/>
  <c r="C644" i="23"/>
  <c r="E644" i="23" s="1"/>
  <c r="P641" i="23"/>
  <c r="N642" i="23"/>
  <c r="L643" i="23"/>
  <c r="I643" i="23" s="1"/>
  <c r="D643" i="23"/>
  <c r="F643" i="23" s="1"/>
  <c r="B649" i="28" l="1"/>
  <c r="D648" i="28"/>
  <c r="F648" i="28" s="1"/>
  <c r="J648" i="28" s="1"/>
  <c r="P648" i="28" s="1"/>
  <c r="A650" i="28"/>
  <c r="C649" i="28"/>
  <c r="E649" i="28" s="1"/>
  <c r="I649" i="28" s="1"/>
  <c r="L650" i="28"/>
  <c r="N649" i="28"/>
  <c r="J643" i="23"/>
  <c r="C645" i="23"/>
  <c r="E645" i="23" s="1"/>
  <c r="P642" i="23"/>
  <c r="N643" i="23"/>
  <c r="L644" i="23"/>
  <c r="I644" i="23" s="1"/>
  <c r="D644" i="23"/>
  <c r="F644" i="23" s="1"/>
  <c r="D649" i="28" l="1"/>
  <c r="F649" i="28" s="1"/>
  <c r="J649" i="28" s="1"/>
  <c r="P649" i="28" s="1"/>
  <c r="B650" i="28"/>
  <c r="A651" i="28"/>
  <c r="C650" i="28"/>
  <c r="E650" i="28" s="1"/>
  <c r="I650" i="28" s="1"/>
  <c r="L651" i="28"/>
  <c r="N650" i="28"/>
  <c r="J644" i="23"/>
  <c r="C646" i="23"/>
  <c r="E646" i="23" s="1"/>
  <c r="P643" i="23"/>
  <c r="N644" i="23"/>
  <c r="L645" i="23"/>
  <c r="I645" i="23" s="1"/>
  <c r="D645" i="23"/>
  <c r="F645" i="23" s="1"/>
  <c r="B651" i="28" l="1"/>
  <c r="D650" i="28"/>
  <c r="F650" i="28" s="1"/>
  <c r="J650" i="28" s="1"/>
  <c r="P650" i="28" s="1"/>
  <c r="A652" i="28"/>
  <c r="C651" i="28"/>
  <c r="E651" i="28" s="1"/>
  <c r="I651" i="28" s="1"/>
  <c r="L652" i="28"/>
  <c r="N651" i="28"/>
  <c r="J645" i="23"/>
  <c r="C647" i="23"/>
  <c r="E647" i="23" s="1"/>
  <c r="P644" i="23"/>
  <c r="N645" i="23"/>
  <c r="L646" i="23"/>
  <c r="I646" i="23" s="1"/>
  <c r="D646" i="23"/>
  <c r="F646" i="23" s="1"/>
  <c r="D651" i="28" l="1"/>
  <c r="F651" i="28" s="1"/>
  <c r="J651" i="28" s="1"/>
  <c r="P651" i="28" s="1"/>
  <c r="B652" i="28"/>
  <c r="A653" i="28"/>
  <c r="C652" i="28"/>
  <c r="E652" i="28" s="1"/>
  <c r="I652" i="28" s="1"/>
  <c r="L653" i="28"/>
  <c r="N652" i="28"/>
  <c r="J646" i="23"/>
  <c r="C648" i="23"/>
  <c r="E648" i="23" s="1"/>
  <c r="P645" i="23"/>
  <c r="N646" i="23"/>
  <c r="L647" i="23"/>
  <c r="I647" i="23" s="1"/>
  <c r="D647" i="23"/>
  <c r="F647" i="23" s="1"/>
  <c r="B653" i="28" l="1"/>
  <c r="D652" i="28"/>
  <c r="F652" i="28" s="1"/>
  <c r="J652" i="28" s="1"/>
  <c r="P652" i="28" s="1"/>
  <c r="A654" i="28"/>
  <c r="C653" i="28"/>
  <c r="E653" i="28" s="1"/>
  <c r="I653" i="28" s="1"/>
  <c r="N653" i="28"/>
  <c r="L654" i="28"/>
  <c r="J647" i="23"/>
  <c r="C649" i="23"/>
  <c r="E649" i="23" s="1"/>
  <c r="P646" i="23"/>
  <c r="N647" i="23"/>
  <c r="L648" i="23"/>
  <c r="I648" i="23" s="1"/>
  <c r="D648" i="23"/>
  <c r="F648" i="23" s="1"/>
  <c r="B654" i="28" l="1"/>
  <c r="D653" i="28"/>
  <c r="F653" i="28" s="1"/>
  <c r="J653" i="28" s="1"/>
  <c r="P653" i="28" s="1"/>
  <c r="A655" i="28"/>
  <c r="C654" i="28"/>
  <c r="E654" i="28" s="1"/>
  <c r="I654" i="28" s="1"/>
  <c r="L655" i="28"/>
  <c r="N654" i="28"/>
  <c r="J648" i="23"/>
  <c r="C650" i="23"/>
  <c r="E650" i="23" s="1"/>
  <c r="P647" i="23"/>
  <c r="N648" i="23"/>
  <c r="L649" i="23"/>
  <c r="I649" i="23" s="1"/>
  <c r="D649" i="23"/>
  <c r="F649" i="23" s="1"/>
  <c r="D654" i="28" l="1"/>
  <c r="F654" i="28" s="1"/>
  <c r="J654" i="28" s="1"/>
  <c r="P654" i="28" s="1"/>
  <c r="B655" i="28"/>
  <c r="A656" i="28"/>
  <c r="C655" i="28"/>
  <c r="E655" i="28" s="1"/>
  <c r="I655" i="28" s="1"/>
  <c r="L656" i="28"/>
  <c r="N655" i="28"/>
  <c r="J649" i="23"/>
  <c r="C651" i="23"/>
  <c r="E651" i="23" s="1"/>
  <c r="P648" i="23"/>
  <c r="N649" i="23"/>
  <c r="L650" i="23"/>
  <c r="I650" i="23" s="1"/>
  <c r="D650" i="23"/>
  <c r="F650" i="23" s="1"/>
  <c r="B656" i="28" l="1"/>
  <c r="D655" i="28"/>
  <c r="F655" i="28" s="1"/>
  <c r="J655" i="28" s="1"/>
  <c r="P655" i="28" s="1"/>
  <c r="A657" i="28"/>
  <c r="C656" i="28"/>
  <c r="E656" i="28" s="1"/>
  <c r="I656" i="28" s="1"/>
  <c r="L657" i="28"/>
  <c r="N656" i="28"/>
  <c r="J650" i="23"/>
  <c r="C652" i="23"/>
  <c r="E652" i="23" s="1"/>
  <c r="P649" i="23"/>
  <c r="N650" i="23"/>
  <c r="L651" i="23"/>
  <c r="I651" i="23" s="1"/>
  <c r="D651" i="23"/>
  <c r="F651" i="23" s="1"/>
  <c r="B657" i="28" l="1"/>
  <c r="D656" i="28"/>
  <c r="F656" i="28" s="1"/>
  <c r="J656" i="28" s="1"/>
  <c r="P656" i="28" s="1"/>
  <c r="A658" i="28"/>
  <c r="C657" i="28"/>
  <c r="E657" i="28" s="1"/>
  <c r="I657" i="28" s="1"/>
  <c r="N657" i="28"/>
  <c r="L658" i="28"/>
  <c r="J651" i="23"/>
  <c r="C653" i="23"/>
  <c r="E653" i="23" s="1"/>
  <c r="P650" i="23"/>
  <c r="N651" i="23"/>
  <c r="L652" i="23"/>
  <c r="I652" i="23" s="1"/>
  <c r="D652" i="23"/>
  <c r="F652" i="23" s="1"/>
  <c r="D657" i="28" l="1"/>
  <c r="F657" i="28" s="1"/>
  <c r="J657" i="28" s="1"/>
  <c r="P657" i="28" s="1"/>
  <c r="B658" i="28"/>
  <c r="A659" i="28"/>
  <c r="C658" i="28"/>
  <c r="E658" i="28" s="1"/>
  <c r="I658" i="28" s="1"/>
  <c r="L659" i="28"/>
  <c r="N658" i="28"/>
  <c r="J652" i="23"/>
  <c r="C654" i="23"/>
  <c r="E654" i="23" s="1"/>
  <c r="P651" i="23"/>
  <c r="N652" i="23"/>
  <c r="L653" i="23"/>
  <c r="I653" i="23" s="1"/>
  <c r="D653" i="23"/>
  <c r="F653" i="23" s="1"/>
  <c r="B659" i="28" l="1"/>
  <c r="D658" i="28"/>
  <c r="F658" i="28" s="1"/>
  <c r="J658" i="28" s="1"/>
  <c r="P658" i="28" s="1"/>
  <c r="A660" i="28"/>
  <c r="C659" i="28"/>
  <c r="E659" i="28" s="1"/>
  <c r="I659" i="28" s="1"/>
  <c r="L660" i="28"/>
  <c r="N659" i="28"/>
  <c r="J653" i="23"/>
  <c r="C655" i="23"/>
  <c r="E655" i="23" s="1"/>
  <c r="P652" i="23"/>
  <c r="N653" i="23"/>
  <c r="L654" i="23"/>
  <c r="I654" i="23" s="1"/>
  <c r="D654" i="23"/>
  <c r="F654" i="23" s="1"/>
  <c r="B660" i="28" l="1"/>
  <c r="D659" i="28"/>
  <c r="F659" i="28" s="1"/>
  <c r="J659" i="28" s="1"/>
  <c r="P659" i="28" s="1"/>
  <c r="A661" i="28"/>
  <c r="C660" i="28"/>
  <c r="E660" i="28" s="1"/>
  <c r="I660" i="28" s="1"/>
  <c r="L661" i="28"/>
  <c r="N660" i="28"/>
  <c r="J654" i="23"/>
  <c r="C656" i="23"/>
  <c r="E656" i="23" s="1"/>
  <c r="P653" i="23"/>
  <c r="N654" i="23"/>
  <c r="L655" i="23"/>
  <c r="I655" i="23" s="1"/>
  <c r="D655" i="23"/>
  <c r="F655" i="23" s="1"/>
  <c r="D660" i="28" l="1"/>
  <c r="F660" i="28" s="1"/>
  <c r="J660" i="28" s="1"/>
  <c r="P660" i="28" s="1"/>
  <c r="B661" i="28"/>
  <c r="A662" i="28"/>
  <c r="C661" i="28"/>
  <c r="E661" i="28" s="1"/>
  <c r="I661" i="28" s="1"/>
  <c r="N661" i="28"/>
  <c r="L662" i="28"/>
  <c r="J655" i="23"/>
  <c r="C657" i="23"/>
  <c r="E657" i="23" s="1"/>
  <c r="P654" i="23"/>
  <c r="N655" i="23"/>
  <c r="L656" i="23"/>
  <c r="I656" i="23" s="1"/>
  <c r="D656" i="23"/>
  <c r="F656" i="23" s="1"/>
  <c r="D661" i="28" l="1"/>
  <c r="F661" i="28" s="1"/>
  <c r="J661" i="28" s="1"/>
  <c r="P661" i="28" s="1"/>
  <c r="B662" i="28"/>
  <c r="A663" i="28"/>
  <c r="C662" i="28"/>
  <c r="E662" i="28" s="1"/>
  <c r="I662" i="28" s="1"/>
  <c r="L663" i="28"/>
  <c r="N662" i="28"/>
  <c r="J656" i="23"/>
  <c r="C658" i="23"/>
  <c r="E658" i="23" s="1"/>
  <c r="P655" i="23"/>
  <c r="N656" i="23"/>
  <c r="L657" i="23"/>
  <c r="I657" i="23" s="1"/>
  <c r="D657" i="23"/>
  <c r="F657" i="23" s="1"/>
  <c r="D662" i="28" l="1"/>
  <c r="F662" i="28" s="1"/>
  <c r="J662" i="28" s="1"/>
  <c r="P662" i="28" s="1"/>
  <c r="B663" i="28"/>
  <c r="A664" i="28"/>
  <c r="C663" i="28"/>
  <c r="E663" i="28" s="1"/>
  <c r="I663" i="28" s="1"/>
  <c r="L664" i="28"/>
  <c r="N663" i="28"/>
  <c r="J657" i="23"/>
  <c r="C659" i="23"/>
  <c r="E659" i="23" s="1"/>
  <c r="P656" i="23"/>
  <c r="N657" i="23"/>
  <c r="L658" i="23"/>
  <c r="I658" i="23" s="1"/>
  <c r="D658" i="23"/>
  <c r="F658" i="23" s="1"/>
  <c r="D663" i="28" l="1"/>
  <c r="F663" i="28" s="1"/>
  <c r="J663" i="28" s="1"/>
  <c r="P663" i="28" s="1"/>
  <c r="B664" i="28"/>
  <c r="A665" i="28"/>
  <c r="C664" i="28"/>
  <c r="E664" i="28" s="1"/>
  <c r="I664" i="28" s="1"/>
  <c r="L665" i="28"/>
  <c r="N664" i="28"/>
  <c r="J658" i="23"/>
  <c r="C660" i="23"/>
  <c r="E660" i="23" s="1"/>
  <c r="P657" i="23"/>
  <c r="N658" i="23"/>
  <c r="L659" i="23"/>
  <c r="I659" i="23" s="1"/>
  <c r="D659" i="23"/>
  <c r="F659" i="23" s="1"/>
  <c r="B665" i="28" l="1"/>
  <c r="D664" i="28"/>
  <c r="F664" i="28" s="1"/>
  <c r="J664" i="28" s="1"/>
  <c r="P664" i="28" s="1"/>
  <c r="A666" i="28"/>
  <c r="C665" i="28"/>
  <c r="E665" i="28" s="1"/>
  <c r="I665" i="28" s="1"/>
  <c r="N665" i="28"/>
  <c r="L666" i="28"/>
  <c r="J659" i="23"/>
  <c r="C661" i="23"/>
  <c r="E661" i="23" s="1"/>
  <c r="P658" i="23"/>
  <c r="N659" i="23"/>
  <c r="L660" i="23"/>
  <c r="I660" i="23" s="1"/>
  <c r="D660" i="23"/>
  <c r="F660" i="23" s="1"/>
  <c r="D665" i="28" l="1"/>
  <c r="F665" i="28" s="1"/>
  <c r="J665" i="28" s="1"/>
  <c r="P665" i="28" s="1"/>
  <c r="B666" i="28"/>
  <c r="A667" i="28"/>
  <c r="C666" i="28"/>
  <c r="E666" i="28" s="1"/>
  <c r="I666" i="28" s="1"/>
  <c r="L667" i="28"/>
  <c r="N666" i="28"/>
  <c r="J660" i="23"/>
  <c r="C662" i="23"/>
  <c r="E662" i="23" s="1"/>
  <c r="P659" i="23"/>
  <c r="N660" i="23"/>
  <c r="L661" i="23"/>
  <c r="I661" i="23" s="1"/>
  <c r="D661" i="23"/>
  <c r="F661" i="23" s="1"/>
  <c r="D666" i="28" l="1"/>
  <c r="F666" i="28" s="1"/>
  <c r="J666" i="28" s="1"/>
  <c r="P666" i="28" s="1"/>
  <c r="B667" i="28"/>
  <c r="A668" i="28"/>
  <c r="C667" i="28"/>
  <c r="E667" i="28" s="1"/>
  <c r="I667" i="28" s="1"/>
  <c r="L668" i="28"/>
  <c r="N667" i="28"/>
  <c r="J661" i="23"/>
  <c r="C663" i="23"/>
  <c r="E663" i="23" s="1"/>
  <c r="P660" i="23"/>
  <c r="N661" i="23"/>
  <c r="L662" i="23"/>
  <c r="I662" i="23" s="1"/>
  <c r="D662" i="23"/>
  <c r="F662" i="23" s="1"/>
  <c r="D667" i="28" l="1"/>
  <c r="F667" i="28" s="1"/>
  <c r="J667" i="28" s="1"/>
  <c r="P667" i="28" s="1"/>
  <c r="B668" i="28"/>
  <c r="A669" i="28"/>
  <c r="C668" i="28"/>
  <c r="E668" i="28" s="1"/>
  <c r="I668" i="28" s="1"/>
  <c r="L669" i="28"/>
  <c r="N668" i="28"/>
  <c r="J662" i="23"/>
  <c r="C664" i="23"/>
  <c r="E664" i="23" s="1"/>
  <c r="P661" i="23"/>
  <c r="N662" i="23"/>
  <c r="L663" i="23"/>
  <c r="I663" i="23" s="1"/>
  <c r="D663" i="23"/>
  <c r="F663" i="23" s="1"/>
  <c r="B669" i="28" l="1"/>
  <c r="D668" i="28"/>
  <c r="F668" i="28" s="1"/>
  <c r="J668" i="28" s="1"/>
  <c r="P668" i="28" s="1"/>
  <c r="A670" i="28"/>
  <c r="C669" i="28"/>
  <c r="E669" i="28" s="1"/>
  <c r="I669" i="28" s="1"/>
  <c r="N669" i="28"/>
  <c r="L670" i="28"/>
  <c r="J663" i="23"/>
  <c r="C665" i="23"/>
  <c r="E665" i="23" s="1"/>
  <c r="P662" i="23"/>
  <c r="N663" i="23"/>
  <c r="L664" i="23"/>
  <c r="I664" i="23" s="1"/>
  <c r="D664" i="23"/>
  <c r="F664" i="23" s="1"/>
  <c r="B670" i="28" l="1"/>
  <c r="D669" i="28"/>
  <c r="F669" i="28" s="1"/>
  <c r="J669" i="28" s="1"/>
  <c r="P669" i="28" s="1"/>
  <c r="A671" i="28"/>
  <c r="C670" i="28"/>
  <c r="E670" i="28" s="1"/>
  <c r="I670" i="28" s="1"/>
  <c r="L671" i="28"/>
  <c r="N670" i="28"/>
  <c r="J664" i="23"/>
  <c r="C666" i="23"/>
  <c r="E666" i="23" s="1"/>
  <c r="P663" i="23"/>
  <c r="N664" i="23"/>
  <c r="L665" i="23"/>
  <c r="I665" i="23" s="1"/>
  <c r="D665" i="23"/>
  <c r="F665" i="23" s="1"/>
  <c r="B671" i="28" l="1"/>
  <c r="D670" i="28"/>
  <c r="F670" i="28" s="1"/>
  <c r="J670" i="28" s="1"/>
  <c r="P670" i="28" s="1"/>
  <c r="A672" i="28"/>
  <c r="C671" i="28"/>
  <c r="E671" i="28" s="1"/>
  <c r="I671" i="28" s="1"/>
  <c r="L672" i="28"/>
  <c r="N671" i="28"/>
  <c r="J665" i="23"/>
  <c r="C667" i="23"/>
  <c r="E667" i="23" s="1"/>
  <c r="P664" i="23"/>
  <c r="N665" i="23"/>
  <c r="L666" i="23"/>
  <c r="I666" i="23" s="1"/>
  <c r="D666" i="23"/>
  <c r="F666" i="23" s="1"/>
  <c r="B672" i="28" l="1"/>
  <c r="D671" i="28"/>
  <c r="F671" i="28" s="1"/>
  <c r="J671" i="28" s="1"/>
  <c r="P671" i="28" s="1"/>
  <c r="A673" i="28"/>
  <c r="C672" i="28"/>
  <c r="E672" i="28" s="1"/>
  <c r="I672" i="28" s="1"/>
  <c r="L673" i="28"/>
  <c r="N672" i="28"/>
  <c r="J666" i="23"/>
  <c r="C668" i="23"/>
  <c r="E668" i="23" s="1"/>
  <c r="P665" i="23"/>
  <c r="N666" i="23"/>
  <c r="L667" i="23"/>
  <c r="I667" i="23" s="1"/>
  <c r="D667" i="23"/>
  <c r="F667" i="23" s="1"/>
  <c r="D672" i="28" l="1"/>
  <c r="F672" i="28" s="1"/>
  <c r="J672" i="28" s="1"/>
  <c r="P672" i="28" s="1"/>
  <c r="B673" i="28"/>
  <c r="A674" i="28"/>
  <c r="C673" i="28"/>
  <c r="E673" i="28" s="1"/>
  <c r="I673" i="28" s="1"/>
  <c r="L674" i="28"/>
  <c r="N673" i="28"/>
  <c r="J667" i="23"/>
  <c r="C669" i="23"/>
  <c r="E669" i="23" s="1"/>
  <c r="P666" i="23"/>
  <c r="N667" i="23"/>
  <c r="L668" i="23"/>
  <c r="I668" i="23" s="1"/>
  <c r="D668" i="23"/>
  <c r="F668" i="23" s="1"/>
  <c r="B674" i="28" l="1"/>
  <c r="D673" i="28"/>
  <c r="F673" i="28" s="1"/>
  <c r="J673" i="28" s="1"/>
  <c r="P673" i="28" s="1"/>
  <c r="A675" i="28"/>
  <c r="C674" i="28"/>
  <c r="E674" i="28" s="1"/>
  <c r="I674" i="28" s="1"/>
  <c r="L675" i="28"/>
  <c r="N674" i="28"/>
  <c r="J668" i="23"/>
  <c r="C670" i="23"/>
  <c r="E670" i="23" s="1"/>
  <c r="P667" i="23"/>
  <c r="N668" i="23"/>
  <c r="L669" i="23"/>
  <c r="I669" i="23" s="1"/>
  <c r="D669" i="23"/>
  <c r="F669" i="23" s="1"/>
  <c r="B675" i="28" l="1"/>
  <c r="D674" i="28"/>
  <c r="F674" i="28" s="1"/>
  <c r="J674" i="28" s="1"/>
  <c r="P674" i="28" s="1"/>
  <c r="A676" i="28"/>
  <c r="C675" i="28"/>
  <c r="E675" i="28" s="1"/>
  <c r="I675" i="28" s="1"/>
  <c r="N675" i="28"/>
  <c r="L676" i="28"/>
  <c r="J669" i="23"/>
  <c r="C671" i="23"/>
  <c r="E671" i="23" s="1"/>
  <c r="P668" i="23"/>
  <c r="N669" i="23"/>
  <c r="L670" i="23"/>
  <c r="I670" i="23" s="1"/>
  <c r="D670" i="23"/>
  <c r="F670" i="23" s="1"/>
  <c r="B676" i="28" l="1"/>
  <c r="D675" i="28"/>
  <c r="F675" i="28" s="1"/>
  <c r="J675" i="28" s="1"/>
  <c r="P675" i="28" s="1"/>
  <c r="A677" i="28"/>
  <c r="C676" i="28"/>
  <c r="E676" i="28" s="1"/>
  <c r="I676" i="28" s="1"/>
  <c r="L677" i="28"/>
  <c r="N676" i="28"/>
  <c r="J670" i="23"/>
  <c r="C672" i="23"/>
  <c r="E672" i="23" s="1"/>
  <c r="P669" i="23"/>
  <c r="N670" i="23"/>
  <c r="L671" i="23"/>
  <c r="I671" i="23" s="1"/>
  <c r="D671" i="23"/>
  <c r="F671" i="23" s="1"/>
  <c r="D676" i="28" l="1"/>
  <c r="F676" i="28" s="1"/>
  <c r="J676" i="28" s="1"/>
  <c r="P676" i="28" s="1"/>
  <c r="B677" i="28"/>
  <c r="A678" i="28"/>
  <c r="C677" i="28"/>
  <c r="E677" i="28" s="1"/>
  <c r="I677" i="28" s="1"/>
  <c r="L678" i="28"/>
  <c r="N677" i="28"/>
  <c r="J671" i="23"/>
  <c r="C673" i="23"/>
  <c r="E673" i="23" s="1"/>
  <c r="P670" i="23"/>
  <c r="N671" i="23"/>
  <c r="L672" i="23"/>
  <c r="I672" i="23" s="1"/>
  <c r="D672" i="23"/>
  <c r="F672" i="23" s="1"/>
  <c r="B678" i="28" l="1"/>
  <c r="D677" i="28"/>
  <c r="F677" i="28" s="1"/>
  <c r="J677" i="28" s="1"/>
  <c r="P677" i="28" s="1"/>
  <c r="A679" i="28"/>
  <c r="C678" i="28"/>
  <c r="E678" i="28" s="1"/>
  <c r="I678" i="28" s="1"/>
  <c r="L679" i="28"/>
  <c r="N678" i="28"/>
  <c r="J672" i="23"/>
  <c r="C674" i="23"/>
  <c r="E674" i="23" s="1"/>
  <c r="P671" i="23"/>
  <c r="N672" i="23"/>
  <c r="L673" i="23"/>
  <c r="I673" i="23" s="1"/>
  <c r="D673" i="23"/>
  <c r="F673" i="23" s="1"/>
  <c r="B679" i="28" l="1"/>
  <c r="D678" i="28"/>
  <c r="F678" i="28" s="1"/>
  <c r="J678" i="28" s="1"/>
  <c r="P678" i="28" s="1"/>
  <c r="A680" i="28"/>
  <c r="C679" i="28"/>
  <c r="E679" i="28" s="1"/>
  <c r="I679" i="28" s="1"/>
  <c r="L680" i="28"/>
  <c r="N679" i="28"/>
  <c r="J673" i="23"/>
  <c r="C675" i="23"/>
  <c r="E675" i="23" s="1"/>
  <c r="P672" i="23"/>
  <c r="N673" i="23"/>
  <c r="L674" i="23"/>
  <c r="I674" i="23" s="1"/>
  <c r="D674" i="23"/>
  <c r="F674" i="23" s="1"/>
  <c r="D679" i="28" l="1"/>
  <c r="F679" i="28" s="1"/>
  <c r="J679" i="28" s="1"/>
  <c r="P679" i="28" s="1"/>
  <c r="B680" i="28"/>
  <c r="A681" i="28"/>
  <c r="C680" i="28"/>
  <c r="E680" i="28" s="1"/>
  <c r="I680" i="28" s="1"/>
  <c r="L681" i="28"/>
  <c r="N680" i="28"/>
  <c r="J674" i="23"/>
  <c r="C676" i="23"/>
  <c r="E676" i="23" s="1"/>
  <c r="P673" i="23"/>
  <c r="N674" i="23"/>
  <c r="L675" i="23"/>
  <c r="I675" i="23" s="1"/>
  <c r="D675" i="23"/>
  <c r="F675" i="23" s="1"/>
  <c r="B681" i="28" l="1"/>
  <c r="D680" i="28"/>
  <c r="F680" i="28" s="1"/>
  <c r="J680" i="28" s="1"/>
  <c r="P680" i="28" s="1"/>
  <c r="A682" i="28"/>
  <c r="C681" i="28"/>
  <c r="E681" i="28" s="1"/>
  <c r="I681" i="28" s="1"/>
  <c r="N681" i="28"/>
  <c r="L682" i="28"/>
  <c r="J675" i="23"/>
  <c r="C677" i="23"/>
  <c r="E677" i="23" s="1"/>
  <c r="P674" i="23"/>
  <c r="N675" i="23"/>
  <c r="L676" i="23"/>
  <c r="I676" i="23" s="1"/>
  <c r="D676" i="23"/>
  <c r="F676" i="23" s="1"/>
  <c r="D681" i="28" l="1"/>
  <c r="F681" i="28" s="1"/>
  <c r="J681" i="28" s="1"/>
  <c r="P681" i="28" s="1"/>
  <c r="B682" i="28"/>
  <c r="A683" i="28"/>
  <c r="C682" i="28"/>
  <c r="E682" i="28" s="1"/>
  <c r="I682" i="28" s="1"/>
  <c r="L683" i="28"/>
  <c r="N682" i="28"/>
  <c r="J676" i="23"/>
  <c r="C678" i="23"/>
  <c r="E678" i="23" s="1"/>
  <c r="P675" i="23"/>
  <c r="N676" i="23"/>
  <c r="L677" i="23"/>
  <c r="I677" i="23" s="1"/>
  <c r="D677" i="23"/>
  <c r="F677" i="23" s="1"/>
  <c r="D682" i="28" l="1"/>
  <c r="F682" i="28" s="1"/>
  <c r="J682" i="28" s="1"/>
  <c r="P682" i="28" s="1"/>
  <c r="B683" i="28"/>
  <c r="A684" i="28"/>
  <c r="C683" i="28"/>
  <c r="E683" i="28" s="1"/>
  <c r="I683" i="28" s="1"/>
  <c r="N683" i="28"/>
  <c r="L684" i="28"/>
  <c r="J677" i="23"/>
  <c r="C679" i="23"/>
  <c r="E679" i="23" s="1"/>
  <c r="P676" i="23"/>
  <c r="N677" i="23"/>
  <c r="L678" i="23"/>
  <c r="I678" i="23" s="1"/>
  <c r="D678" i="23"/>
  <c r="F678" i="23" s="1"/>
  <c r="B684" i="28" l="1"/>
  <c r="D683" i="28"/>
  <c r="F683" i="28" s="1"/>
  <c r="J683" i="28" s="1"/>
  <c r="P683" i="28" s="1"/>
  <c r="A685" i="28"/>
  <c r="C684" i="28"/>
  <c r="E684" i="28" s="1"/>
  <c r="I684" i="28" s="1"/>
  <c r="L685" i="28"/>
  <c r="N684" i="28"/>
  <c r="J678" i="23"/>
  <c r="C680" i="23"/>
  <c r="E680" i="23" s="1"/>
  <c r="P677" i="23"/>
  <c r="N678" i="23"/>
  <c r="L679" i="23"/>
  <c r="I679" i="23" s="1"/>
  <c r="D679" i="23"/>
  <c r="F679" i="23" s="1"/>
  <c r="B685" i="28" l="1"/>
  <c r="D684" i="28"/>
  <c r="F684" i="28" s="1"/>
  <c r="J684" i="28" s="1"/>
  <c r="P684" i="28" s="1"/>
  <c r="A686" i="28"/>
  <c r="C685" i="28"/>
  <c r="E685" i="28" s="1"/>
  <c r="I685" i="28" s="1"/>
  <c r="L686" i="28"/>
  <c r="N685" i="28"/>
  <c r="J679" i="23"/>
  <c r="C681" i="23"/>
  <c r="E681" i="23" s="1"/>
  <c r="P678" i="23"/>
  <c r="N679" i="23"/>
  <c r="L680" i="23"/>
  <c r="I680" i="23" s="1"/>
  <c r="D680" i="23"/>
  <c r="F680" i="23" s="1"/>
  <c r="D685" i="28" l="1"/>
  <c r="F685" i="28" s="1"/>
  <c r="J685" i="28" s="1"/>
  <c r="P685" i="28" s="1"/>
  <c r="B686" i="28"/>
  <c r="A687" i="28"/>
  <c r="C686" i="28"/>
  <c r="E686" i="28" s="1"/>
  <c r="I686" i="28" s="1"/>
  <c r="L687" i="28"/>
  <c r="N686" i="28"/>
  <c r="J680" i="23"/>
  <c r="C682" i="23"/>
  <c r="E682" i="23" s="1"/>
  <c r="P679" i="23"/>
  <c r="N680" i="23"/>
  <c r="L681" i="23"/>
  <c r="I681" i="23" s="1"/>
  <c r="D681" i="23"/>
  <c r="F681" i="23" s="1"/>
  <c r="B687" i="28" l="1"/>
  <c r="D686" i="28"/>
  <c r="F686" i="28" s="1"/>
  <c r="J686" i="28" s="1"/>
  <c r="P686" i="28" s="1"/>
  <c r="A688" i="28"/>
  <c r="C687" i="28"/>
  <c r="E687" i="28" s="1"/>
  <c r="I687" i="28" s="1"/>
  <c r="L688" i="28"/>
  <c r="N687" i="28"/>
  <c r="J681" i="23"/>
  <c r="C683" i="23"/>
  <c r="E683" i="23" s="1"/>
  <c r="P680" i="23"/>
  <c r="N681" i="23"/>
  <c r="L682" i="23"/>
  <c r="I682" i="23" s="1"/>
  <c r="D682" i="23"/>
  <c r="F682" i="23" s="1"/>
  <c r="B688" i="28" l="1"/>
  <c r="D687" i="28"/>
  <c r="F687" i="28" s="1"/>
  <c r="J687" i="28" s="1"/>
  <c r="P687" i="28" s="1"/>
  <c r="A689" i="28"/>
  <c r="C688" i="28"/>
  <c r="E688" i="28" s="1"/>
  <c r="I688" i="28" s="1"/>
  <c r="L689" i="28"/>
  <c r="N688" i="28"/>
  <c r="J682" i="23"/>
  <c r="C684" i="23"/>
  <c r="E684" i="23" s="1"/>
  <c r="P681" i="23"/>
  <c r="N682" i="23"/>
  <c r="L683" i="23"/>
  <c r="I683" i="23" s="1"/>
  <c r="D683" i="23"/>
  <c r="F683" i="23" s="1"/>
  <c r="B689" i="28" l="1"/>
  <c r="D688" i="28"/>
  <c r="F688" i="28" s="1"/>
  <c r="J688" i="28" s="1"/>
  <c r="P688" i="28" s="1"/>
  <c r="A690" i="28"/>
  <c r="C689" i="28"/>
  <c r="E689" i="28" s="1"/>
  <c r="I689" i="28" s="1"/>
  <c r="N689" i="28"/>
  <c r="L690" i="28"/>
  <c r="J683" i="23"/>
  <c r="C685" i="23"/>
  <c r="E685" i="23" s="1"/>
  <c r="P682" i="23"/>
  <c r="N683" i="23"/>
  <c r="L684" i="23"/>
  <c r="I684" i="23" s="1"/>
  <c r="D684" i="23"/>
  <c r="F684" i="23" s="1"/>
  <c r="B690" i="28" l="1"/>
  <c r="D689" i="28"/>
  <c r="F689" i="28" s="1"/>
  <c r="J689" i="28" s="1"/>
  <c r="P689" i="28" s="1"/>
  <c r="A691" i="28"/>
  <c r="C690" i="28"/>
  <c r="E690" i="28" s="1"/>
  <c r="I690" i="28" s="1"/>
  <c r="L691" i="28"/>
  <c r="N690" i="28"/>
  <c r="J684" i="23"/>
  <c r="C686" i="23"/>
  <c r="E686" i="23" s="1"/>
  <c r="P683" i="23"/>
  <c r="N684" i="23"/>
  <c r="L685" i="23"/>
  <c r="I685" i="23" s="1"/>
  <c r="D685" i="23"/>
  <c r="F685" i="23" s="1"/>
  <c r="B691" i="28" l="1"/>
  <c r="D690" i="28"/>
  <c r="F690" i="28" s="1"/>
  <c r="J690" i="28" s="1"/>
  <c r="P690" i="28" s="1"/>
  <c r="A692" i="28"/>
  <c r="C691" i="28"/>
  <c r="E691" i="28" s="1"/>
  <c r="I691" i="28" s="1"/>
  <c r="L692" i="28"/>
  <c r="N691" i="28"/>
  <c r="J685" i="23"/>
  <c r="C687" i="23"/>
  <c r="E687" i="23" s="1"/>
  <c r="P684" i="23"/>
  <c r="N685" i="23"/>
  <c r="L686" i="23"/>
  <c r="I686" i="23" s="1"/>
  <c r="D686" i="23"/>
  <c r="F686" i="23" s="1"/>
  <c r="B692" i="28" l="1"/>
  <c r="D691" i="28"/>
  <c r="F691" i="28" s="1"/>
  <c r="J691" i="28" s="1"/>
  <c r="P691" i="28" s="1"/>
  <c r="A693" i="28"/>
  <c r="C692" i="28"/>
  <c r="E692" i="28" s="1"/>
  <c r="I692" i="28" s="1"/>
  <c r="L693" i="28"/>
  <c r="N692" i="28"/>
  <c r="J686" i="23"/>
  <c r="C688" i="23"/>
  <c r="E688" i="23" s="1"/>
  <c r="P685" i="23"/>
  <c r="N686" i="23"/>
  <c r="L687" i="23"/>
  <c r="I687" i="23" s="1"/>
  <c r="D687" i="23"/>
  <c r="F687" i="23" s="1"/>
  <c r="D692" i="28" l="1"/>
  <c r="F692" i="28" s="1"/>
  <c r="J692" i="28" s="1"/>
  <c r="P692" i="28" s="1"/>
  <c r="B693" i="28"/>
  <c r="A694" i="28"/>
  <c r="C693" i="28"/>
  <c r="E693" i="28" s="1"/>
  <c r="I693" i="28" s="1"/>
  <c r="N693" i="28"/>
  <c r="L694" i="28"/>
  <c r="J687" i="23"/>
  <c r="C689" i="23"/>
  <c r="E689" i="23" s="1"/>
  <c r="P686" i="23"/>
  <c r="N687" i="23"/>
  <c r="L688" i="23"/>
  <c r="I688" i="23" s="1"/>
  <c r="D688" i="23"/>
  <c r="F688" i="23" s="1"/>
  <c r="B694" i="28" l="1"/>
  <c r="D693" i="28"/>
  <c r="F693" i="28" s="1"/>
  <c r="J693" i="28" s="1"/>
  <c r="P693" i="28" s="1"/>
  <c r="A695" i="28"/>
  <c r="C694" i="28"/>
  <c r="E694" i="28" s="1"/>
  <c r="I694" i="28" s="1"/>
  <c r="L695" i="28"/>
  <c r="N694" i="28"/>
  <c r="J688" i="23"/>
  <c r="C690" i="23"/>
  <c r="E690" i="23" s="1"/>
  <c r="P687" i="23"/>
  <c r="N688" i="23"/>
  <c r="L689" i="23"/>
  <c r="I689" i="23" s="1"/>
  <c r="D689" i="23"/>
  <c r="F689" i="23" s="1"/>
  <c r="D694" i="28" l="1"/>
  <c r="F694" i="28" s="1"/>
  <c r="J694" i="28" s="1"/>
  <c r="P694" i="28" s="1"/>
  <c r="B695" i="28"/>
  <c r="A696" i="28"/>
  <c r="C695" i="28"/>
  <c r="E695" i="28" s="1"/>
  <c r="I695" i="28" s="1"/>
  <c r="L696" i="28"/>
  <c r="N695" i="28"/>
  <c r="J689" i="23"/>
  <c r="C691" i="23"/>
  <c r="E691" i="23" s="1"/>
  <c r="P688" i="23"/>
  <c r="N689" i="23"/>
  <c r="L690" i="23"/>
  <c r="I690" i="23" s="1"/>
  <c r="D690" i="23"/>
  <c r="F690" i="23" s="1"/>
  <c r="D695" i="28" l="1"/>
  <c r="F695" i="28" s="1"/>
  <c r="J695" i="28" s="1"/>
  <c r="P695" i="28" s="1"/>
  <c r="B696" i="28"/>
  <c r="A697" i="28"/>
  <c r="C696" i="28"/>
  <c r="E696" i="28" s="1"/>
  <c r="I696" i="28" s="1"/>
  <c r="L697" i="28"/>
  <c r="N696" i="28"/>
  <c r="J690" i="23"/>
  <c r="C692" i="23"/>
  <c r="E692" i="23" s="1"/>
  <c r="P689" i="23"/>
  <c r="N690" i="23"/>
  <c r="L691" i="23"/>
  <c r="I691" i="23" s="1"/>
  <c r="D691" i="23"/>
  <c r="F691" i="23" s="1"/>
  <c r="D696" i="28" l="1"/>
  <c r="F696" i="28" s="1"/>
  <c r="J696" i="28" s="1"/>
  <c r="P696" i="28" s="1"/>
  <c r="B697" i="28"/>
  <c r="A698" i="28"/>
  <c r="C697" i="28"/>
  <c r="E697" i="28" s="1"/>
  <c r="I697" i="28" s="1"/>
  <c r="L698" i="28"/>
  <c r="N697" i="28"/>
  <c r="J691" i="23"/>
  <c r="C693" i="23"/>
  <c r="E693" i="23" s="1"/>
  <c r="P690" i="23"/>
  <c r="N691" i="23"/>
  <c r="L692" i="23"/>
  <c r="I692" i="23" s="1"/>
  <c r="D692" i="23"/>
  <c r="F692" i="23" s="1"/>
  <c r="B698" i="28" l="1"/>
  <c r="D697" i="28"/>
  <c r="F697" i="28" s="1"/>
  <c r="J697" i="28" s="1"/>
  <c r="P697" i="28" s="1"/>
  <c r="A699" i="28"/>
  <c r="C698" i="28"/>
  <c r="E698" i="28" s="1"/>
  <c r="I698" i="28" s="1"/>
  <c r="L699" i="28"/>
  <c r="N698" i="28"/>
  <c r="J692" i="23"/>
  <c r="C694" i="23"/>
  <c r="E694" i="23" s="1"/>
  <c r="P691" i="23"/>
  <c r="N692" i="23"/>
  <c r="L693" i="23"/>
  <c r="I693" i="23" s="1"/>
  <c r="D693" i="23"/>
  <c r="F693" i="23" s="1"/>
  <c r="D698" i="28" l="1"/>
  <c r="F698" i="28" s="1"/>
  <c r="J698" i="28" s="1"/>
  <c r="P698" i="28" s="1"/>
  <c r="B699" i="28"/>
  <c r="A700" i="28"/>
  <c r="C699" i="28"/>
  <c r="E699" i="28" s="1"/>
  <c r="I699" i="28" s="1"/>
  <c r="L700" i="28"/>
  <c r="N699" i="28"/>
  <c r="J693" i="23"/>
  <c r="C695" i="23"/>
  <c r="E695" i="23" s="1"/>
  <c r="P692" i="23"/>
  <c r="N693" i="23"/>
  <c r="L694" i="23"/>
  <c r="I694" i="23" s="1"/>
  <c r="D694" i="23"/>
  <c r="F694" i="23" s="1"/>
  <c r="B700" i="28" l="1"/>
  <c r="D699" i="28"/>
  <c r="F699" i="28" s="1"/>
  <c r="J699" i="28" s="1"/>
  <c r="P699" i="28" s="1"/>
  <c r="A701" i="28"/>
  <c r="C700" i="28"/>
  <c r="E700" i="28" s="1"/>
  <c r="I700" i="28" s="1"/>
  <c r="L701" i="28"/>
  <c r="N700" i="28"/>
  <c r="J694" i="23"/>
  <c r="C696" i="23"/>
  <c r="E696" i="23" s="1"/>
  <c r="P693" i="23"/>
  <c r="N694" i="23"/>
  <c r="L695" i="23"/>
  <c r="I695" i="23" s="1"/>
  <c r="D695" i="23"/>
  <c r="F695" i="23" s="1"/>
  <c r="B701" i="28" l="1"/>
  <c r="D700" i="28"/>
  <c r="F700" i="28" s="1"/>
  <c r="J700" i="28" s="1"/>
  <c r="P700" i="28" s="1"/>
  <c r="A702" i="28"/>
  <c r="C701" i="28"/>
  <c r="E701" i="28" s="1"/>
  <c r="I701" i="28" s="1"/>
  <c r="N701" i="28"/>
  <c r="L702" i="28"/>
  <c r="J695" i="23"/>
  <c r="C697" i="23"/>
  <c r="E697" i="23" s="1"/>
  <c r="P694" i="23"/>
  <c r="N695" i="23"/>
  <c r="L696" i="23"/>
  <c r="I696" i="23" s="1"/>
  <c r="D696" i="23"/>
  <c r="F696" i="23" s="1"/>
  <c r="B702" i="28" l="1"/>
  <c r="D701" i="28"/>
  <c r="F701" i="28" s="1"/>
  <c r="J701" i="28" s="1"/>
  <c r="P701" i="28" s="1"/>
  <c r="A703" i="28"/>
  <c r="C702" i="28"/>
  <c r="E702" i="28" s="1"/>
  <c r="I702" i="28" s="1"/>
  <c r="L703" i="28"/>
  <c r="N702" i="28"/>
  <c r="J696" i="23"/>
  <c r="C698" i="23"/>
  <c r="E698" i="23" s="1"/>
  <c r="P695" i="23"/>
  <c r="N696" i="23"/>
  <c r="L697" i="23"/>
  <c r="I697" i="23" s="1"/>
  <c r="D697" i="23"/>
  <c r="F697" i="23" s="1"/>
  <c r="D702" i="28" l="1"/>
  <c r="F702" i="28" s="1"/>
  <c r="J702" i="28" s="1"/>
  <c r="P702" i="28" s="1"/>
  <c r="B703" i="28"/>
  <c r="A704" i="28"/>
  <c r="C703" i="28"/>
  <c r="E703" i="28" s="1"/>
  <c r="I703" i="28" s="1"/>
  <c r="L704" i="28"/>
  <c r="N703" i="28"/>
  <c r="J697" i="23"/>
  <c r="C699" i="23"/>
  <c r="E699" i="23" s="1"/>
  <c r="P696" i="23"/>
  <c r="N697" i="23"/>
  <c r="L698" i="23"/>
  <c r="I698" i="23" s="1"/>
  <c r="D698" i="23"/>
  <c r="F698" i="23" s="1"/>
  <c r="D703" i="28" l="1"/>
  <c r="F703" i="28" s="1"/>
  <c r="J703" i="28" s="1"/>
  <c r="P703" i="28" s="1"/>
  <c r="B704" i="28"/>
  <c r="A705" i="28"/>
  <c r="C704" i="28"/>
  <c r="E704" i="28" s="1"/>
  <c r="I704" i="28" s="1"/>
  <c r="L705" i="28"/>
  <c r="N704" i="28"/>
  <c r="J698" i="23"/>
  <c r="C700" i="23"/>
  <c r="E700" i="23" s="1"/>
  <c r="P697" i="23"/>
  <c r="N698" i="23"/>
  <c r="L699" i="23"/>
  <c r="I699" i="23" s="1"/>
  <c r="D699" i="23"/>
  <c r="F699" i="23" s="1"/>
  <c r="D704" i="28" l="1"/>
  <c r="F704" i="28" s="1"/>
  <c r="J704" i="28" s="1"/>
  <c r="P704" i="28" s="1"/>
  <c r="B705" i="28"/>
  <c r="A706" i="28"/>
  <c r="C705" i="28"/>
  <c r="E705" i="28" s="1"/>
  <c r="I705" i="28" s="1"/>
  <c r="L706" i="28"/>
  <c r="N705" i="28"/>
  <c r="J699" i="23"/>
  <c r="C701" i="23"/>
  <c r="E701" i="23" s="1"/>
  <c r="P698" i="23"/>
  <c r="N699" i="23"/>
  <c r="L700" i="23"/>
  <c r="I700" i="23" s="1"/>
  <c r="D700" i="23"/>
  <c r="F700" i="23" s="1"/>
  <c r="B706" i="28" l="1"/>
  <c r="D705" i="28"/>
  <c r="F705" i="28" s="1"/>
  <c r="J705" i="28" s="1"/>
  <c r="P705" i="28" s="1"/>
  <c r="A707" i="28"/>
  <c r="C706" i="28"/>
  <c r="E706" i="28" s="1"/>
  <c r="I706" i="28" s="1"/>
  <c r="L707" i="28"/>
  <c r="N706" i="28"/>
  <c r="J700" i="23"/>
  <c r="C702" i="23"/>
  <c r="E702" i="23" s="1"/>
  <c r="P699" i="23"/>
  <c r="N700" i="23"/>
  <c r="L701" i="23"/>
  <c r="I701" i="23" s="1"/>
  <c r="D701" i="23"/>
  <c r="F701" i="23" s="1"/>
  <c r="B707" i="28" l="1"/>
  <c r="D706" i="28"/>
  <c r="F706" i="28" s="1"/>
  <c r="J706" i="28" s="1"/>
  <c r="P706" i="28" s="1"/>
  <c r="A708" i="28"/>
  <c r="C707" i="28"/>
  <c r="E707" i="28" s="1"/>
  <c r="I707" i="28" s="1"/>
  <c r="L708" i="28"/>
  <c r="N707" i="28"/>
  <c r="J701" i="23"/>
  <c r="C703" i="23"/>
  <c r="E703" i="23" s="1"/>
  <c r="P700" i="23"/>
  <c r="N701" i="23"/>
  <c r="L702" i="23"/>
  <c r="I702" i="23" s="1"/>
  <c r="D702" i="23"/>
  <c r="F702" i="23" s="1"/>
  <c r="D707" i="28" l="1"/>
  <c r="F707" i="28" s="1"/>
  <c r="J707" i="28" s="1"/>
  <c r="P707" i="28" s="1"/>
  <c r="B708" i="28"/>
  <c r="A709" i="28"/>
  <c r="C708" i="28"/>
  <c r="E708" i="28" s="1"/>
  <c r="I708" i="28" s="1"/>
  <c r="L709" i="28"/>
  <c r="N708" i="28"/>
  <c r="J702" i="23"/>
  <c r="C704" i="23"/>
  <c r="E704" i="23" s="1"/>
  <c r="P701" i="23"/>
  <c r="N702" i="23"/>
  <c r="L703" i="23"/>
  <c r="I703" i="23" s="1"/>
  <c r="D703" i="23"/>
  <c r="F703" i="23" s="1"/>
  <c r="D708" i="28" l="1"/>
  <c r="F708" i="28" s="1"/>
  <c r="J708" i="28" s="1"/>
  <c r="P708" i="28" s="1"/>
  <c r="B709" i="28"/>
  <c r="A710" i="28"/>
  <c r="C709" i="28"/>
  <c r="E709" i="28" s="1"/>
  <c r="I709" i="28" s="1"/>
  <c r="L710" i="28"/>
  <c r="N709" i="28"/>
  <c r="J703" i="23"/>
  <c r="C705" i="23"/>
  <c r="E705" i="23" s="1"/>
  <c r="P702" i="23"/>
  <c r="N703" i="23"/>
  <c r="L704" i="23"/>
  <c r="I704" i="23" s="1"/>
  <c r="D704" i="23"/>
  <c r="F704" i="23" s="1"/>
  <c r="B710" i="28" l="1"/>
  <c r="D709" i="28"/>
  <c r="F709" i="28" s="1"/>
  <c r="J709" i="28" s="1"/>
  <c r="P709" i="28" s="1"/>
  <c r="A711" i="28"/>
  <c r="C710" i="28"/>
  <c r="E710" i="28" s="1"/>
  <c r="I710" i="28" s="1"/>
  <c r="L711" i="28"/>
  <c r="N710" i="28"/>
  <c r="J704" i="23"/>
  <c r="C706" i="23"/>
  <c r="E706" i="23" s="1"/>
  <c r="P703" i="23"/>
  <c r="N704" i="23"/>
  <c r="L705" i="23"/>
  <c r="I705" i="23" s="1"/>
  <c r="D705" i="23"/>
  <c r="F705" i="23" s="1"/>
  <c r="B711" i="28" l="1"/>
  <c r="D710" i="28"/>
  <c r="F710" i="28" s="1"/>
  <c r="J710" i="28" s="1"/>
  <c r="P710" i="28" s="1"/>
  <c r="A712" i="28"/>
  <c r="C711" i="28"/>
  <c r="E711" i="28" s="1"/>
  <c r="I711" i="28" s="1"/>
  <c r="L712" i="28"/>
  <c r="N711" i="28"/>
  <c r="J705" i="23"/>
  <c r="C707" i="23"/>
  <c r="E707" i="23" s="1"/>
  <c r="P704" i="23"/>
  <c r="N705" i="23"/>
  <c r="L706" i="23"/>
  <c r="I706" i="23" s="1"/>
  <c r="D706" i="23"/>
  <c r="F706" i="23" s="1"/>
  <c r="B712" i="28" l="1"/>
  <c r="D711" i="28"/>
  <c r="F711" i="28" s="1"/>
  <c r="J711" i="28" s="1"/>
  <c r="P711" i="28" s="1"/>
  <c r="A713" i="28"/>
  <c r="C712" i="28"/>
  <c r="E712" i="28" s="1"/>
  <c r="I712" i="28" s="1"/>
  <c r="L713" i="28"/>
  <c r="N712" i="28"/>
  <c r="J706" i="23"/>
  <c r="C708" i="23"/>
  <c r="E708" i="23" s="1"/>
  <c r="P705" i="23"/>
  <c r="N706" i="23"/>
  <c r="L707" i="23"/>
  <c r="I707" i="23" s="1"/>
  <c r="D707" i="23"/>
  <c r="F707" i="23" s="1"/>
  <c r="B713" i="28" l="1"/>
  <c r="D712" i="28"/>
  <c r="F712" i="28" s="1"/>
  <c r="J712" i="28" s="1"/>
  <c r="P712" i="28" s="1"/>
  <c r="A714" i="28"/>
  <c r="C713" i="28"/>
  <c r="E713" i="28" s="1"/>
  <c r="I713" i="28" s="1"/>
  <c r="L714" i="28"/>
  <c r="N713" i="28"/>
  <c r="J707" i="23"/>
  <c r="C709" i="23"/>
  <c r="E709" i="23" s="1"/>
  <c r="P706" i="23"/>
  <c r="N707" i="23"/>
  <c r="L708" i="23"/>
  <c r="I708" i="23" s="1"/>
  <c r="D708" i="23"/>
  <c r="F708" i="23" s="1"/>
  <c r="D713" i="28" l="1"/>
  <c r="F713" i="28" s="1"/>
  <c r="J713" i="28" s="1"/>
  <c r="P713" i="28" s="1"/>
  <c r="B714" i="28"/>
  <c r="A715" i="28"/>
  <c r="C714" i="28"/>
  <c r="E714" i="28" s="1"/>
  <c r="I714" i="28" s="1"/>
  <c r="L715" i="28"/>
  <c r="N714" i="28"/>
  <c r="J708" i="23"/>
  <c r="C710" i="23"/>
  <c r="E710" i="23" s="1"/>
  <c r="P707" i="23"/>
  <c r="N708" i="23"/>
  <c r="L709" i="23"/>
  <c r="I709" i="23" s="1"/>
  <c r="D709" i="23"/>
  <c r="F709" i="23" s="1"/>
  <c r="D714" i="28" l="1"/>
  <c r="F714" i="28" s="1"/>
  <c r="J714" i="28" s="1"/>
  <c r="P714" i="28" s="1"/>
  <c r="B715" i="28"/>
  <c r="A716" i="28"/>
  <c r="C715" i="28"/>
  <c r="E715" i="28" s="1"/>
  <c r="I715" i="28" s="1"/>
  <c r="L716" i="28"/>
  <c r="N715" i="28"/>
  <c r="J709" i="23"/>
  <c r="C711" i="23"/>
  <c r="E711" i="23" s="1"/>
  <c r="P708" i="23"/>
  <c r="N709" i="23"/>
  <c r="L710" i="23"/>
  <c r="I710" i="23" s="1"/>
  <c r="D710" i="23"/>
  <c r="F710" i="23" s="1"/>
  <c r="B716" i="28" l="1"/>
  <c r="D715" i="28"/>
  <c r="F715" i="28" s="1"/>
  <c r="J715" i="28" s="1"/>
  <c r="P715" i="28" s="1"/>
  <c r="A717" i="28"/>
  <c r="C716" i="28"/>
  <c r="E716" i="28" s="1"/>
  <c r="I716" i="28" s="1"/>
  <c r="L717" i="28"/>
  <c r="N716" i="28"/>
  <c r="J710" i="23"/>
  <c r="C712" i="23"/>
  <c r="E712" i="23" s="1"/>
  <c r="P709" i="23"/>
  <c r="N710" i="23"/>
  <c r="L711" i="23"/>
  <c r="I711" i="23" s="1"/>
  <c r="D711" i="23"/>
  <c r="F711" i="23" s="1"/>
  <c r="B717" i="28" l="1"/>
  <c r="D716" i="28"/>
  <c r="F716" i="28" s="1"/>
  <c r="J716" i="28" s="1"/>
  <c r="P716" i="28" s="1"/>
  <c r="A718" i="28"/>
  <c r="C717" i="28"/>
  <c r="E717" i="28" s="1"/>
  <c r="I717" i="28" s="1"/>
  <c r="N717" i="28"/>
  <c r="L718" i="28"/>
  <c r="J711" i="23"/>
  <c r="C713" i="23"/>
  <c r="E713" i="23" s="1"/>
  <c r="P710" i="23"/>
  <c r="N711" i="23"/>
  <c r="L712" i="23"/>
  <c r="I712" i="23" s="1"/>
  <c r="D712" i="23"/>
  <c r="F712" i="23" s="1"/>
  <c r="D717" i="28" l="1"/>
  <c r="F717" i="28" s="1"/>
  <c r="J717" i="28" s="1"/>
  <c r="P717" i="28" s="1"/>
  <c r="B718" i="28"/>
  <c r="A719" i="28"/>
  <c r="C718" i="28"/>
  <c r="E718" i="28" s="1"/>
  <c r="I718" i="28" s="1"/>
  <c r="L719" i="28"/>
  <c r="N718" i="28"/>
  <c r="J712" i="23"/>
  <c r="C714" i="23"/>
  <c r="E714" i="23" s="1"/>
  <c r="P711" i="23"/>
  <c r="N712" i="23"/>
  <c r="L713" i="23"/>
  <c r="I713" i="23" s="1"/>
  <c r="D713" i="23"/>
  <c r="F713" i="23" s="1"/>
  <c r="B719" i="28" l="1"/>
  <c r="D718" i="28"/>
  <c r="F718" i="28" s="1"/>
  <c r="J718" i="28" s="1"/>
  <c r="P718" i="28" s="1"/>
  <c r="A720" i="28"/>
  <c r="C719" i="28"/>
  <c r="E719" i="28" s="1"/>
  <c r="I719" i="28" s="1"/>
  <c r="L720" i="28"/>
  <c r="N719" i="28"/>
  <c r="J713" i="23"/>
  <c r="C715" i="23"/>
  <c r="E715" i="23" s="1"/>
  <c r="P712" i="23"/>
  <c r="N713" i="23"/>
  <c r="L714" i="23"/>
  <c r="I714" i="23" s="1"/>
  <c r="D714" i="23"/>
  <c r="F714" i="23" s="1"/>
  <c r="B720" i="28" l="1"/>
  <c r="D719" i="28"/>
  <c r="F719" i="28" s="1"/>
  <c r="J719" i="28" s="1"/>
  <c r="P719" i="28" s="1"/>
  <c r="A721" i="28"/>
  <c r="C720" i="28"/>
  <c r="E720" i="28" s="1"/>
  <c r="I720" i="28" s="1"/>
  <c r="L721" i="28"/>
  <c r="N720" i="28"/>
  <c r="J714" i="23"/>
  <c r="C716" i="23"/>
  <c r="E716" i="23" s="1"/>
  <c r="P713" i="23"/>
  <c r="N714" i="23"/>
  <c r="L715" i="23"/>
  <c r="I715" i="23" s="1"/>
  <c r="D715" i="23"/>
  <c r="F715" i="23" s="1"/>
  <c r="B721" i="28" l="1"/>
  <c r="D720" i="28"/>
  <c r="F720" i="28" s="1"/>
  <c r="J720" i="28" s="1"/>
  <c r="P720" i="28" s="1"/>
  <c r="A722" i="28"/>
  <c r="C721" i="28"/>
  <c r="E721" i="28" s="1"/>
  <c r="I721" i="28" s="1"/>
  <c r="L722" i="28"/>
  <c r="N721" i="28"/>
  <c r="J715" i="23"/>
  <c r="C717" i="23"/>
  <c r="E717" i="23" s="1"/>
  <c r="P714" i="23"/>
  <c r="N715" i="23"/>
  <c r="L716" i="23"/>
  <c r="I716" i="23" s="1"/>
  <c r="D716" i="23"/>
  <c r="F716" i="23" s="1"/>
  <c r="B722" i="28" l="1"/>
  <c r="D721" i="28"/>
  <c r="F721" i="28" s="1"/>
  <c r="J721" i="28" s="1"/>
  <c r="P721" i="28" s="1"/>
  <c r="A723" i="28"/>
  <c r="C722" i="28"/>
  <c r="E722" i="28" s="1"/>
  <c r="I722" i="28" s="1"/>
  <c r="L723" i="28"/>
  <c r="N722" i="28"/>
  <c r="J716" i="23"/>
  <c r="C718" i="23"/>
  <c r="E718" i="23" s="1"/>
  <c r="P715" i="23"/>
  <c r="N716" i="23"/>
  <c r="L717" i="23"/>
  <c r="I717" i="23" s="1"/>
  <c r="D717" i="23"/>
  <c r="F717" i="23" s="1"/>
  <c r="D722" i="28" l="1"/>
  <c r="F722" i="28" s="1"/>
  <c r="J722" i="28" s="1"/>
  <c r="P722" i="28" s="1"/>
  <c r="B723" i="28"/>
  <c r="A724" i="28"/>
  <c r="C723" i="28"/>
  <c r="E723" i="28" s="1"/>
  <c r="I723" i="28" s="1"/>
  <c r="L724" i="28"/>
  <c r="N723" i="28"/>
  <c r="J717" i="23"/>
  <c r="C719" i="23"/>
  <c r="E719" i="23" s="1"/>
  <c r="P716" i="23"/>
  <c r="N717" i="23"/>
  <c r="L718" i="23"/>
  <c r="I718" i="23" s="1"/>
  <c r="D718" i="23"/>
  <c r="F718" i="23" s="1"/>
  <c r="B724" i="28" l="1"/>
  <c r="D723" i="28"/>
  <c r="F723" i="28" s="1"/>
  <c r="J723" i="28" s="1"/>
  <c r="P723" i="28" s="1"/>
  <c r="A725" i="28"/>
  <c r="C724" i="28"/>
  <c r="E724" i="28" s="1"/>
  <c r="I724" i="28" s="1"/>
  <c r="L725" i="28"/>
  <c r="N724" i="28"/>
  <c r="J718" i="23"/>
  <c r="C720" i="23"/>
  <c r="E720" i="23" s="1"/>
  <c r="P717" i="23"/>
  <c r="N718" i="23"/>
  <c r="L719" i="23"/>
  <c r="I719" i="23" s="1"/>
  <c r="D719" i="23"/>
  <c r="F719" i="23" s="1"/>
  <c r="B725" i="28" l="1"/>
  <c r="D724" i="28"/>
  <c r="F724" i="28" s="1"/>
  <c r="J724" i="28" s="1"/>
  <c r="P724" i="28" s="1"/>
  <c r="A726" i="28"/>
  <c r="C725" i="28"/>
  <c r="E725" i="28" s="1"/>
  <c r="I725" i="28" s="1"/>
  <c r="L726" i="28"/>
  <c r="N725" i="28"/>
  <c r="J719" i="23"/>
  <c r="C721" i="23"/>
  <c r="E721" i="23" s="1"/>
  <c r="P718" i="23"/>
  <c r="N719" i="23"/>
  <c r="L720" i="23"/>
  <c r="I720" i="23" s="1"/>
  <c r="D720" i="23"/>
  <c r="F720" i="23" s="1"/>
  <c r="B726" i="28" l="1"/>
  <c r="D725" i="28"/>
  <c r="F725" i="28" s="1"/>
  <c r="J725" i="28" s="1"/>
  <c r="P725" i="28" s="1"/>
  <c r="A727" i="28"/>
  <c r="C726" i="28"/>
  <c r="E726" i="28" s="1"/>
  <c r="I726" i="28" s="1"/>
  <c r="L727" i="28"/>
  <c r="N726" i="28"/>
  <c r="J720" i="23"/>
  <c r="C722" i="23"/>
  <c r="E722" i="23" s="1"/>
  <c r="P719" i="23"/>
  <c r="N720" i="23"/>
  <c r="L721" i="23"/>
  <c r="I721" i="23" s="1"/>
  <c r="D721" i="23"/>
  <c r="F721" i="23" s="1"/>
  <c r="B727" i="28" l="1"/>
  <c r="D726" i="28"/>
  <c r="F726" i="28" s="1"/>
  <c r="J726" i="28" s="1"/>
  <c r="P726" i="28" s="1"/>
  <c r="A728" i="28"/>
  <c r="C727" i="28"/>
  <c r="E727" i="28" s="1"/>
  <c r="I727" i="28" s="1"/>
  <c r="L728" i="28"/>
  <c r="N727" i="28"/>
  <c r="J721" i="23"/>
  <c r="C723" i="23"/>
  <c r="E723" i="23" s="1"/>
  <c r="P720" i="23"/>
  <c r="N721" i="23"/>
  <c r="L722" i="23"/>
  <c r="I722" i="23" s="1"/>
  <c r="D722" i="23"/>
  <c r="F722" i="23" s="1"/>
  <c r="B728" i="28" l="1"/>
  <c r="D727" i="28"/>
  <c r="F727" i="28" s="1"/>
  <c r="J727" i="28" s="1"/>
  <c r="P727" i="28" s="1"/>
  <c r="A729" i="28"/>
  <c r="C728" i="28"/>
  <c r="E728" i="28" s="1"/>
  <c r="I728" i="28" s="1"/>
  <c r="L729" i="28"/>
  <c r="N728" i="28"/>
  <c r="J722" i="23"/>
  <c r="C724" i="23"/>
  <c r="E724" i="23" s="1"/>
  <c r="P721" i="23"/>
  <c r="N722" i="23"/>
  <c r="L723" i="23"/>
  <c r="I723" i="23" s="1"/>
  <c r="D723" i="23"/>
  <c r="F723" i="23" s="1"/>
  <c r="B729" i="28" l="1"/>
  <c r="D728" i="28"/>
  <c r="F728" i="28" s="1"/>
  <c r="J728" i="28" s="1"/>
  <c r="P728" i="28" s="1"/>
  <c r="A730" i="28"/>
  <c r="C729" i="28"/>
  <c r="E729" i="28" s="1"/>
  <c r="I729" i="28" s="1"/>
  <c r="L730" i="28"/>
  <c r="N729" i="28"/>
  <c r="J723" i="23"/>
  <c r="C725" i="23"/>
  <c r="E725" i="23" s="1"/>
  <c r="P722" i="23"/>
  <c r="N723" i="23"/>
  <c r="L724" i="23"/>
  <c r="I724" i="23" s="1"/>
  <c r="D724" i="23"/>
  <c r="F724" i="23" s="1"/>
  <c r="D729" i="28" l="1"/>
  <c r="F729" i="28" s="1"/>
  <c r="J729" i="28" s="1"/>
  <c r="P729" i="28" s="1"/>
  <c r="B730" i="28"/>
  <c r="A731" i="28"/>
  <c r="C730" i="28"/>
  <c r="E730" i="28" s="1"/>
  <c r="I730" i="28" s="1"/>
  <c r="L731" i="28"/>
  <c r="N730" i="28"/>
  <c r="J724" i="23"/>
  <c r="C726" i="23"/>
  <c r="E726" i="23" s="1"/>
  <c r="P723" i="23"/>
  <c r="N724" i="23"/>
  <c r="L725" i="23"/>
  <c r="I725" i="23" s="1"/>
  <c r="D725" i="23"/>
  <c r="F725" i="23" s="1"/>
  <c r="D730" i="28" l="1"/>
  <c r="F730" i="28" s="1"/>
  <c r="J730" i="28" s="1"/>
  <c r="P730" i="28" s="1"/>
  <c r="B731" i="28"/>
  <c r="A732" i="28"/>
  <c r="C731" i="28"/>
  <c r="E731" i="28" s="1"/>
  <c r="I731" i="28" s="1"/>
  <c r="L732" i="28"/>
  <c r="N731" i="28"/>
  <c r="J725" i="23"/>
  <c r="C727" i="23"/>
  <c r="E727" i="23" s="1"/>
  <c r="P724" i="23"/>
  <c r="N725" i="23"/>
  <c r="L726" i="23"/>
  <c r="I726" i="23" s="1"/>
  <c r="D726" i="23"/>
  <c r="F726" i="23" s="1"/>
  <c r="B732" i="28" l="1"/>
  <c r="D731" i="28"/>
  <c r="F731" i="28" s="1"/>
  <c r="J731" i="28" s="1"/>
  <c r="P731" i="28" s="1"/>
  <c r="A733" i="28"/>
  <c r="C732" i="28"/>
  <c r="E732" i="28" s="1"/>
  <c r="I732" i="28" s="1"/>
  <c r="L733" i="28"/>
  <c r="N732" i="28"/>
  <c r="J726" i="23"/>
  <c r="C728" i="23"/>
  <c r="E728" i="23" s="1"/>
  <c r="P725" i="23"/>
  <c r="N726" i="23"/>
  <c r="L727" i="23"/>
  <c r="I727" i="23" s="1"/>
  <c r="D727" i="23"/>
  <c r="F727" i="23" s="1"/>
  <c r="B733" i="28" l="1"/>
  <c r="D732" i="28"/>
  <c r="F732" i="28" s="1"/>
  <c r="J732" i="28" s="1"/>
  <c r="P732" i="28" s="1"/>
  <c r="A734" i="28"/>
  <c r="C733" i="28"/>
  <c r="E733" i="28" s="1"/>
  <c r="I733" i="28" s="1"/>
  <c r="L734" i="28"/>
  <c r="N733" i="28"/>
  <c r="J727" i="23"/>
  <c r="C729" i="23"/>
  <c r="E729" i="23" s="1"/>
  <c r="P726" i="23"/>
  <c r="N727" i="23"/>
  <c r="L728" i="23"/>
  <c r="I728" i="23" s="1"/>
  <c r="D728" i="23"/>
  <c r="F728" i="23" s="1"/>
  <c r="B734" i="28" l="1"/>
  <c r="D733" i="28"/>
  <c r="F733" i="28" s="1"/>
  <c r="J733" i="28" s="1"/>
  <c r="P733" i="28" s="1"/>
  <c r="A735" i="28"/>
  <c r="C734" i="28"/>
  <c r="E734" i="28" s="1"/>
  <c r="I734" i="28" s="1"/>
  <c r="L735" i="28"/>
  <c r="N734" i="28"/>
  <c r="J728" i="23"/>
  <c r="C730" i="23"/>
  <c r="E730" i="23" s="1"/>
  <c r="P727" i="23"/>
  <c r="N728" i="23"/>
  <c r="L729" i="23"/>
  <c r="I729" i="23" s="1"/>
  <c r="D729" i="23"/>
  <c r="F729" i="23" s="1"/>
  <c r="D734" i="28" l="1"/>
  <c r="F734" i="28" s="1"/>
  <c r="J734" i="28" s="1"/>
  <c r="P734" i="28" s="1"/>
  <c r="B735" i="28"/>
  <c r="A736" i="28"/>
  <c r="C735" i="28"/>
  <c r="E735" i="28" s="1"/>
  <c r="I735" i="28" s="1"/>
  <c r="L736" i="28"/>
  <c r="N735" i="28"/>
  <c r="J729" i="23"/>
  <c r="C731" i="23"/>
  <c r="E731" i="23" s="1"/>
  <c r="P728" i="23"/>
  <c r="N729" i="23"/>
  <c r="L730" i="23"/>
  <c r="I730" i="23" s="1"/>
  <c r="D730" i="23"/>
  <c r="F730" i="23" s="1"/>
  <c r="D735" i="28" l="1"/>
  <c r="F735" i="28" s="1"/>
  <c r="J735" i="28" s="1"/>
  <c r="P735" i="28" s="1"/>
  <c r="B736" i="28"/>
  <c r="A737" i="28"/>
  <c r="C736" i="28"/>
  <c r="E736" i="28" s="1"/>
  <c r="I736" i="28" s="1"/>
  <c r="L737" i="28"/>
  <c r="N736" i="28"/>
  <c r="J730" i="23"/>
  <c r="C732" i="23"/>
  <c r="E732" i="23" s="1"/>
  <c r="P729" i="23"/>
  <c r="N730" i="23"/>
  <c r="L731" i="23"/>
  <c r="I731" i="23" s="1"/>
  <c r="D731" i="23"/>
  <c r="F731" i="23" s="1"/>
  <c r="D736" i="28" l="1"/>
  <c r="F736" i="28" s="1"/>
  <c r="J736" i="28" s="1"/>
  <c r="P736" i="28" s="1"/>
  <c r="B737" i="28"/>
  <c r="A738" i="28"/>
  <c r="C737" i="28"/>
  <c r="E737" i="28" s="1"/>
  <c r="I737" i="28" s="1"/>
  <c r="L738" i="28"/>
  <c r="N737" i="28"/>
  <c r="J731" i="23"/>
  <c r="C733" i="23"/>
  <c r="E733" i="23" s="1"/>
  <c r="P730" i="23"/>
  <c r="N731" i="23"/>
  <c r="L732" i="23"/>
  <c r="I732" i="23" s="1"/>
  <c r="D732" i="23"/>
  <c r="F732" i="23" s="1"/>
  <c r="D737" i="28" l="1"/>
  <c r="F737" i="28" s="1"/>
  <c r="J737" i="28" s="1"/>
  <c r="P737" i="28" s="1"/>
  <c r="B738" i="28"/>
  <c r="A739" i="28"/>
  <c r="C738" i="28"/>
  <c r="E738" i="28" s="1"/>
  <c r="I738" i="28" s="1"/>
  <c r="L739" i="28"/>
  <c r="N738" i="28"/>
  <c r="J732" i="23"/>
  <c r="C734" i="23"/>
  <c r="E734" i="23" s="1"/>
  <c r="P731" i="23"/>
  <c r="N732" i="23"/>
  <c r="L733" i="23"/>
  <c r="I733" i="23" s="1"/>
  <c r="D733" i="23"/>
  <c r="F733" i="23" s="1"/>
  <c r="B739" i="28" l="1"/>
  <c r="D738" i="28"/>
  <c r="F738" i="28" s="1"/>
  <c r="J738" i="28" s="1"/>
  <c r="P738" i="28" s="1"/>
  <c r="A740" i="28"/>
  <c r="C739" i="28"/>
  <c r="E739" i="28" s="1"/>
  <c r="I739" i="28" s="1"/>
  <c r="L740" i="28"/>
  <c r="N739" i="28"/>
  <c r="J733" i="23"/>
  <c r="C735" i="23"/>
  <c r="E735" i="23" s="1"/>
  <c r="P732" i="23"/>
  <c r="N733" i="23"/>
  <c r="L734" i="23"/>
  <c r="I734" i="23" s="1"/>
  <c r="D734" i="23"/>
  <c r="F734" i="23" s="1"/>
  <c r="D739" i="28" l="1"/>
  <c r="F739" i="28" s="1"/>
  <c r="J739" i="28" s="1"/>
  <c r="P739" i="28" s="1"/>
  <c r="B740" i="28"/>
  <c r="A741" i="28"/>
  <c r="C740" i="28"/>
  <c r="E740" i="28" s="1"/>
  <c r="I740" i="28" s="1"/>
  <c r="L741" i="28"/>
  <c r="N740" i="28"/>
  <c r="J734" i="23"/>
  <c r="C736" i="23"/>
  <c r="E736" i="23" s="1"/>
  <c r="P733" i="23"/>
  <c r="N734" i="23"/>
  <c r="L735" i="23"/>
  <c r="I735" i="23" s="1"/>
  <c r="D735" i="23"/>
  <c r="F735" i="23" s="1"/>
  <c r="D740" i="28" l="1"/>
  <c r="F740" i="28" s="1"/>
  <c r="J740" i="28" s="1"/>
  <c r="P740" i="28" s="1"/>
  <c r="B741" i="28"/>
  <c r="A742" i="28"/>
  <c r="C741" i="28"/>
  <c r="E741" i="28" s="1"/>
  <c r="I741" i="28" s="1"/>
  <c r="L742" i="28"/>
  <c r="N741" i="28"/>
  <c r="J735" i="23"/>
  <c r="C737" i="23"/>
  <c r="E737" i="23" s="1"/>
  <c r="P734" i="23"/>
  <c r="N735" i="23"/>
  <c r="L736" i="23"/>
  <c r="I736" i="23" s="1"/>
  <c r="D736" i="23"/>
  <c r="F736" i="23" s="1"/>
  <c r="D741" i="28" l="1"/>
  <c r="F741" i="28" s="1"/>
  <c r="J741" i="28" s="1"/>
  <c r="P741" i="28" s="1"/>
  <c r="B742" i="28"/>
  <c r="A743" i="28"/>
  <c r="C742" i="28"/>
  <c r="E742" i="28" s="1"/>
  <c r="I742" i="28" s="1"/>
  <c r="L743" i="28"/>
  <c r="N742" i="28"/>
  <c r="J736" i="23"/>
  <c r="C738" i="23"/>
  <c r="E738" i="23" s="1"/>
  <c r="P735" i="23"/>
  <c r="N736" i="23"/>
  <c r="L737" i="23"/>
  <c r="I737" i="23" s="1"/>
  <c r="D737" i="23"/>
  <c r="F737" i="23" s="1"/>
  <c r="D742" i="28" l="1"/>
  <c r="F742" i="28" s="1"/>
  <c r="J742" i="28" s="1"/>
  <c r="P742" i="28" s="1"/>
  <c r="B743" i="28"/>
  <c r="A744" i="28"/>
  <c r="C743" i="28"/>
  <c r="E743" i="28" s="1"/>
  <c r="I743" i="28" s="1"/>
  <c r="N743" i="28"/>
  <c r="L744" i="28"/>
  <c r="J737" i="23"/>
  <c r="C739" i="23"/>
  <c r="E739" i="23" s="1"/>
  <c r="P736" i="23"/>
  <c r="N737" i="23"/>
  <c r="L738" i="23"/>
  <c r="I738" i="23" s="1"/>
  <c r="D738" i="23"/>
  <c r="F738" i="23" s="1"/>
  <c r="D743" i="28" l="1"/>
  <c r="F743" i="28" s="1"/>
  <c r="J743" i="28" s="1"/>
  <c r="P743" i="28" s="1"/>
  <c r="B744" i="28"/>
  <c r="A745" i="28"/>
  <c r="C744" i="28"/>
  <c r="E744" i="28" s="1"/>
  <c r="I744" i="28" s="1"/>
  <c r="L745" i="28"/>
  <c r="N744" i="28"/>
  <c r="J738" i="23"/>
  <c r="C740" i="23"/>
  <c r="E740" i="23" s="1"/>
  <c r="P737" i="23"/>
  <c r="N738" i="23"/>
  <c r="L739" i="23"/>
  <c r="I739" i="23" s="1"/>
  <c r="D739" i="23"/>
  <c r="F739" i="23" s="1"/>
  <c r="D744" i="28" l="1"/>
  <c r="F744" i="28" s="1"/>
  <c r="J744" i="28" s="1"/>
  <c r="P744" i="28" s="1"/>
  <c r="B745" i="28"/>
  <c r="A746" i="28"/>
  <c r="C745" i="28"/>
  <c r="E745" i="28" s="1"/>
  <c r="I745" i="28" s="1"/>
  <c r="N745" i="28"/>
  <c r="L746" i="28"/>
  <c r="J739" i="23"/>
  <c r="C741" i="23"/>
  <c r="E741" i="23" s="1"/>
  <c r="P738" i="23"/>
  <c r="N739" i="23"/>
  <c r="L740" i="23"/>
  <c r="I740" i="23" s="1"/>
  <c r="D740" i="23"/>
  <c r="F740" i="23" s="1"/>
  <c r="D745" i="28" l="1"/>
  <c r="F745" i="28" s="1"/>
  <c r="J745" i="28" s="1"/>
  <c r="P745" i="28" s="1"/>
  <c r="B746" i="28"/>
  <c r="A747" i="28"/>
  <c r="C746" i="28"/>
  <c r="L747" i="28"/>
  <c r="N746" i="28"/>
  <c r="E746" i="28"/>
  <c r="I746" i="28" s="1"/>
  <c r="J740" i="23"/>
  <c r="C742" i="23"/>
  <c r="E742" i="23" s="1"/>
  <c r="P739" i="23"/>
  <c r="N740" i="23"/>
  <c r="L741" i="23"/>
  <c r="I741" i="23" s="1"/>
  <c r="D741" i="23"/>
  <c r="F741" i="23" s="1"/>
  <c r="D746" i="28" l="1"/>
  <c r="F746" i="28" s="1"/>
  <c r="J746" i="28" s="1"/>
  <c r="P746" i="28" s="1"/>
  <c r="B747" i="28"/>
  <c r="A748" i="28"/>
  <c r="C747" i="28"/>
  <c r="E747" i="28" s="1"/>
  <c r="I747" i="28" s="1"/>
  <c r="N747" i="28"/>
  <c r="L748" i="28"/>
  <c r="J741" i="23"/>
  <c r="C743" i="23"/>
  <c r="E743" i="23" s="1"/>
  <c r="P740" i="23"/>
  <c r="N741" i="23"/>
  <c r="L742" i="23"/>
  <c r="I742" i="23" s="1"/>
  <c r="D742" i="23"/>
  <c r="F742" i="23" s="1"/>
  <c r="B748" i="28" l="1"/>
  <c r="D747" i="28"/>
  <c r="F747" i="28" s="1"/>
  <c r="J747" i="28" s="1"/>
  <c r="P747" i="28" s="1"/>
  <c r="A749" i="28"/>
  <c r="C748" i="28"/>
  <c r="E748" i="28" s="1"/>
  <c r="I748" i="28" s="1"/>
  <c r="L749" i="28"/>
  <c r="N748" i="28"/>
  <c r="J742" i="23"/>
  <c r="C744" i="23"/>
  <c r="E744" i="23" s="1"/>
  <c r="P741" i="23"/>
  <c r="N742" i="23"/>
  <c r="L743" i="23"/>
  <c r="I743" i="23" s="1"/>
  <c r="D743" i="23"/>
  <c r="F743" i="23" s="1"/>
  <c r="D748" i="28" l="1"/>
  <c r="F748" i="28" s="1"/>
  <c r="J748" i="28" s="1"/>
  <c r="P748" i="28" s="1"/>
  <c r="B749" i="28"/>
  <c r="A750" i="28"/>
  <c r="C749" i="28"/>
  <c r="E749" i="28" s="1"/>
  <c r="I749" i="28" s="1"/>
  <c r="N749" i="28"/>
  <c r="L750" i="28"/>
  <c r="J743" i="23"/>
  <c r="C745" i="23"/>
  <c r="E745" i="23" s="1"/>
  <c r="P742" i="23"/>
  <c r="N743" i="23"/>
  <c r="L744" i="23"/>
  <c r="I744" i="23" s="1"/>
  <c r="D744" i="23"/>
  <c r="F744" i="23" s="1"/>
  <c r="D749" i="28" l="1"/>
  <c r="F749" i="28" s="1"/>
  <c r="J749" i="28" s="1"/>
  <c r="P749" i="28" s="1"/>
  <c r="B750" i="28"/>
  <c r="A751" i="28"/>
  <c r="C750" i="28"/>
  <c r="E750" i="28" s="1"/>
  <c r="I750" i="28" s="1"/>
  <c r="L751" i="28"/>
  <c r="N750" i="28"/>
  <c r="J744" i="23"/>
  <c r="C746" i="23"/>
  <c r="E746" i="23" s="1"/>
  <c r="P743" i="23"/>
  <c r="N744" i="23"/>
  <c r="L745" i="23"/>
  <c r="I745" i="23" s="1"/>
  <c r="D745" i="23"/>
  <c r="F745" i="23" s="1"/>
  <c r="D750" i="28" l="1"/>
  <c r="F750" i="28" s="1"/>
  <c r="J750" i="28" s="1"/>
  <c r="P750" i="28" s="1"/>
  <c r="B751" i="28"/>
  <c r="A752" i="28"/>
  <c r="C751" i="28"/>
  <c r="E751" i="28" s="1"/>
  <c r="I751" i="28" s="1"/>
  <c r="N751" i="28"/>
  <c r="L752" i="28"/>
  <c r="J745" i="23"/>
  <c r="C747" i="23"/>
  <c r="E747" i="23" s="1"/>
  <c r="P744" i="23"/>
  <c r="N745" i="23"/>
  <c r="L746" i="23"/>
  <c r="I746" i="23" s="1"/>
  <c r="D746" i="23"/>
  <c r="F746" i="23" s="1"/>
  <c r="B752" i="28" l="1"/>
  <c r="D751" i="28"/>
  <c r="F751" i="28" s="1"/>
  <c r="J751" i="28" s="1"/>
  <c r="P751" i="28" s="1"/>
  <c r="A753" i="28"/>
  <c r="C752" i="28"/>
  <c r="E752" i="28" s="1"/>
  <c r="I752" i="28" s="1"/>
  <c r="L753" i="28"/>
  <c r="N752" i="28"/>
  <c r="J746" i="23"/>
  <c r="C748" i="23"/>
  <c r="E748" i="23" s="1"/>
  <c r="P745" i="23"/>
  <c r="N746" i="23"/>
  <c r="L747" i="23"/>
  <c r="I747" i="23" s="1"/>
  <c r="D747" i="23"/>
  <c r="F747" i="23" s="1"/>
  <c r="D752" i="28" l="1"/>
  <c r="F752" i="28" s="1"/>
  <c r="J752" i="28" s="1"/>
  <c r="P752" i="28" s="1"/>
  <c r="B753" i="28"/>
  <c r="A754" i="28"/>
  <c r="C753" i="28"/>
  <c r="E753" i="28" s="1"/>
  <c r="I753" i="28" s="1"/>
  <c r="N753" i="28"/>
  <c r="L754" i="28"/>
  <c r="J747" i="23"/>
  <c r="C749" i="23"/>
  <c r="E749" i="23" s="1"/>
  <c r="P746" i="23"/>
  <c r="N747" i="23"/>
  <c r="L748" i="23"/>
  <c r="I748" i="23" s="1"/>
  <c r="D748" i="23"/>
  <c r="F748" i="23" s="1"/>
  <c r="D753" i="28" l="1"/>
  <c r="F753" i="28" s="1"/>
  <c r="J753" i="28" s="1"/>
  <c r="P753" i="28" s="1"/>
  <c r="B754" i="28"/>
  <c r="A755" i="28"/>
  <c r="C754" i="28"/>
  <c r="E754" i="28" s="1"/>
  <c r="I754" i="28" s="1"/>
  <c r="L755" i="28"/>
  <c r="N754" i="28"/>
  <c r="J748" i="23"/>
  <c r="C750" i="23"/>
  <c r="E750" i="23" s="1"/>
  <c r="P747" i="23"/>
  <c r="N748" i="23"/>
  <c r="L749" i="23"/>
  <c r="I749" i="23" s="1"/>
  <c r="D749" i="23"/>
  <c r="F749" i="23" s="1"/>
  <c r="D754" i="28" l="1"/>
  <c r="F754" i="28" s="1"/>
  <c r="J754" i="28" s="1"/>
  <c r="P754" i="28" s="1"/>
  <c r="B755" i="28"/>
  <c r="A756" i="28"/>
  <c r="C755" i="28"/>
  <c r="E755" i="28" s="1"/>
  <c r="I755" i="28" s="1"/>
  <c r="N755" i="28"/>
  <c r="L756" i="28"/>
  <c r="J749" i="23"/>
  <c r="C751" i="23"/>
  <c r="E751" i="23" s="1"/>
  <c r="P748" i="23"/>
  <c r="N749" i="23"/>
  <c r="L750" i="23"/>
  <c r="I750" i="23" s="1"/>
  <c r="D750" i="23"/>
  <c r="F750" i="23" s="1"/>
  <c r="B756" i="28" l="1"/>
  <c r="D755" i="28"/>
  <c r="F755" i="28" s="1"/>
  <c r="J755" i="28" s="1"/>
  <c r="P755" i="28" s="1"/>
  <c r="A757" i="28"/>
  <c r="C756" i="28"/>
  <c r="E756" i="28" s="1"/>
  <c r="I756" i="28" s="1"/>
  <c r="L757" i="28"/>
  <c r="N756" i="28"/>
  <c r="J750" i="23"/>
  <c r="C752" i="23"/>
  <c r="E752" i="23" s="1"/>
  <c r="P749" i="23"/>
  <c r="N750" i="23"/>
  <c r="L751" i="23"/>
  <c r="I751" i="23" s="1"/>
  <c r="D751" i="23"/>
  <c r="F751" i="23" s="1"/>
  <c r="D756" i="28" l="1"/>
  <c r="F756" i="28" s="1"/>
  <c r="J756" i="28" s="1"/>
  <c r="P756" i="28" s="1"/>
  <c r="B757" i="28"/>
  <c r="A758" i="28"/>
  <c r="C757" i="28"/>
  <c r="E757" i="28" s="1"/>
  <c r="I757" i="28" s="1"/>
  <c r="N757" i="28"/>
  <c r="L758" i="28"/>
  <c r="J751" i="23"/>
  <c r="C753" i="23"/>
  <c r="E753" i="23" s="1"/>
  <c r="P750" i="23"/>
  <c r="N751" i="23"/>
  <c r="L752" i="23"/>
  <c r="I752" i="23" s="1"/>
  <c r="D752" i="23"/>
  <c r="F752" i="23" s="1"/>
  <c r="B758" i="28" l="1"/>
  <c r="D757" i="28"/>
  <c r="F757" i="28" s="1"/>
  <c r="J757" i="28" s="1"/>
  <c r="P757" i="28" s="1"/>
  <c r="A759" i="28"/>
  <c r="C758" i="28"/>
  <c r="E758" i="28" s="1"/>
  <c r="I758" i="28" s="1"/>
  <c r="L759" i="28"/>
  <c r="N758" i="28"/>
  <c r="J752" i="23"/>
  <c r="C754" i="23"/>
  <c r="E754" i="23" s="1"/>
  <c r="P751" i="23"/>
  <c r="N752" i="23"/>
  <c r="L753" i="23"/>
  <c r="I753" i="23" s="1"/>
  <c r="D753" i="23"/>
  <c r="F753" i="23" s="1"/>
  <c r="B759" i="28" l="1"/>
  <c r="D758" i="28"/>
  <c r="F758" i="28" s="1"/>
  <c r="J758" i="28" s="1"/>
  <c r="P758" i="28" s="1"/>
  <c r="A760" i="28"/>
  <c r="C759" i="28"/>
  <c r="E759" i="28" s="1"/>
  <c r="I759" i="28" s="1"/>
  <c r="L760" i="28"/>
  <c r="N759" i="28"/>
  <c r="J753" i="23"/>
  <c r="C755" i="23"/>
  <c r="E755" i="23" s="1"/>
  <c r="P752" i="23"/>
  <c r="N753" i="23"/>
  <c r="L754" i="23"/>
  <c r="I754" i="23" s="1"/>
  <c r="D754" i="23"/>
  <c r="F754" i="23" s="1"/>
  <c r="D759" i="28" l="1"/>
  <c r="F759" i="28" s="1"/>
  <c r="J759" i="28" s="1"/>
  <c r="P759" i="28" s="1"/>
  <c r="B760" i="28"/>
  <c r="A761" i="28"/>
  <c r="C760" i="28"/>
  <c r="E760" i="28" s="1"/>
  <c r="I760" i="28" s="1"/>
  <c r="N760" i="28"/>
  <c r="L761" i="28"/>
  <c r="J754" i="23"/>
  <c r="C756" i="23"/>
  <c r="E756" i="23" s="1"/>
  <c r="P753" i="23"/>
  <c r="N754" i="23"/>
  <c r="L755" i="23"/>
  <c r="I755" i="23" s="1"/>
  <c r="D755" i="23"/>
  <c r="F755" i="23" s="1"/>
  <c r="D760" i="28" l="1"/>
  <c r="F760" i="28" s="1"/>
  <c r="J760" i="28" s="1"/>
  <c r="P760" i="28" s="1"/>
  <c r="B761" i="28"/>
  <c r="A762" i="28"/>
  <c r="C761" i="28"/>
  <c r="E761" i="28" s="1"/>
  <c r="I761" i="28" s="1"/>
  <c r="L762" i="28"/>
  <c r="N761" i="28"/>
  <c r="J755" i="23"/>
  <c r="C757" i="23"/>
  <c r="E757" i="23" s="1"/>
  <c r="P754" i="23"/>
  <c r="N755" i="23"/>
  <c r="L756" i="23"/>
  <c r="I756" i="23" s="1"/>
  <c r="D756" i="23"/>
  <c r="F756" i="23" s="1"/>
  <c r="B762" i="28" l="1"/>
  <c r="D761" i="28"/>
  <c r="F761" i="28" s="1"/>
  <c r="J761" i="28" s="1"/>
  <c r="P761" i="28" s="1"/>
  <c r="A763" i="28"/>
  <c r="C762" i="28"/>
  <c r="E762" i="28" s="1"/>
  <c r="I762" i="28" s="1"/>
  <c r="N762" i="28"/>
  <c r="L763" i="28"/>
  <c r="J756" i="23"/>
  <c r="C758" i="23"/>
  <c r="E758" i="23" s="1"/>
  <c r="P755" i="23"/>
  <c r="N756" i="23"/>
  <c r="L757" i="23"/>
  <c r="I757" i="23" s="1"/>
  <c r="D757" i="23"/>
  <c r="F757" i="23" s="1"/>
  <c r="D762" i="28" l="1"/>
  <c r="F762" i="28" s="1"/>
  <c r="J762" i="28" s="1"/>
  <c r="P762" i="28" s="1"/>
  <c r="B763" i="28"/>
  <c r="A764" i="28"/>
  <c r="C763" i="28"/>
  <c r="E763" i="28" s="1"/>
  <c r="I763" i="28" s="1"/>
  <c r="L764" i="28"/>
  <c r="N763" i="28"/>
  <c r="J757" i="23"/>
  <c r="C759" i="23"/>
  <c r="E759" i="23" s="1"/>
  <c r="P756" i="23"/>
  <c r="N757" i="23"/>
  <c r="L758" i="23"/>
  <c r="I758" i="23" s="1"/>
  <c r="D758" i="23"/>
  <c r="F758" i="23" s="1"/>
  <c r="B764" i="28" l="1"/>
  <c r="D763" i="28"/>
  <c r="F763" i="28" s="1"/>
  <c r="J763" i="28" s="1"/>
  <c r="P763" i="28" s="1"/>
  <c r="A765" i="28"/>
  <c r="C764" i="28"/>
  <c r="E764" i="28" s="1"/>
  <c r="I764" i="28" s="1"/>
  <c r="N764" i="28"/>
  <c r="L765" i="28"/>
  <c r="J758" i="23"/>
  <c r="C760" i="23"/>
  <c r="E760" i="23" s="1"/>
  <c r="P757" i="23"/>
  <c r="N758" i="23"/>
  <c r="L759" i="23"/>
  <c r="I759" i="23" s="1"/>
  <c r="D759" i="23"/>
  <c r="F759" i="23" s="1"/>
  <c r="B765" i="28" l="1"/>
  <c r="D764" i="28"/>
  <c r="F764" i="28" s="1"/>
  <c r="J764" i="28" s="1"/>
  <c r="P764" i="28" s="1"/>
  <c r="A766" i="28"/>
  <c r="C765" i="28"/>
  <c r="E765" i="28" s="1"/>
  <c r="I765" i="28" s="1"/>
  <c r="L766" i="28"/>
  <c r="N765" i="28"/>
  <c r="J759" i="23"/>
  <c r="C761" i="23"/>
  <c r="E761" i="23" s="1"/>
  <c r="P758" i="23"/>
  <c r="N759" i="23"/>
  <c r="L760" i="23"/>
  <c r="I760" i="23" s="1"/>
  <c r="D760" i="23"/>
  <c r="F760" i="23" s="1"/>
  <c r="D765" i="28" l="1"/>
  <c r="F765" i="28" s="1"/>
  <c r="J765" i="28" s="1"/>
  <c r="P765" i="28" s="1"/>
  <c r="B766" i="28"/>
  <c r="A767" i="28"/>
  <c r="C766" i="28"/>
  <c r="E766" i="28" s="1"/>
  <c r="I766" i="28" s="1"/>
  <c r="N766" i="28"/>
  <c r="L767" i="28"/>
  <c r="J760" i="23"/>
  <c r="C762" i="23"/>
  <c r="E762" i="23" s="1"/>
  <c r="P759" i="23"/>
  <c r="N760" i="23"/>
  <c r="L761" i="23"/>
  <c r="I761" i="23" s="1"/>
  <c r="D761" i="23"/>
  <c r="F761" i="23" s="1"/>
  <c r="B767" i="28" l="1"/>
  <c r="D766" i="28"/>
  <c r="F766" i="28" s="1"/>
  <c r="J766" i="28" s="1"/>
  <c r="P766" i="28" s="1"/>
  <c r="A768" i="28"/>
  <c r="C767" i="28"/>
  <c r="E767" i="28" s="1"/>
  <c r="I767" i="28" s="1"/>
  <c r="L768" i="28"/>
  <c r="N767" i="28"/>
  <c r="J761" i="23"/>
  <c r="C763" i="23"/>
  <c r="E763" i="23" s="1"/>
  <c r="P760" i="23"/>
  <c r="N761" i="23"/>
  <c r="L762" i="23"/>
  <c r="I762" i="23" s="1"/>
  <c r="D762" i="23"/>
  <c r="F762" i="23" s="1"/>
  <c r="B768" i="28" l="1"/>
  <c r="D767" i="28"/>
  <c r="F767" i="28" s="1"/>
  <c r="J767" i="28" s="1"/>
  <c r="P767" i="28" s="1"/>
  <c r="A769" i="28"/>
  <c r="C768" i="28"/>
  <c r="E768" i="28" s="1"/>
  <c r="I768" i="28" s="1"/>
  <c r="L769" i="28"/>
  <c r="N768" i="28"/>
  <c r="J762" i="23"/>
  <c r="C764" i="23"/>
  <c r="E764" i="23" s="1"/>
  <c r="P761" i="23"/>
  <c r="N762" i="23"/>
  <c r="L763" i="23"/>
  <c r="I763" i="23" s="1"/>
  <c r="D763" i="23"/>
  <c r="F763" i="23" s="1"/>
  <c r="B769" i="28" l="1"/>
  <c r="D768" i="28"/>
  <c r="F768" i="28" s="1"/>
  <c r="J768" i="28" s="1"/>
  <c r="P768" i="28" s="1"/>
  <c r="A770" i="28"/>
  <c r="C769" i="28"/>
  <c r="E769" i="28" s="1"/>
  <c r="I769" i="28" s="1"/>
  <c r="L770" i="28"/>
  <c r="N769" i="28"/>
  <c r="J763" i="23"/>
  <c r="C765" i="23"/>
  <c r="E765" i="23" s="1"/>
  <c r="P762" i="23"/>
  <c r="N763" i="23"/>
  <c r="L764" i="23"/>
  <c r="I764" i="23" s="1"/>
  <c r="D764" i="23"/>
  <c r="F764" i="23" s="1"/>
  <c r="D769" i="28" l="1"/>
  <c r="F769" i="28" s="1"/>
  <c r="J769" i="28" s="1"/>
  <c r="P769" i="28" s="1"/>
  <c r="B770" i="28"/>
  <c r="A771" i="28"/>
  <c r="C770" i="28"/>
  <c r="E770" i="28" s="1"/>
  <c r="I770" i="28" s="1"/>
  <c r="L771" i="28"/>
  <c r="N770" i="28"/>
  <c r="J764" i="23"/>
  <c r="C766" i="23"/>
  <c r="E766" i="23" s="1"/>
  <c r="P763" i="23"/>
  <c r="N764" i="23"/>
  <c r="L765" i="23"/>
  <c r="I765" i="23" s="1"/>
  <c r="D765" i="23"/>
  <c r="F765" i="23" s="1"/>
  <c r="B771" i="28" l="1"/>
  <c r="D770" i="28"/>
  <c r="F770" i="28" s="1"/>
  <c r="J770" i="28" s="1"/>
  <c r="P770" i="28" s="1"/>
  <c r="A772" i="28"/>
  <c r="C771" i="28"/>
  <c r="E771" i="28" s="1"/>
  <c r="I771" i="28" s="1"/>
  <c r="L772" i="28"/>
  <c r="N771" i="28"/>
  <c r="J765" i="23"/>
  <c r="C767" i="23"/>
  <c r="E767" i="23" s="1"/>
  <c r="P764" i="23"/>
  <c r="N765" i="23"/>
  <c r="L766" i="23"/>
  <c r="I766" i="23" s="1"/>
  <c r="D766" i="23"/>
  <c r="F766" i="23" s="1"/>
  <c r="D771" i="28" l="1"/>
  <c r="F771" i="28" s="1"/>
  <c r="J771" i="28" s="1"/>
  <c r="P771" i="28" s="1"/>
  <c r="B772" i="28"/>
  <c r="A773" i="28"/>
  <c r="C772" i="28"/>
  <c r="E772" i="28" s="1"/>
  <c r="I772" i="28" s="1"/>
  <c r="L773" i="28"/>
  <c r="N772" i="28"/>
  <c r="J766" i="23"/>
  <c r="C768" i="23"/>
  <c r="E768" i="23" s="1"/>
  <c r="P765" i="23"/>
  <c r="N766" i="23"/>
  <c r="L767" i="23"/>
  <c r="I767" i="23" s="1"/>
  <c r="D767" i="23"/>
  <c r="F767" i="23" s="1"/>
  <c r="D772" i="28" l="1"/>
  <c r="F772" i="28" s="1"/>
  <c r="J772" i="28" s="1"/>
  <c r="P772" i="28" s="1"/>
  <c r="B773" i="28"/>
  <c r="A774" i="28"/>
  <c r="C773" i="28"/>
  <c r="E773" i="28" s="1"/>
  <c r="I773" i="28" s="1"/>
  <c r="L774" i="28"/>
  <c r="N773" i="28"/>
  <c r="J767" i="23"/>
  <c r="C769" i="23"/>
  <c r="E769" i="23" s="1"/>
  <c r="P766" i="23"/>
  <c r="N767" i="23"/>
  <c r="L768" i="23"/>
  <c r="I768" i="23" s="1"/>
  <c r="D768" i="23"/>
  <c r="F768" i="23" s="1"/>
  <c r="D773" i="28" l="1"/>
  <c r="F773" i="28" s="1"/>
  <c r="J773" i="28" s="1"/>
  <c r="P773" i="28" s="1"/>
  <c r="B774" i="28"/>
  <c r="A775" i="28"/>
  <c r="C774" i="28"/>
  <c r="E774" i="28" s="1"/>
  <c r="I774" i="28" s="1"/>
  <c r="L775" i="28"/>
  <c r="N774" i="28"/>
  <c r="J768" i="23"/>
  <c r="C770" i="23"/>
  <c r="E770" i="23" s="1"/>
  <c r="P767" i="23"/>
  <c r="N768" i="23"/>
  <c r="L769" i="23"/>
  <c r="I769" i="23" s="1"/>
  <c r="D769" i="23"/>
  <c r="F769" i="23" s="1"/>
  <c r="D774" i="28" l="1"/>
  <c r="F774" i="28" s="1"/>
  <c r="J774" i="28" s="1"/>
  <c r="P774" i="28" s="1"/>
  <c r="B775" i="28"/>
  <c r="A776" i="28"/>
  <c r="C775" i="28"/>
  <c r="E775" i="28" s="1"/>
  <c r="I775" i="28" s="1"/>
  <c r="L776" i="28"/>
  <c r="N775" i="28"/>
  <c r="J769" i="23"/>
  <c r="C771" i="23"/>
  <c r="E771" i="23" s="1"/>
  <c r="P768" i="23"/>
  <c r="N769" i="23"/>
  <c r="L770" i="23"/>
  <c r="I770" i="23" s="1"/>
  <c r="D770" i="23"/>
  <c r="F770" i="23" s="1"/>
  <c r="B776" i="28" l="1"/>
  <c r="D775" i="28"/>
  <c r="F775" i="28" s="1"/>
  <c r="J775" i="28" s="1"/>
  <c r="P775" i="28" s="1"/>
  <c r="A777" i="28"/>
  <c r="C776" i="28"/>
  <c r="E776" i="28" s="1"/>
  <c r="I776" i="28" s="1"/>
  <c r="N776" i="28"/>
  <c r="L777" i="28"/>
  <c r="J770" i="23"/>
  <c r="C772" i="23"/>
  <c r="E772" i="23" s="1"/>
  <c r="P769" i="23"/>
  <c r="N770" i="23"/>
  <c r="L771" i="23"/>
  <c r="I771" i="23" s="1"/>
  <c r="D771" i="23"/>
  <c r="F771" i="23" s="1"/>
  <c r="B777" i="28" l="1"/>
  <c r="D776" i="28"/>
  <c r="F776" i="28" s="1"/>
  <c r="J776" i="28" s="1"/>
  <c r="P776" i="28" s="1"/>
  <c r="A778" i="28"/>
  <c r="C777" i="28"/>
  <c r="E777" i="28" s="1"/>
  <c r="I777" i="28" s="1"/>
  <c r="L778" i="28"/>
  <c r="N777" i="28"/>
  <c r="J771" i="23"/>
  <c r="C773" i="23"/>
  <c r="E773" i="23" s="1"/>
  <c r="P770" i="23"/>
  <c r="N771" i="23"/>
  <c r="L772" i="23"/>
  <c r="I772" i="23" s="1"/>
  <c r="D772" i="23"/>
  <c r="F772" i="23" s="1"/>
  <c r="B778" i="28" l="1"/>
  <c r="D777" i="28"/>
  <c r="F777" i="28" s="1"/>
  <c r="J777" i="28" s="1"/>
  <c r="P777" i="28" s="1"/>
  <c r="A779" i="28"/>
  <c r="C778" i="28"/>
  <c r="E778" i="28" s="1"/>
  <c r="I778" i="28" s="1"/>
  <c r="N778" i="28"/>
  <c r="L779" i="28"/>
  <c r="J772" i="23"/>
  <c r="C774" i="23"/>
  <c r="E774" i="23" s="1"/>
  <c r="P771" i="23"/>
  <c r="N772" i="23"/>
  <c r="L773" i="23"/>
  <c r="I773" i="23" s="1"/>
  <c r="D773" i="23"/>
  <c r="F773" i="23" s="1"/>
  <c r="D778" i="28" l="1"/>
  <c r="F778" i="28" s="1"/>
  <c r="J778" i="28" s="1"/>
  <c r="P778" i="28" s="1"/>
  <c r="B779" i="28"/>
  <c r="A780" i="28"/>
  <c r="C779" i="28"/>
  <c r="E779" i="28" s="1"/>
  <c r="I779" i="28" s="1"/>
  <c r="L780" i="28"/>
  <c r="N779" i="28"/>
  <c r="J773" i="23"/>
  <c r="C775" i="23"/>
  <c r="E775" i="23" s="1"/>
  <c r="P772" i="23"/>
  <c r="N773" i="23"/>
  <c r="L774" i="23"/>
  <c r="I774" i="23" s="1"/>
  <c r="D774" i="23"/>
  <c r="F774" i="23" s="1"/>
  <c r="B780" i="28" l="1"/>
  <c r="D779" i="28"/>
  <c r="F779" i="28" s="1"/>
  <c r="J779" i="28" s="1"/>
  <c r="P779" i="28" s="1"/>
  <c r="A781" i="28"/>
  <c r="C780" i="28"/>
  <c r="E780" i="28" s="1"/>
  <c r="I780" i="28" s="1"/>
  <c r="N780" i="28"/>
  <c r="L781" i="28"/>
  <c r="J774" i="23"/>
  <c r="C776" i="23"/>
  <c r="E776" i="23" s="1"/>
  <c r="P773" i="23"/>
  <c r="N774" i="23"/>
  <c r="L775" i="23"/>
  <c r="I775" i="23" s="1"/>
  <c r="D775" i="23"/>
  <c r="F775" i="23" s="1"/>
  <c r="B781" i="28" l="1"/>
  <c r="D780" i="28"/>
  <c r="F780" i="28" s="1"/>
  <c r="J780" i="28" s="1"/>
  <c r="P780" i="28" s="1"/>
  <c r="A782" i="28"/>
  <c r="C781" i="28"/>
  <c r="E781" i="28" s="1"/>
  <c r="I781" i="28" s="1"/>
  <c r="L782" i="28"/>
  <c r="N781" i="28"/>
  <c r="J775" i="23"/>
  <c r="C777" i="23"/>
  <c r="E777" i="23" s="1"/>
  <c r="P774" i="23"/>
  <c r="N775" i="23"/>
  <c r="L776" i="23"/>
  <c r="I776" i="23" s="1"/>
  <c r="D776" i="23"/>
  <c r="F776" i="23" s="1"/>
  <c r="B782" i="28" l="1"/>
  <c r="D781" i="28"/>
  <c r="F781" i="28" s="1"/>
  <c r="J781" i="28" s="1"/>
  <c r="P781" i="28" s="1"/>
  <c r="A783" i="28"/>
  <c r="C782" i="28"/>
  <c r="E782" i="28" s="1"/>
  <c r="I782" i="28" s="1"/>
  <c r="N782" i="28"/>
  <c r="L783" i="28"/>
  <c r="J776" i="23"/>
  <c r="C778" i="23"/>
  <c r="E778" i="23" s="1"/>
  <c r="P775" i="23"/>
  <c r="N776" i="23"/>
  <c r="L777" i="23"/>
  <c r="I777" i="23" s="1"/>
  <c r="D777" i="23"/>
  <c r="F777" i="23" s="1"/>
  <c r="D782" i="28" l="1"/>
  <c r="F782" i="28" s="1"/>
  <c r="J782" i="28" s="1"/>
  <c r="P782" i="28" s="1"/>
  <c r="B783" i="28"/>
  <c r="A784" i="28"/>
  <c r="C783" i="28"/>
  <c r="E783" i="28" s="1"/>
  <c r="I783" i="28" s="1"/>
  <c r="L784" i="28"/>
  <c r="N783" i="28"/>
  <c r="J777" i="23"/>
  <c r="C779" i="23"/>
  <c r="E779" i="23" s="1"/>
  <c r="P776" i="23"/>
  <c r="N777" i="23"/>
  <c r="L778" i="23"/>
  <c r="I778" i="23" s="1"/>
  <c r="D778" i="23"/>
  <c r="F778" i="23" s="1"/>
  <c r="B784" i="28" l="1"/>
  <c r="D783" i="28"/>
  <c r="F783" i="28" s="1"/>
  <c r="J783" i="28" s="1"/>
  <c r="P783" i="28" s="1"/>
  <c r="A785" i="28"/>
  <c r="C784" i="28"/>
  <c r="E784" i="28" s="1"/>
  <c r="I784" i="28" s="1"/>
  <c r="L785" i="28"/>
  <c r="N784" i="28"/>
  <c r="J778" i="23"/>
  <c r="C780" i="23"/>
  <c r="E780" i="23" s="1"/>
  <c r="P777" i="23"/>
  <c r="N778" i="23"/>
  <c r="L779" i="23"/>
  <c r="I779" i="23" s="1"/>
  <c r="D779" i="23"/>
  <c r="F779" i="23" s="1"/>
  <c r="B785" i="28" l="1"/>
  <c r="D784" i="28"/>
  <c r="F784" i="28" s="1"/>
  <c r="J784" i="28" s="1"/>
  <c r="P784" i="28" s="1"/>
  <c r="A786" i="28"/>
  <c r="C785" i="28"/>
  <c r="E785" i="28" s="1"/>
  <c r="I785" i="28" s="1"/>
  <c r="L786" i="28"/>
  <c r="N785" i="28"/>
  <c r="J779" i="23"/>
  <c r="C781" i="23"/>
  <c r="E781" i="23" s="1"/>
  <c r="P778" i="23"/>
  <c r="N779" i="23"/>
  <c r="L780" i="23"/>
  <c r="I780" i="23" s="1"/>
  <c r="D780" i="23"/>
  <c r="F780" i="23" s="1"/>
  <c r="D785" i="28" l="1"/>
  <c r="F785" i="28" s="1"/>
  <c r="J785" i="28" s="1"/>
  <c r="P785" i="28" s="1"/>
  <c r="B786" i="28"/>
  <c r="A787" i="28"/>
  <c r="C786" i="28"/>
  <c r="E786" i="28" s="1"/>
  <c r="I786" i="28" s="1"/>
  <c r="L787" i="28"/>
  <c r="N786" i="28"/>
  <c r="J780" i="23"/>
  <c r="C782" i="23"/>
  <c r="E782" i="23" s="1"/>
  <c r="P779" i="23"/>
  <c r="N780" i="23"/>
  <c r="L781" i="23"/>
  <c r="I781" i="23" s="1"/>
  <c r="D781" i="23"/>
  <c r="F781" i="23" s="1"/>
  <c r="D786" i="28" l="1"/>
  <c r="F786" i="28" s="1"/>
  <c r="J786" i="28" s="1"/>
  <c r="P786" i="28" s="1"/>
  <c r="B787" i="28"/>
  <c r="A788" i="28"/>
  <c r="C787" i="28"/>
  <c r="E787" i="28" s="1"/>
  <c r="I787" i="28" s="1"/>
  <c r="L788" i="28"/>
  <c r="N787" i="28"/>
  <c r="J781" i="23"/>
  <c r="C783" i="23"/>
  <c r="E783" i="23" s="1"/>
  <c r="P780" i="23"/>
  <c r="N781" i="23"/>
  <c r="L782" i="23"/>
  <c r="I782" i="23" s="1"/>
  <c r="D782" i="23"/>
  <c r="F782" i="23" s="1"/>
  <c r="D787" i="28" l="1"/>
  <c r="F787" i="28" s="1"/>
  <c r="J787" i="28" s="1"/>
  <c r="P787" i="28" s="1"/>
  <c r="B788" i="28"/>
  <c r="A789" i="28"/>
  <c r="C788" i="28"/>
  <c r="E788" i="28" s="1"/>
  <c r="I788" i="28" s="1"/>
  <c r="N788" i="28"/>
  <c r="L789" i="28"/>
  <c r="J782" i="23"/>
  <c r="C784" i="23"/>
  <c r="E784" i="23" s="1"/>
  <c r="P781" i="23"/>
  <c r="N782" i="23"/>
  <c r="L783" i="23"/>
  <c r="I783" i="23" s="1"/>
  <c r="D783" i="23"/>
  <c r="F783" i="23" s="1"/>
  <c r="B789" i="28" l="1"/>
  <c r="D788" i="28"/>
  <c r="F788" i="28" s="1"/>
  <c r="J788" i="28" s="1"/>
  <c r="P788" i="28" s="1"/>
  <c r="A790" i="28"/>
  <c r="C789" i="28"/>
  <c r="E789" i="28" s="1"/>
  <c r="I789" i="28" s="1"/>
  <c r="L790" i="28"/>
  <c r="N789" i="28"/>
  <c r="J783" i="23"/>
  <c r="C785" i="23"/>
  <c r="E785" i="23" s="1"/>
  <c r="P782" i="23"/>
  <c r="N783" i="23"/>
  <c r="L784" i="23"/>
  <c r="I784" i="23" s="1"/>
  <c r="D784" i="23"/>
  <c r="F784" i="23" s="1"/>
  <c r="B790" i="28" l="1"/>
  <c r="D789" i="28"/>
  <c r="F789" i="28" s="1"/>
  <c r="J789" i="28" s="1"/>
  <c r="P789" i="28" s="1"/>
  <c r="A791" i="28"/>
  <c r="C790" i="28"/>
  <c r="E790" i="28" s="1"/>
  <c r="I790" i="28" s="1"/>
  <c r="L791" i="28"/>
  <c r="N790" i="28"/>
  <c r="J784" i="23"/>
  <c r="C786" i="23"/>
  <c r="E786" i="23" s="1"/>
  <c r="P783" i="23"/>
  <c r="N784" i="23"/>
  <c r="L785" i="23"/>
  <c r="I785" i="23" s="1"/>
  <c r="D785" i="23"/>
  <c r="F785" i="23" s="1"/>
  <c r="D790" i="28" l="1"/>
  <c r="F790" i="28" s="1"/>
  <c r="J790" i="28" s="1"/>
  <c r="P790" i="28" s="1"/>
  <c r="B791" i="28"/>
  <c r="A792" i="28"/>
  <c r="C791" i="28"/>
  <c r="E791" i="28" s="1"/>
  <c r="I791" i="28" s="1"/>
  <c r="L792" i="28"/>
  <c r="N791" i="28"/>
  <c r="J785" i="23"/>
  <c r="C787" i="23"/>
  <c r="E787" i="23" s="1"/>
  <c r="P784" i="23"/>
  <c r="N785" i="23"/>
  <c r="L786" i="23"/>
  <c r="I786" i="23" s="1"/>
  <c r="D786" i="23"/>
  <c r="F786" i="23" s="1"/>
  <c r="B792" i="28" l="1"/>
  <c r="D791" i="28"/>
  <c r="F791" i="28" s="1"/>
  <c r="J791" i="28" s="1"/>
  <c r="P791" i="28" s="1"/>
  <c r="A793" i="28"/>
  <c r="C792" i="28"/>
  <c r="E792" i="28" s="1"/>
  <c r="I792" i="28" s="1"/>
  <c r="N792" i="28"/>
  <c r="L793" i="28"/>
  <c r="J786" i="23"/>
  <c r="C788" i="23"/>
  <c r="E788" i="23" s="1"/>
  <c r="P785" i="23"/>
  <c r="N786" i="23"/>
  <c r="L787" i="23"/>
  <c r="I787" i="23" s="1"/>
  <c r="D787" i="23"/>
  <c r="F787" i="23" s="1"/>
  <c r="B793" i="28" l="1"/>
  <c r="D792" i="28"/>
  <c r="F792" i="28" s="1"/>
  <c r="J792" i="28" s="1"/>
  <c r="P792" i="28" s="1"/>
  <c r="A794" i="28"/>
  <c r="C793" i="28"/>
  <c r="E793" i="28" s="1"/>
  <c r="I793" i="28" s="1"/>
  <c r="L794" i="28"/>
  <c r="N793" i="28"/>
  <c r="J787" i="23"/>
  <c r="C789" i="23"/>
  <c r="E789" i="23" s="1"/>
  <c r="P786" i="23"/>
  <c r="N787" i="23"/>
  <c r="L788" i="23"/>
  <c r="I788" i="23" s="1"/>
  <c r="D788" i="23"/>
  <c r="F788" i="23" s="1"/>
  <c r="B794" i="28" l="1"/>
  <c r="D793" i="28"/>
  <c r="F793" i="28" s="1"/>
  <c r="J793" i="28" s="1"/>
  <c r="P793" i="28" s="1"/>
  <c r="A795" i="28"/>
  <c r="C794" i="28"/>
  <c r="E794" i="28" s="1"/>
  <c r="I794" i="28" s="1"/>
  <c r="N794" i="28"/>
  <c r="L795" i="28"/>
  <c r="J788" i="23"/>
  <c r="C790" i="23"/>
  <c r="E790" i="23" s="1"/>
  <c r="P787" i="23"/>
  <c r="N788" i="23"/>
  <c r="L789" i="23"/>
  <c r="I789" i="23" s="1"/>
  <c r="D789" i="23"/>
  <c r="F789" i="23" s="1"/>
  <c r="D794" i="28" l="1"/>
  <c r="F794" i="28" s="1"/>
  <c r="J794" i="28" s="1"/>
  <c r="P794" i="28" s="1"/>
  <c r="B795" i="28"/>
  <c r="A796" i="28"/>
  <c r="C795" i="28"/>
  <c r="E795" i="28" s="1"/>
  <c r="I795" i="28" s="1"/>
  <c r="L796" i="28"/>
  <c r="N795" i="28"/>
  <c r="J789" i="23"/>
  <c r="C791" i="23"/>
  <c r="E791" i="23" s="1"/>
  <c r="P788" i="23"/>
  <c r="N789" i="23"/>
  <c r="L790" i="23"/>
  <c r="I790" i="23" s="1"/>
  <c r="D790" i="23"/>
  <c r="F790" i="23" s="1"/>
  <c r="B796" i="28" l="1"/>
  <c r="D795" i="28"/>
  <c r="F795" i="28" s="1"/>
  <c r="J795" i="28" s="1"/>
  <c r="P795" i="28" s="1"/>
  <c r="A797" i="28"/>
  <c r="C796" i="28"/>
  <c r="E796" i="28" s="1"/>
  <c r="I796" i="28" s="1"/>
  <c r="N796" i="28"/>
  <c r="L797" i="28"/>
  <c r="J790" i="23"/>
  <c r="C792" i="23"/>
  <c r="E792" i="23" s="1"/>
  <c r="P789" i="23"/>
  <c r="N790" i="23"/>
  <c r="L791" i="23"/>
  <c r="I791" i="23" s="1"/>
  <c r="D791" i="23"/>
  <c r="F791" i="23" s="1"/>
  <c r="B797" i="28" l="1"/>
  <c r="D796" i="28"/>
  <c r="F796" i="28" s="1"/>
  <c r="J796" i="28" s="1"/>
  <c r="P796" i="28" s="1"/>
  <c r="A798" i="28"/>
  <c r="C797" i="28"/>
  <c r="E797" i="28" s="1"/>
  <c r="I797" i="28" s="1"/>
  <c r="L798" i="28"/>
  <c r="N797" i="28"/>
  <c r="J791" i="23"/>
  <c r="C793" i="23"/>
  <c r="E793" i="23" s="1"/>
  <c r="P790" i="23"/>
  <c r="N791" i="23"/>
  <c r="L792" i="23"/>
  <c r="I792" i="23" s="1"/>
  <c r="D792" i="23"/>
  <c r="F792" i="23" s="1"/>
  <c r="B798" i="28" l="1"/>
  <c r="D797" i="28"/>
  <c r="F797" i="28" s="1"/>
  <c r="J797" i="28" s="1"/>
  <c r="P797" i="28" s="1"/>
  <c r="A799" i="28"/>
  <c r="C798" i="28"/>
  <c r="E798" i="28" s="1"/>
  <c r="I798" i="28" s="1"/>
  <c r="N798" i="28"/>
  <c r="L799" i="28"/>
  <c r="J792" i="23"/>
  <c r="C794" i="23"/>
  <c r="E794" i="23" s="1"/>
  <c r="P791" i="23"/>
  <c r="N792" i="23"/>
  <c r="L793" i="23"/>
  <c r="I793" i="23" s="1"/>
  <c r="D793" i="23"/>
  <c r="F793" i="23" s="1"/>
  <c r="D798" i="28" l="1"/>
  <c r="F798" i="28" s="1"/>
  <c r="J798" i="28" s="1"/>
  <c r="P798" i="28" s="1"/>
  <c r="B799" i="28"/>
  <c r="A800" i="28"/>
  <c r="C799" i="28"/>
  <c r="E799" i="28" s="1"/>
  <c r="I799" i="28" s="1"/>
  <c r="L800" i="28"/>
  <c r="N799" i="28"/>
  <c r="J793" i="23"/>
  <c r="C795" i="23"/>
  <c r="E795" i="23" s="1"/>
  <c r="P792" i="23"/>
  <c r="N793" i="23"/>
  <c r="L794" i="23"/>
  <c r="I794" i="23" s="1"/>
  <c r="D794" i="23"/>
  <c r="F794" i="23" s="1"/>
  <c r="B800" i="28" l="1"/>
  <c r="D799" i="28"/>
  <c r="F799" i="28" s="1"/>
  <c r="J799" i="28" s="1"/>
  <c r="P799" i="28" s="1"/>
  <c r="A801" i="28"/>
  <c r="C800" i="28"/>
  <c r="E800" i="28" s="1"/>
  <c r="I800" i="28" s="1"/>
  <c r="N800" i="28"/>
  <c r="L801" i="28"/>
  <c r="J794" i="23"/>
  <c r="C796" i="23"/>
  <c r="E796" i="23" s="1"/>
  <c r="P793" i="23"/>
  <c r="N794" i="23"/>
  <c r="L795" i="23"/>
  <c r="I795" i="23" s="1"/>
  <c r="D795" i="23"/>
  <c r="F795" i="23" s="1"/>
  <c r="D800" i="28" l="1"/>
  <c r="F800" i="28" s="1"/>
  <c r="J800" i="28" s="1"/>
  <c r="P800" i="28" s="1"/>
  <c r="B801" i="28"/>
  <c r="A802" i="28"/>
  <c r="C801" i="28"/>
  <c r="E801" i="28" s="1"/>
  <c r="I801" i="28" s="1"/>
  <c r="L802" i="28"/>
  <c r="N801" i="28"/>
  <c r="J795" i="23"/>
  <c r="C797" i="23"/>
  <c r="E797" i="23" s="1"/>
  <c r="P794" i="23"/>
  <c r="N795" i="23"/>
  <c r="L796" i="23"/>
  <c r="I796" i="23" s="1"/>
  <c r="D796" i="23"/>
  <c r="F796" i="23" s="1"/>
  <c r="B802" i="28" l="1"/>
  <c r="D801" i="28"/>
  <c r="F801" i="28" s="1"/>
  <c r="J801" i="28" s="1"/>
  <c r="P801" i="28" s="1"/>
  <c r="A803" i="28"/>
  <c r="C802" i="28"/>
  <c r="E802" i="28" s="1"/>
  <c r="I802" i="28" s="1"/>
  <c r="L803" i="28"/>
  <c r="N802" i="28"/>
  <c r="J796" i="23"/>
  <c r="C798" i="23"/>
  <c r="E798" i="23" s="1"/>
  <c r="P795" i="23"/>
  <c r="N796" i="23"/>
  <c r="L797" i="23"/>
  <c r="I797" i="23" s="1"/>
  <c r="D797" i="23"/>
  <c r="F797" i="23" s="1"/>
  <c r="D802" i="28" l="1"/>
  <c r="F802" i="28" s="1"/>
  <c r="J802" i="28" s="1"/>
  <c r="P802" i="28" s="1"/>
  <c r="B803" i="28"/>
  <c r="A804" i="28"/>
  <c r="C803" i="28"/>
  <c r="E803" i="28" s="1"/>
  <c r="I803" i="28" s="1"/>
  <c r="L804" i="28"/>
  <c r="N803" i="28"/>
  <c r="J797" i="23"/>
  <c r="C799" i="23"/>
  <c r="E799" i="23" s="1"/>
  <c r="P796" i="23"/>
  <c r="N797" i="23"/>
  <c r="L798" i="23"/>
  <c r="I798" i="23" s="1"/>
  <c r="D798" i="23"/>
  <c r="F798" i="23" s="1"/>
  <c r="D803" i="28" l="1"/>
  <c r="F803" i="28" s="1"/>
  <c r="J803" i="28" s="1"/>
  <c r="P803" i="28" s="1"/>
  <c r="B804" i="28"/>
  <c r="A805" i="28"/>
  <c r="C804" i="28"/>
  <c r="E804" i="28" s="1"/>
  <c r="I804" i="28" s="1"/>
  <c r="N804" i="28"/>
  <c r="L805" i="28"/>
  <c r="J798" i="23"/>
  <c r="C800" i="23"/>
  <c r="E800" i="23" s="1"/>
  <c r="P797" i="23"/>
  <c r="N798" i="23"/>
  <c r="L799" i="23"/>
  <c r="I799" i="23" s="1"/>
  <c r="D799" i="23"/>
  <c r="F799" i="23" s="1"/>
  <c r="D804" i="28" l="1"/>
  <c r="F804" i="28" s="1"/>
  <c r="J804" i="28" s="1"/>
  <c r="P804" i="28" s="1"/>
  <c r="B805" i="28"/>
  <c r="A806" i="28"/>
  <c r="C805" i="28"/>
  <c r="E805" i="28" s="1"/>
  <c r="I805" i="28" s="1"/>
  <c r="L806" i="28"/>
  <c r="N805" i="28"/>
  <c r="J799" i="23"/>
  <c r="C801" i="23"/>
  <c r="E801" i="23" s="1"/>
  <c r="P798" i="23"/>
  <c r="N799" i="23"/>
  <c r="L800" i="23"/>
  <c r="I800" i="23" s="1"/>
  <c r="D800" i="23"/>
  <c r="F800" i="23" s="1"/>
  <c r="B806" i="28" l="1"/>
  <c r="D805" i="28"/>
  <c r="F805" i="28" s="1"/>
  <c r="J805" i="28" s="1"/>
  <c r="P805" i="28" s="1"/>
  <c r="A807" i="28"/>
  <c r="C806" i="28"/>
  <c r="E806" i="28" s="1"/>
  <c r="I806" i="28" s="1"/>
  <c r="L807" i="28"/>
  <c r="N806" i="28"/>
  <c r="J800" i="23"/>
  <c r="C802" i="23"/>
  <c r="E802" i="23" s="1"/>
  <c r="P799" i="23"/>
  <c r="N800" i="23"/>
  <c r="L801" i="23"/>
  <c r="I801" i="23" s="1"/>
  <c r="D801" i="23"/>
  <c r="F801" i="23" s="1"/>
  <c r="D806" i="28" l="1"/>
  <c r="F806" i="28" s="1"/>
  <c r="J806" i="28" s="1"/>
  <c r="P806" i="28" s="1"/>
  <c r="B807" i="28"/>
  <c r="A808" i="28"/>
  <c r="C807" i="28"/>
  <c r="E807" i="28" s="1"/>
  <c r="I807" i="28" s="1"/>
  <c r="L808" i="28"/>
  <c r="N807" i="28"/>
  <c r="J801" i="23"/>
  <c r="C803" i="23"/>
  <c r="E803" i="23" s="1"/>
  <c r="P800" i="23"/>
  <c r="N801" i="23"/>
  <c r="L802" i="23"/>
  <c r="I802" i="23" s="1"/>
  <c r="D802" i="23"/>
  <c r="F802" i="23" s="1"/>
  <c r="B808" i="28" l="1"/>
  <c r="D807" i="28"/>
  <c r="F807" i="28" s="1"/>
  <c r="J807" i="28" s="1"/>
  <c r="P807" i="28" s="1"/>
  <c r="A809" i="28"/>
  <c r="C808" i="28"/>
  <c r="E808" i="28" s="1"/>
  <c r="I808" i="28" s="1"/>
  <c r="N808" i="28"/>
  <c r="L809" i="28"/>
  <c r="J802" i="23"/>
  <c r="C804" i="23"/>
  <c r="E804" i="23" s="1"/>
  <c r="P801" i="23"/>
  <c r="N802" i="23"/>
  <c r="L803" i="23"/>
  <c r="I803" i="23" s="1"/>
  <c r="D803" i="23"/>
  <c r="F803" i="23" s="1"/>
  <c r="D808" i="28" l="1"/>
  <c r="F808" i="28" s="1"/>
  <c r="J808" i="28" s="1"/>
  <c r="P808" i="28" s="1"/>
  <c r="B809" i="28"/>
  <c r="A810" i="28"/>
  <c r="C809" i="28"/>
  <c r="E809" i="28" s="1"/>
  <c r="I809" i="28" s="1"/>
  <c r="L810" i="28"/>
  <c r="N809" i="28"/>
  <c r="J803" i="23"/>
  <c r="C805" i="23"/>
  <c r="E805" i="23" s="1"/>
  <c r="P802" i="23"/>
  <c r="N803" i="23"/>
  <c r="L804" i="23"/>
  <c r="I804" i="23" s="1"/>
  <c r="D804" i="23"/>
  <c r="F804" i="23" s="1"/>
  <c r="D809" i="28" l="1"/>
  <c r="F809" i="28" s="1"/>
  <c r="J809" i="28" s="1"/>
  <c r="P809" i="28" s="1"/>
  <c r="B810" i="28"/>
  <c r="A811" i="28"/>
  <c r="C810" i="28"/>
  <c r="E810" i="28" s="1"/>
  <c r="I810" i="28" s="1"/>
  <c r="N810" i="28"/>
  <c r="L811" i="28"/>
  <c r="J804" i="23"/>
  <c r="C806" i="23"/>
  <c r="E806" i="23" s="1"/>
  <c r="P803" i="23"/>
  <c r="N804" i="23"/>
  <c r="L805" i="23"/>
  <c r="I805" i="23" s="1"/>
  <c r="D805" i="23"/>
  <c r="F805" i="23" s="1"/>
  <c r="D810" i="28" l="1"/>
  <c r="F810" i="28" s="1"/>
  <c r="J810" i="28" s="1"/>
  <c r="P810" i="28" s="1"/>
  <c r="B811" i="28"/>
  <c r="A812" i="28"/>
  <c r="C811" i="28"/>
  <c r="E811" i="28" s="1"/>
  <c r="I811" i="28" s="1"/>
  <c r="L812" i="28"/>
  <c r="N811" i="28"/>
  <c r="J805" i="23"/>
  <c r="C807" i="23"/>
  <c r="E807" i="23" s="1"/>
  <c r="P804" i="23"/>
  <c r="N805" i="23"/>
  <c r="L806" i="23"/>
  <c r="I806" i="23" s="1"/>
  <c r="D806" i="23"/>
  <c r="F806" i="23" s="1"/>
  <c r="B812" i="28" l="1"/>
  <c r="D811" i="28"/>
  <c r="F811" i="28" s="1"/>
  <c r="J811" i="28" s="1"/>
  <c r="P811" i="28" s="1"/>
  <c r="A813" i="28"/>
  <c r="C812" i="28"/>
  <c r="E812" i="28" s="1"/>
  <c r="I812" i="28" s="1"/>
  <c r="N812" i="28"/>
  <c r="L813" i="28"/>
  <c r="J806" i="23"/>
  <c r="C808" i="23"/>
  <c r="E808" i="23" s="1"/>
  <c r="P805" i="23"/>
  <c r="N806" i="23"/>
  <c r="L807" i="23"/>
  <c r="I807" i="23" s="1"/>
  <c r="D807" i="23"/>
  <c r="F807" i="23" s="1"/>
  <c r="D812" i="28" l="1"/>
  <c r="F812" i="28" s="1"/>
  <c r="J812" i="28" s="1"/>
  <c r="P812" i="28" s="1"/>
  <c r="B813" i="28"/>
  <c r="A814" i="28"/>
  <c r="C813" i="28"/>
  <c r="E813" i="28" s="1"/>
  <c r="I813" i="28" s="1"/>
  <c r="L814" i="28"/>
  <c r="N813" i="28"/>
  <c r="J807" i="23"/>
  <c r="C809" i="23"/>
  <c r="E809" i="23" s="1"/>
  <c r="P806" i="23"/>
  <c r="N807" i="23"/>
  <c r="L808" i="23"/>
  <c r="I808" i="23" s="1"/>
  <c r="D808" i="23"/>
  <c r="F808" i="23" s="1"/>
  <c r="D813" i="28" l="1"/>
  <c r="F813" i="28" s="1"/>
  <c r="J813" i="28" s="1"/>
  <c r="P813" i="28" s="1"/>
  <c r="B814" i="28"/>
  <c r="A815" i="28"/>
  <c r="C814" i="28"/>
  <c r="E814" i="28" s="1"/>
  <c r="I814" i="28" s="1"/>
  <c r="N814" i="28"/>
  <c r="L815" i="28"/>
  <c r="J808" i="23"/>
  <c r="C810" i="23"/>
  <c r="E810" i="23" s="1"/>
  <c r="P807" i="23"/>
  <c r="N808" i="23"/>
  <c r="L809" i="23"/>
  <c r="I809" i="23" s="1"/>
  <c r="D809" i="23"/>
  <c r="F809" i="23" s="1"/>
  <c r="D814" i="28" l="1"/>
  <c r="F814" i="28" s="1"/>
  <c r="J814" i="28" s="1"/>
  <c r="P814" i="28" s="1"/>
  <c r="B815" i="28"/>
  <c r="A816" i="28"/>
  <c r="C815" i="28"/>
  <c r="E815" i="28" s="1"/>
  <c r="I815" i="28" s="1"/>
  <c r="N815" i="28"/>
  <c r="L816" i="28"/>
  <c r="J809" i="23"/>
  <c r="C811" i="23"/>
  <c r="E811" i="23" s="1"/>
  <c r="P808" i="23"/>
  <c r="N809" i="23"/>
  <c r="L810" i="23"/>
  <c r="I810" i="23" s="1"/>
  <c r="D810" i="23"/>
  <c r="F810" i="23" s="1"/>
  <c r="D815" i="28" l="1"/>
  <c r="F815" i="28" s="1"/>
  <c r="J815" i="28" s="1"/>
  <c r="P815" i="28" s="1"/>
  <c r="B816" i="28"/>
  <c r="A817" i="28"/>
  <c r="C816" i="28"/>
  <c r="E816" i="28" s="1"/>
  <c r="I816" i="28" s="1"/>
  <c r="L817" i="28"/>
  <c r="N816" i="28"/>
  <c r="J810" i="23"/>
  <c r="C812" i="23"/>
  <c r="E812" i="23" s="1"/>
  <c r="P809" i="23"/>
  <c r="N810" i="23"/>
  <c r="L811" i="23"/>
  <c r="I811" i="23" s="1"/>
  <c r="D811" i="23"/>
  <c r="F811" i="23" s="1"/>
  <c r="D816" i="28" l="1"/>
  <c r="F816" i="28" s="1"/>
  <c r="J816" i="28" s="1"/>
  <c r="P816" i="28" s="1"/>
  <c r="B817" i="28"/>
  <c r="A818" i="28"/>
  <c r="C817" i="28"/>
  <c r="E817" i="28" s="1"/>
  <c r="I817" i="28" s="1"/>
  <c r="N817" i="28"/>
  <c r="L818" i="28"/>
  <c r="J811" i="23"/>
  <c r="C813" i="23"/>
  <c r="E813" i="23" s="1"/>
  <c r="P810" i="23"/>
  <c r="N811" i="23"/>
  <c r="L812" i="23"/>
  <c r="I812" i="23" s="1"/>
  <c r="D812" i="23"/>
  <c r="F812" i="23" s="1"/>
  <c r="D817" i="28" l="1"/>
  <c r="F817" i="28" s="1"/>
  <c r="J817" i="28" s="1"/>
  <c r="P817" i="28" s="1"/>
  <c r="B818" i="28"/>
  <c r="A819" i="28"/>
  <c r="C818" i="28"/>
  <c r="E818" i="28" s="1"/>
  <c r="I818" i="28" s="1"/>
  <c r="L819" i="28"/>
  <c r="N818" i="28"/>
  <c r="J812" i="23"/>
  <c r="C814" i="23"/>
  <c r="E814" i="23" s="1"/>
  <c r="P811" i="23"/>
  <c r="N812" i="23"/>
  <c r="L813" i="23"/>
  <c r="I813" i="23" s="1"/>
  <c r="D813" i="23"/>
  <c r="F813" i="23" s="1"/>
  <c r="D818" i="28" l="1"/>
  <c r="F818" i="28" s="1"/>
  <c r="J818" i="28" s="1"/>
  <c r="P818" i="28" s="1"/>
  <c r="B819" i="28"/>
  <c r="A820" i="28"/>
  <c r="C819" i="28"/>
  <c r="E819" i="28" s="1"/>
  <c r="I819" i="28" s="1"/>
  <c r="L820" i="28"/>
  <c r="N819" i="28"/>
  <c r="J813" i="23"/>
  <c r="C815" i="23"/>
  <c r="E815" i="23" s="1"/>
  <c r="P812" i="23"/>
  <c r="N813" i="23"/>
  <c r="L814" i="23"/>
  <c r="I814" i="23" s="1"/>
  <c r="D814" i="23"/>
  <c r="F814" i="23" s="1"/>
  <c r="B820" i="28" l="1"/>
  <c r="D819" i="28"/>
  <c r="F819" i="28" s="1"/>
  <c r="J819" i="28" s="1"/>
  <c r="P819" i="28" s="1"/>
  <c r="A821" i="28"/>
  <c r="C820" i="28"/>
  <c r="E820" i="28" s="1"/>
  <c r="I820" i="28" s="1"/>
  <c r="N820" i="28"/>
  <c r="L821" i="28"/>
  <c r="J814" i="23"/>
  <c r="C816" i="23"/>
  <c r="E816" i="23" s="1"/>
  <c r="P813" i="23"/>
  <c r="N814" i="23"/>
  <c r="L815" i="23"/>
  <c r="I815" i="23" s="1"/>
  <c r="D815" i="23"/>
  <c r="F815" i="23" s="1"/>
  <c r="B821" i="28" l="1"/>
  <c r="D820" i="28"/>
  <c r="F820" i="28" s="1"/>
  <c r="J820" i="28" s="1"/>
  <c r="P820" i="28" s="1"/>
  <c r="A822" i="28"/>
  <c r="C821" i="28"/>
  <c r="E821" i="28" s="1"/>
  <c r="I821" i="28" s="1"/>
  <c r="L822" i="28"/>
  <c r="N821" i="28"/>
  <c r="J815" i="23"/>
  <c r="C817" i="23"/>
  <c r="E817" i="23" s="1"/>
  <c r="P814" i="23"/>
  <c r="N815" i="23"/>
  <c r="L816" i="23"/>
  <c r="I816" i="23" s="1"/>
  <c r="D816" i="23"/>
  <c r="F816" i="23" s="1"/>
  <c r="D821" i="28" l="1"/>
  <c r="F821" i="28" s="1"/>
  <c r="J821" i="28" s="1"/>
  <c r="P821" i="28" s="1"/>
  <c r="B822" i="28"/>
  <c r="A823" i="28"/>
  <c r="C822" i="28"/>
  <c r="E822" i="28" s="1"/>
  <c r="I822" i="28" s="1"/>
  <c r="L823" i="28"/>
  <c r="N822" i="28"/>
  <c r="J816" i="23"/>
  <c r="C818" i="23"/>
  <c r="E818" i="23" s="1"/>
  <c r="P815" i="23"/>
  <c r="N816" i="23"/>
  <c r="L817" i="23"/>
  <c r="I817" i="23" s="1"/>
  <c r="D817" i="23"/>
  <c r="F817" i="23" s="1"/>
  <c r="B823" i="28" l="1"/>
  <c r="D822" i="28"/>
  <c r="F822" i="28" s="1"/>
  <c r="J822" i="28" s="1"/>
  <c r="P822" i="28" s="1"/>
  <c r="A824" i="28"/>
  <c r="C823" i="28"/>
  <c r="E823" i="28" s="1"/>
  <c r="I823" i="28" s="1"/>
  <c r="L824" i="28"/>
  <c r="N823" i="28"/>
  <c r="J817" i="23"/>
  <c r="C819" i="23"/>
  <c r="E819" i="23" s="1"/>
  <c r="P816" i="23"/>
  <c r="N817" i="23"/>
  <c r="L818" i="23"/>
  <c r="I818" i="23" s="1"/>
  <c r="D818" i="23"/>
  <c r="F818" i="23" s="1"/>
  <c r="D823" i="28" l="1"/>
  <c r="F823" i="28" s="1"/>
  <c r="J823" i="28" s="1"/>
  <c r="P823" i="28" s="1"/>
  <c r="B824" i="28"/>
  <c r="A825" i="28"/>
  <c r="C824" i="28"/>
  <c r="E824" i="28" s="1"/>
  <c r="I824" i="28" s="1"/>
  <c r="L825" i="28"/>
  <c r="N824" i="28"/>
  <c r="J818" i="23"/>
  <c r="C820" i="23"/>
  <c r="E820" i="23" s="1"/>
  <c r="P817" i="23"/>
  <c r="N818" i="23"/>
  <c r="L819" i="23"/>
  <c r="I819" i="23" s="1"/>
  <c r="D819" i="23"/>
  <c r="F819" i="23" s="1"/>
  <c r="D824" i="28" l="1"/>
  <c r="F824" i="28" s="1"/>
  <c r="J824" i="28" s="1"/>
  <c r="P824" i="28" s="1"/>
  <c r="B825" i="28"/>
  <c r="A826" i="28"/>
  <c r="C825" i="28"/>
  <c r="E825" i="28" s="1"/>
  <c r="I825" i="28" s="1"/>
  <c r="N825" i="28"/>
  <c r="L826" i="28"/>
  <c r="J819" i="23"/>
  <c r="C821" i="23"/>
  <c r="E821" i="23" s="1"/>
  <c r="P818" i="23"/>
  <c r="N819" i="23"/>
  <c r="L820" i="23"/>
  <c r="I820" i="23" s="1"/>
  <c r="D820" i="23"/>
  <c r="F820" i="23" s="1"/>
  <c r="D825" i="28" l="1"/>
  <c r="F825" i="28" s="1"/>
  <c r="J825" i="28" s="1"/>
  <c r="P825" i="28" s="1"/>
  <c r="B826" i="28"/>
  <c r="A827" i="28"/>
  <c r="C826" i="28"/>
  <c r="E826" i="28" s="1"/>
  <c r="I826" i="28" s="1"/>
  <c r="N826" i="28"/>
  <c r="L827" i="28"/>
  <c r="J820" i="23"/>
  <c r="C822" i="23"/>
  <c r="E822" i="23" s="1"/>
  <c r="P819" i="23"/>
  <c r="N820" i="23"/>
  <c r="L821" i="23"/>
  <c r="I821" i="23" s="1"/>
  <c r="D821" i="23"/>
  <c r="F821" i="23" s="1"/>
  <c r="D826" i="28" l="1"/>
  <c r="F826" i="28" s="1"/>
  <c r="J826" i="28" s="1"/>
  <c r="P826" i="28" s="1"/>
  <c r="B827" i="28"/>
  <c r="A828" i="28"/>
  <c r="C827" i="28"/>
  <c r="E827" i="28" s="1"/>
  <c r="I827" i="28" s="1"/>
  <c r="N827" i="28"/>
  <c r="L828" i="28"/>
  <c r="J821" i="23"/>
  <c r="C823" i="23"/>
  <c r="E823" i="23" s="1"/>
  <c r="P820" i="23"/>
  <c r="N821" i="23"/>
  <c r="L822" i="23"/>
  <c r="I822" i="23" s="1"/>
  <c r="D822" i="23"/>
  <c r="F822" i="23" s="1"/>
  <c r="D827" i="28" l="1"/>
  <c r="F827" i="28" s="1"/>
  <c r="J827" i="28" s="1"/>
  <c r="P827" i="28" s="1"/>
  <c r="B828" i="28"/>
  <c r="A829" i="28"/>
  <c r="C828" i="28"/>
  <c r="E828" i="28" s="1"/>
  <c r="I828" i="28" s="1"/>
  <c r="N828" i="28"/>
  <c r="L829" i="28"/>
  <c r="J822" i="23"/>
  <c r="C824" i="23"/>
  <c r="E824" i="23" s="1"/>
  <c r="P821" i="23"/>
  <c r="N822" i="23"/>
  <c r="L823" i="23"/>
  <c r="I823" i="23" s="1"/>
  <c r="D823" i="23"/>
  <c r="F823" i="23" s="1"/>
  <c r="D828" i="28" l="1"/>
  <c r="F828" i="28" s="1"/>
  <c r="J828" i="28" s="1"/>
  <c r="P828" i="28" s="1"/>
  <c r="B829" i="28"/>
  <c r="A830" i="28"/>
  <c r="C829" i="28"/>
  <c r="E829" i="28" s="1"/>
  <c r="I829" i="28" s="1"/>
  <c r="L830" i="28"/>
  <c r="N829" i="28"/>
  <c r="J823" i="23"/>
  <c r="C825" i="23"/>
  <c r="E825" i="23" s="1"/>
  <c r="P822" i="23"/>
  <c r="N823" i="23"/>
  <c r="L824" i="23"/>
  <c r="I824" i="23" s="1"/>
  <c r="D824" i="23"/>
  <c r="F824" i="23" s="1"/>
  <c r="D829" i="28" l="1"/>
  <c r="F829" i="28" s="1"/>
  <c r="J829" i="28" s="1"/>
  <c r="P829" i="28" s="1"/>
  <c r="B830" i="28"/>
  <c r="A831" i="28"/>
  <c r="C830" i="28"/>
  <c r="E830" i="28" s="1"/>
  <c r="I830" i="28" s="1"/>
  <c r="N830" i="28"/>
  <c r="L831" i="28"/>
  <c r="J824" i="23"/>
  <c r="C826" i="23"/>
  <c r="E826" i="23" s="1"/>
  <c r="P823" i="23"/>
  <c r="N824" i="23"/>
  <c r="L825" i="23"/>
  <c r="I825" i="23" s="1"/>
  <c r="D825" i="23"/>
  <c r="F825" i="23" s="1"/>
  <c r="D830" i="28" l="1"/>
  <c r="F830" i="28" s="1"/>
  <c r="J830" i="28" s="1"/>
  <c r="P830" i="28" s="1"/>
  <c r="B831" i="28"/>
  <c r="A832" i="28"/>
  <c r="C831" i="28"/>
  <c r="E831" i="28" s="1"/>
  <c r="I831" i="28" s="1"/>
  <c r="L832" i="28"/>
  <c r="N831" i="28"/>
  <c r="J825" i="23"/>
  <c r="C827" i="23"/>
  <c r="E827" i="23" s="1"/>
  <c r="P824" i="23"/>
  <c r="N825" i="23"/>
  <c r="L826" i="23"/>
  <c r="I826" i="23" s="1"/>
  <c r="D826" i="23"/>
  <c r="F826" i="23" s="1"/>
  <c r="B832" i="28" l="1"/>
  <c r="D831" i="28"/>
  <c r="F831" i="28" s="1"/>
  <c r="J831" i="28" s="1"/>
  <c r="P831" i="28" s="1"/>
  <c r="A833" i="28"/>
  <c r="C832" i="28"/>
  <c r="E832" i="28" s="1"/>
  <c r="I832" i="28" s="1"/>
  <c r="L833" i="28"/>
  <c r="N832" i="28"/>
  <c r="J826" i="23"/>
  <c r="C828" i="23"/>
  <c r="E828" i="23" s="1"/>
  <c r="P825" i="23"/>
  <c r="N826" i="23"/>
  <c r="L827" i="23"/>
  <c r="I827" i="23" s="1"/>
  <c r="D827" i="23"/>
  <c r="F827" i="23" s="1"/>
  <c r="D832" i="28" l="1"/>
  <c r="F832" i="28" s="1"/>
  <c r="J832" i="28" s="1"/>
  <c r="P832" i="28" s="1"/>
  <c r="B833" i="28"/>
  <c r="A834" i="28"/>
  <c r="C833" i="28"/>
  <c r="E833" i="28" s="1"/>
  <c r="I833" i="28" s="1"/>
  <c r="L834" i="28"/>
  <c r="N833" i="28"/>
  <c r="J827" i="23"/>
  <c r="C829" i="23"/>
  <c r="E829" i="23" s="1"/>
  <c r="P826" i="23"/>
  <c r="N827" i="23"/>
  <c r="L828" i="23"/>
  <c r="I828" i="23" s="1"/>
  <c r="D828" i="23"/>
  <c r="F828" i="23" s="1"/>
  <c r="B834" i="28" l="1"/>
  <c r="D833" i="28"/>
  <c r="F833" i="28" s="1"/>
  <c r="J833" i="28" s="1"/>
  <c r="P833" i="28" s="1"/>
  <c r="A835" i="28"/>
  <c r="C834" i="28"/>
  <c r="E834" i="28" s="1"/>
  <c r="I834" i="28" s="1"/>
  <c r="N834" i="28"/>
  <c r="L835" i="28"/>
  <c r="J828" i="23"/>
  <c r="C830" i="23"/>
  <c r="E830" i="23" s="1"/>
  <c r="P827" i="23"/>
  <c r="N828" i="23"/>
  <c r="L829" i="23"/>
  <c r="I829" i="23" s="1"/>
  <c r="D829" i="23"/>
  <c r="F829" i="23" s="1"/>
  <c r="D834" i="28" l="1"/>
  <c r="F834" i="28" s="1"/>
  <c r="J834" i="28" s="1"/>
  <c r="P834" i="28" s="1"/>
  <c r="B835" i="28"/>
  <c r="A836" i="28"/>
  <c r="C835" i="28"/>
  <c r="E835" i="28" s="1"/>
  <c r="I835" i="28" s="1"/>
  <c r="N835" i="28"/>
  <c r="L836" i="28"/>
  <c r="J829" i="23"/>
  <c r="C831" i="23"/>
  <c r="E831" i="23" s="1"/>
  <c r="P828" i="23"/>
  <c r="N829" i="23"/>
  <c r="L830" i="23"/>
  <c r="I830" i="23" s="1"/>
  <c r="D830" i="23"/>
  <c r="F830" i="23" s="1"/>
  <c r="D835" i="28" l="1"/>
  <c r="F835" i="28" s="1"/>
  <c r="J835" i="28" s="1"/>
  <c r="P835" i="28" s="1"/>
  <c r="B836" i="28"/>
  <c r="A837" i="28"/>
  <c r="C836" i="28"/>
  <c r="E836" i="28" s="1"/>
  <c r="I836" i="28" s="1"/>
  <c r="L837" i="28"/>
  <c r="N836" i="28"/>
  <c r="J830" i="23"/>
  <c r="C832" i="23"/>
  <c r="E832" i="23" s="1"/>
  <c r="P829" i="23"/>
  <c r="N830" i="23"/>
  <c r="L831" i="23"/>
  <c r="I831" i="23" s="1"/>
  <c r="D831" i="23"/>
  <c r="F831" i="23" s="1"/>
  <c r="D836" i="28" l="1"/>
  <c r="F836" i="28" s="1"/>
  <c r="J836" i="28" s="1"/>
  <c r="P836" i="28" s="1"/>
  <c r="B837" i="28"/>
  <c r="A838" i="28"/>
  <c r="C837" i="28"/>
  <c r="E837" i="28" s="1"/>
  <c r="I837" i="28" s="1"/>
  <c r="N837" i="28"/>
  <c r="L838" i="28"/>
  <c r="J831" i="23"/>
  <c r="C833" i="23"/>
  <c r="E833" i="23" s="1"/>
  <c r="P830" i="23"/>
  <c r="N831" i="23"/>
  <c r="L832" i="23"/>
  <c r="I832" i="23" s="1"/>
  <c r="D832" i="23"/>
  <c r="F832" i="23" s="1"/>
  <c r="D837" i="28" l="1"/>
  <c r="F837" i="28" s="1"/>
  <c r="J837" i="28" s="1"/>
  <c r="P837" i="28" s="1"/>
  <c r="B838" i="28"/>
  <c r="A839" i="28"/>
  <c r="C838" i="28"/>
  <c r="E838" i="28" s="1"/>
  <c r="I838" i="28" s="1"/>
  <c r="N838" i="28"/>
  <c r="L839" i="28"/>
  <c r="J832" i="23"/>
  <c r="C834" i="23"/>
  <c r="E834" i="23" s="1"/>
  <c r="P831" i="23"/>
  <c r="N832" i="23"/>
  <c r="L833" i="23"/>
  <c r="I833" i="23" s="1"/>
  <c r="D833" i="23"/>
  <c r="F833" i="23" s="1"/>
  <c r="D838" i="28" l="1"/>
  <c r="F838" i="28" s="1"/>
  <c r="J838" i="28" s="1"/>
  <c r="P838" i="28" s="1"/>
  <c r="B839" i="28"/>
  <c r="A840" i="28"/>
  <c r="C839" i="28"/>
  <c r="E839" i="28" s="1"/>
  <c r="I839" i="28" s="1"/>
  <c r="L840" i="28"/>
  <c r="N839" i="28"/>
  <c r="J833" i="23"/>
  <c r="C835" i="23"/>
  <c r="E835" i="23" s="1"/>
  <c r="P832" i="23"/>
  <c r="N833" i="23"/>
  <c r="L834" i="23"/>
  <c r="I834" i="23" s="1"/>
  <c r="D834" i="23"/>
  <c r="F834" i="23" s="1"/>
  <c r="D839" i="28" l="1"/>
  <c r="F839" i="28" s="1"/>
  <c r="J839" i="28" s="1"/>
  <c r="P839" i="28" s="1"/>
  <c r="B840" i="28"/>
  <c r="A841" i="28"/>
  <c r="C840" i="28"/>
  <c r="E840" i="28" s="1"/>
  <c r="I840" i="28" s="1"/>
  <c r="L841" i="28"/>
  <c r="N840" i="28"/>
  <c r="J834" i="23"/>
  <c r="C836" i="23"/>
  <c r="E836" i="23" s="1"/>
  <c r="P833" i="23"/>
  <c r="N834" i="23"/>
  <c r="L835" i="23"/>
  <c r="I835" i="23" s="1"/>
  <c r="D835" i="23"/>
  <c r="F835" i="23" s="1"/>
  <c r="B841" i="28" l="1"/>
  <c r="D840" i="28"/>
  <c r="F840" i="28" s="1"/>
  <c r="J840" i="28" s="1"/>
  <c r="P840" i="28" s="1"/>
  <c r="A842" i="28"/>
  <c r="C841" i="28"/>
  <c r="E841" i="28" s="1"/>
  <c r="I841" i="28" s="1"/>
  <c r="L842" i="28"/>
  <c r="N841" i="28"/>
  <c r="J835" i="23"/>
  <c r="C837" i="23"/>
  <c r="E837" i="23" s="1"/>
  <c r="P834" i="23"/>
  <c r="N835" i="23"/>
  <c r="L836" i="23"/>
  <c r="I836" i="23" s="1"/>
  <c r="D836" i="23"/>
  <c r="F836" i="23" s="1"/>
  <c r="B842" i="28" l="1"/>
  <c r="D841" i="28"/>
  <c r="F841" i="28" s="1"/>
  <c r="J841" i="28" s="1"/>
  <c r="P841" i="28" s="1"/>
  <c r="A843" i="28"/>
  <c r="C842" i="28"/>
  <c r="E842" i="28" s="1"/>
  <c r="I842" i="28" s="1"/>
  <c r="N842" i="28"/>
  <c r="L843" i="28"/>
  <c r="J836" i="23"/>
  <c r="C838" i="23"/>
  <c r="E838" i="23" s="1"/>
  <c r="P835" i="23"/>
  <c r="N836" i="23"/>
  <c r="L837" i="23"/>
  <c r="I837" i="23" s="1"/>
  <c r="D837" i="23"/>
  <c r="F837" i="23" s="1"/>
  <c r="B843" i="28" l="1"/>
  <c r="D842" i="28"/>
  <c r="F842" i="28" s="1"/>
  <c r="J842" i="28" s="1"/>
  <c r="P842" i="28" s="1"/>
  <c r="A844" i="28"/>
  <c r="C843" i="28"/>
  <c r="E843" i="28" s="1"/>
  <c r="I843" i="28" s="1"/>
  <c r="L844" i="28"/>
  <c r="N843" i="28"/>
  <c r="J837" i="23"/>
  <c r="C839" i="23"/>
  <c r="E839" i="23" s="1"/>
  <c r="P836" i="23"/>
  <c r="N837" i="23"/>
  <c r="L838" i="23"/>
  <c r="I838" i="23" s="1"/>
  <c r="D838" i="23"/>
  <c r="F838" i="23" s="1"/>
  <c r="B844" i="28" l="1"/>
  <c r="D843" i="28"/>
  <c r="F843" i="28" s="1"/>
  <c r="J843" i="28" s="1"/>
  <c r="P843" i="28" s="1"/>
  <c r="A845" i="28"/>
  <c r="C844" i="28"/>
  <c r="E844" i="28" s="1"/>
  <c r="I844" i="28" s="1"/>
  <c r="L845" i="28"/>
  <c r="N844" i="28"/>
  <c r="J838" i="23"/>
  <c r="C840" i="23"/>
  <c r="E840" i="23" s="1"/>
  <c r="P837" i="23"/>
  <c r="N838" i="23"/>
  <c r="L839" i="23"/>
  <c r="I839" i="23" s="1"/>
  <c r="D839" i="23"/>
  <c r="F839" i="23" s="1"/>
  <c r="B845" i="28" l="1"/>
  <c r="D844" i="28"/>
  <c r="F844" i="28" s="1"/>
  <c r="J844" i="28" s="1"/>
  <c r="P844" i="28" s="1"/>
  <c r="A846" i="28"/>
  <c r="C845" i="28"/>
  <c r="E845" i="28" s="1"/>
  <c r="I845" i="28" s="1"/>
  <c r="L846" i="28"/>
  <c r="N845" i="28"/>
  <c r="J839" i="23"/>
  <c r="C841" i="23"/>
  <c r="E841" i="23" s="1"/>
  <c r="P838" i="23"/>
  <c r="N839" i="23"/>
  <c r="L840" i="23"/>
  <c r="I840" i="23" s="1"/>
  <c r="D840" i="23"/>
  <c r="F840" i="23" s="1"/>
  <c r="B846" i="28" l="1"/>
  <c r="D845" i="28"/>
  <c r="F845" i="28" s="1"/>
  <c r="J845" i="28" s="1"/>
  <c r="P845" i="28" s="1"/>
  <c r="A847" i="28"/>
  <c r="C846" i="28"/>
  <c r="E846" i="28" s="1"/>
  <c r="I846" i="28" s="1"/>
  <c r="L847" i="28"/>
  <c r="N846" i="28"/>
  <c r="J840" i="23"/>
  <c r="C842" i="23"/>
  <c r="E842" i="23" s="1"/>
  <c r="P839" i="23"/>
  <c r="N840" i="23"/>
  <c r="L841" i="23"/>
  <c r="I841" i="23" s="1"/>
  <c r="D841" i="23"/>
  <c r="F841" i="23" s="1"/>
  <c r="D846" i="28" l="1"/>
  <c r="F846" i="28" s="1"/>
  <c r="J846" i="28" s="1"/>
  <c r="P846" i="28" s="1"/>
  <c r="B847" i="28"/>
  <c r="A848" i="28"/>
  <c r="C847" i="28"/>
  <c r="E847" i="28" s="1"/>
  <c r="I847" i="28" s="1"/>
  <c r="N847" i="28"/>
  <c r="L848" i="28"/>
  <c r="J841" i="23"/>
  <c r="C843" i="23"/>
  <c r="E843" i="23" s="1"/>
  <c r="P840" i="23"/>
  <c r="N841" i="23"/>
  <c r="L842" i="23"/>
  <c r="I842" i="23" s="1"/>
  <c r="D842" i="23"/>
  <c r="F842" i="23" s="1"/>
  <c r="B848" i="28" l="1"/>
  <c r="D847" i="28"/>
  <c r="F847" i="28" s="1"/>
  <c r="J847" i="28" s="1"/>
  <c r="P847" i="28" s="1"/>
  <c r="A849" i="28"/>
  <c r="C848" i="28"/>
  <c r="E848" i="28" s="1"/>
  <c r="I848" i="28" s="1"/>
  <c r="L849" i="28"/>
  <c r="N848" i="28"/>
  <c r="J842" i="23"/>
  <c r="C844" i="23"/>
  <c r="E844" i="23" s="1"/>
  <c r="P841" i="23"/>
  <c r="N842" i="23"/>
  <c r="L843" i="23"/>
  <c r="I843" i="23" s="1"/>
  <c r="D843" i="23"/>
  <c r="F843" i="23" s="1"/>
  <c r="B849" i="28" l="1"/>
  <c r="D848" i="28"/>
  <c r="F848" i="28" s="1"/>
  <c r="J848" i="28" s="1"/>
  <c r="P848" i="28" s="1"/>
  <c r="A850" i="28"/>
  <c r="C849" i="28"/>
  <c r="E849" i="28" s="1"/>
  <c r="I849" i="28" s="1"/>
  <c r="N849" i="28"/>
  <c r="L850" i="28"/>
  <c r="J843" i="23"/>
  <c r="C845" i="23"/>
  <c r="E845" i="23" s="1"/>
  <c r="P842" i="23"/>
  <c r="N843" i="23"/>
  <c r="L844" i="23"/>
  <c r="I844" i="23" s="1"/>
  <c r="D844" i="23"/>
  <c r="F844" i="23" s="1"/>
  <c r="B850" i="28" l="1"/>
  <c r="D849" i="28"/>
  <c r="F849" i="28" s="1"/>
  <c r="J849" i="28" s="1"/>
  <c r="P849" i="28" s="1"/>
  <c r="A851" i="28"/>
  <c r="C850" i="28"/>
  <c r="E850" i="28" s="1"/>
  <c r="I850" i="28" s="1"/>
  <c r="N850" i="28"/>
  <c r="L851" i="28"/>
  <c r="J844" i="23"/>
  <c r="C846" i="23"/>
  <c r="E846" i="23" s="1"/>
  <c r="P843" i="23"/>
  <c r="N844" i="23"/>
  <c r="L845" i="23"/>
  <c r="I845" i="23" s="1"/>
  <c r="D845" i="23"/>
  <c r="F845" i="23" s="1"/>
  <c r="B851" i="28" l="1"/>
  <c r="D850" i="28"/>
  <c r="F850" i="28" s="1"/>
  <c r="J850" i="28" s="1"/>
  <c r="P850" i="28" s="1"/>
  <c r="A852" i="28"/>
  <c r="C851" i="28"/>
  <c r="E851" i="28" s="1"/>
  <c r="I851" i="28" s="1"/>
  <c r="L852" i="28"/>
  <c r="N851" i="28"/>
  <c r="J845" i="23"/>
  <c r="C847" i="23"/>
  <c r="E847" i="23" s="1"/>
  <c r="P844" i="23"/>
  <c r="N845" i="23"/>
  <c r="L846" i="23"/>
  <c r="I846" i="23" s="1"/>
  <c r="D846" i="23"/>
  <c r="F846" i="23" s="1"/>
  <c r="D851" i="28" l="1"/>
  <c r="F851" i="28" s="1"/>
  <c r="J851" i="28" s="1"/>
  <c r="P851" i="28" s="1"/>
  <c r="B852" i="28"/>
  <c r="A853" i="28"/>
  <c r="C852" i="28"/>
  <c r="E852" i="28" s="1"/>
  <c r="I852" i="28" s="1"/>
  <c r="N852" i="28"/>
  <c r="L853" i="28"/>
  <c r="J846" i="23"/>
  <c r="C848" i="23"/>
  <c r="E848" i="23" s="1"/>
  <c r="P845" i="23"/>
  <c r="N846" i="23"/>
  <c r="L847" i="23"/>
  <c r="I847" i="23" s="1"/>
  <c r="D847" i="23"/>
  <c r="F847" i="23" s="1"/>
  <c r="B853" i="28" l="1"/>
  <c r="D852" i="28"/>
  <c r="F852" i="28" s="1"/>
  <c r="J852" i="28" s="1"/>
  <c r="P852" i="28" s="1"/>
  <c r="A854" i="28"/>
  <c r="C853" i="28"/>
  <c r="E853" i="28" s="1"/>
  <c r="I853" i="28" s="1"/>
  <c r="N853" i="28"/>
  <c r="L854" i="28"/>
  <c r="J847" i="23"/>
  <c r="C849" i="23"/>
  <c r="E849" i="23" s="1"/>
  <c r="P846" i="23"/>
  <c r="N847" i="23"/>
  <c r="L848" i="23"/>
  <c r="I848" i="23" s="1"/>
  <c r="D848" i="23"/>
  <c r="F848" i="23" s="1"/>
  <c r="D853" i="28" l="1"/>
  <c r="F853" i="28" s="1"/>
  <c r="J853" i="28" s="1"/>
  <c r="P853" i="28" s="1"/>
  <c r="B854" i="28"/>
  <c r="A855" i="28"/>
  <c r="C854" i="28"/>
  <c r="E854" i="28" s="1"/>
  <c r="I854" i="28" s="1"/>
  <c r="L855" i="28"/>
  <c r="N854" i="28"/>
  <c r="J848" i="23"/>
  <c r="C850" i="23"/>
  <c r="E850" i="23" s="1"/>
  <c r="P847" i="23"/>
  <c r="N848" i="23"/>
  <c r="L849" i="23"/>
  <c r="I849" i="23" s="1"/>
  <c r="D849" i="23"/>
  <c r="F849" i="23" s="1"/>
  <c r="D854" i="28" l="1"/>
  <c r="F854" i="28" s="1"/>
  <c r="J854" i="28" s="1"/>
  <c r="P854" i="28" s="1"/>
  <c r="B855" i="28"/>
  <c r="A856" i="28"/>
  <c r="C855" i="28"/>
  <c r="E855" i="28" s="1"/>
  <c r="I855" i="28" s="1"/>
  <c r="L856" i="28"/>
  <c r="N855" i="28"/>
  <c r="J849" i="23"/>
  <c r="C851" i="23"/>
  <c r="E851" i="23" s="1"/>
  <c r="P848" i="23"/>
  <c r="N849" i="23"/>
  <c r="L850" i="23"/>
  <c r="I850" i="23" s="1"/>
  <c r="D850" i="23"/>
  <c r="F850" i="23" s="1"/>
  <c r="B856" i="28" l="1"/>
  <c r="D855" i="28"/>
  <c r="F855" i="28" s="1"/>
  <c r="J855" i="28" s="1"/>
  <c r="P855" i="28" s="1"/>
  <c r="A857" i="28"/>
  <c r="C856" i="28"/>
  <c r="E856" i="28" s="1"/>
  <c r="I856" i="28" s="1"/>
  <c r="L857" i="28"/>
  <c r="N856" i="28"/>
  <c r="J850" i="23"/>
  <c r="C852" i="23"/>
  <c r="E852" i="23" s="1"/>
  <c r="P849" i="23"/>
  <c r="N850" i="23"/>
  <c r="L851" i="23"/>
  <c r="I851" i="23" s="1"/>
  <c r="D851" i="23"/>
  <c r="F851" i="23" s="1"/>
  <c r="D856" i="28" l="1"/>
  <c r="F856" i="28" s="1"/>
  <c r="J856" i="28" s="1"/>
  <c r="P856" i="28" s="1"/>
  <c r="B857" i="28"/>
  <c r="A858" i="28"/>
  <c r="C857" i="28"/>
  <c r="E857" i="28" s="1"/>
  <c r="I857" i="28" s="1"/>
  <c r="N857" i="28"/>
  <c r="L858" i="28"/>
  <c r="J851" i="23"/>
  <c r="C853" i="23"/>
  <c r="E853" i="23" s="1"/>
  <c r="P850" i="23"/>
  <c r="N851" i="23"/>
  <c r="L852" i="23"/>
  <c r="I852" i="23" s="1"/>
  <c r="D852" i="23"/>
  <c r="F852" i="23" s="1"/>
  <c r="B858" i="28" l="1"/>
  <c r="D857" i="28"/>
  <c r="F857" i="28" s="1"/>
  <c r="J857" i="28" s="1"/>
  <c r="P857" i="28" s="1"/>
  <c r="A859" i="28"/>
  <c r="C858" i="28"/>
  <c r="E858" i="28" s="1"/>
  <c r="I858" i="28" s="1"/>
  <c r="N858" i="28"/>
  <c r="L859" i="28"/>
  <c r="J852" i="23"/>
  <c r="C854" i="23"/>
  <c r="E854" i="23" s="1"/>
  <c r="P851" i="23"/>
  <c r="N852" i="23"/>
  <c r="L853" i="23"/>
  <c r="I853" i="23" s="1"/>
  <c r="D853" i="23"/>
  <c r="F853" i="23" s="1"/>
  <c r="B859" i="28" l="1"/>
  <c r="D858" i="28"/>
  <c r="F858" i="28" s="1"/>
  <c r="J858" i="28" s="1"/>
  <c r="P858" i="28" s="1"/>
  <c r="A860" i="28"/>
  <c r="C859" i="28"/>
  <c r="E859" i="28" s="1"/>
  <c r="I859" i="28" s="1"/>
  <c r="L860" i="28"/>
  <c r="N859" i="28"/>
  <c r="J853" i="23"/>
  <c r="C855" i="23"/>
  <c r="E855" i="23" s="1"/>
  <c r="P852" i="23"/>
  <c r="N853" i="23"/>
  <c r="L854" i="23"/>
  <c r="I854" i="23" s="1"/>
  <c r="D854" i="23"/>
  <c r="F854" i="23" s="1"/>
  <c r="D859" i="28" l="1"/>
  <c r="F859" i="28" s="1"/>
  <c r="J859" i="28" s="1"/>
  <c r="P859" i="28" s="1"/>
  <c r="B860" i="28"/>
  <c r="A861" i="28"/>
  <c r="C860" i="28"/>
  <c r="E860" i="28" s="1"/>
  <c r="I860" i="28" s="1"/>
  <c r="N860" i="28"/>
  <c r="L861" i="28"/>
  <c r="J854" i="23"/>
  <c r="C856" i="23"/>
  <c r="E856" i="23" s="1"/>
  <c r="P853" i="23"/>
  <c r="N854" i="23"/>
  <c r="L855" i="23"/>
  <c r="I855" i="23" s="1"/>
  <c r="D855" i="23"/>
  <c r="F855" i="23" s="1"/>
  <c r="D860" i="28" l="1"/>
  <c r="F860" i="28" s="1"/>
  <c r="J860" i="28" s="1"/>
  <c r="P860" i="28" s="1"/>
  <c r="B861" i="28"/>
  <c r="A862" i="28"/>
  <c r="C861" i="28"/>
  <c r="E861" i="28" s="1"/>
  <c r="I861" i="28" s="1"/>
  <c r="L862" i="28"/>
  <c r="N861" i="28"/>
  <c r="J855" i="23"/>
  <c r="C857" i="23"/>
  <c r="E857" i="23" s="1"/>
  <c r="P854" i="23"/>
  <c r="N855" i="23"/>
  <c r="L856" i="23"/>
  <c r="I856" i="23" s="1"/>
  <c r="D856" i="23"/>
  <c r="F856" i="23" s="1"/>
  <c r="D861" i="28" l="1"/>
  <c r="F861" i="28" s="1"/>
  <c r="J861" i="28" s="1"/>
  <c r="P861" i="28" s="1"/>
  <c r="B862" i="28"/>
  <c r="A863" i="28"/>
  <c r="C862" i="28"/>
  <c r="E862" i="28" s="1"/>
  <c r="I862" i="28" s="1"/>
  <c r="N862" i="28"/>
  <c r="L863" i="28"/>
  <c r="J856" i="23"/>
  <c r="C858" i="23"/>
  <c r="E858" i="23" s="1"/>
  <c r="P855" i="23"/>
  <c r="N856" i="23"/>
  <c r="L857" i="23"/>
  <c r="I857" i="23" s="1"/>
  <c r="D857" i="23"/>
  <c r="F857" i="23" s="1"/>
  <c r="D862" i="28" l="1"/>
  <c r="F862" i="28" s="1"/>
  <c r="J862" i="28" s="1"/>
  <c r="P862" i="28" s="1"/>
  <c r="B863" i="28"/>
  <c r="A864" i="28"/>
  <c r="C863" i="28"/>
  <c r="E863" i="28" s="1"/>
  <c r="I863" i="28" s="1"/>
  <c r="L864" i="28"/>
  <c r="N863" i="28"/>
  <c r="J857" i="23"/>
  <c r="C859" i="23"/>
  <c r="E859" i="23" s="1"/>
  <c r="P856" i="23"/>
  <c r="N857" i="23"/>
  <c r="L858" i="23"/>
  <c r="I858" i="23" s="1"/>
  <c r="D858" i="23"/>
  <c r="F858" i="23" s="1"/>
  <c r="D863" i="28" l="1"/>
  <c r="F863" i="28" s="1"/>
  <c r="J863" i="28" s="1"/>
  <c r="P863" i="28" s="1"/>
  <c r="B864" i="28"/>
  <c r="A865" i="28"/>
  <c r="C864" i="28"/>
  <c r="E864" i="28" s="1"/>
  <c r="I864" i="28" s="1"/>
  <c r="L865" i="28"/>
  <c r="N864" i="28"/>
  <c r="J858" i="23"/>
  <c r="C860" i="23"/>
  <c r="E860" i="23" s="1"/>
  <c r="P857" i="23"/>
  <c r="N858" i="23"/>
  <c r="L859" i="23"/>
  <c r="I859" i="23" s="1"/>
  <c r="D859" i="23"/>
  <c r="F859" i="23" s="1"/>
  <c r="D864" i="28" l="1"/>
  <c r="F864" i="28" s="1"/>
  <c r="J864" i="28" s="1"/>
  <c r="P864" i="28" s="1"/>
  <c r="B865" i="28"/>
  <c r="A866" i="28"/>
  <c r="C865" i="28"/>
  <c r="E865" i="28" s="1"/>
  <c r="I865" i="28" s="1"/>
  <c r="L866" i="28"/>
  <c r="N865" i="28"/>
  <c r="J859" i="23"/>
  <c r="C861" i="23"/>
  <c r="E861" i="23" s="1"/>
  <c r="P858" i="23"/>
  <c r="N859" i="23"/>
  <c r="L860" i="23"/>
  <c r="I860" i="23" s="1"/>
  <c r="D860" i="23"/>
  <c r="F860" i="23" s="1"/>
  <c r="D865" i="28" l="1"/>
  <c r="F865" i="28" s="1"/>
  <c r="J865" i="28" s="1"/>
  <c r="P865" i="28" s="1"/>
  <c r="B866" i="28"/>
  <c r="A867" i="28"/>
  <c r="C866" i="28"/>
  <c r="E866" i="28" s="1"/>
  <c r="I866" i="28" s="1"/>
  <c r="L867" i="28"/>
  <c r="N866" i="28"/>
  <c r="J860" i="23"/>
  <c r="C862" i="23"/>
  <c r="E862" i="23" s="1"/>
  <c r="P859" i="23"/>
  <c r="N860" i="23"/>
  <c r="L861" i="23"/>
  <c r="I861" i="23" s="1"/>
  <c r="D861" i="23"/>
  <c r="F861" i="23" s="1"/>
  <c r="B867" i="28" l="1"/>
  <c r="D866" i="28"/>
  <c r="F866" i="28" s="1"/>
  <c r="J866" i="28" s="1"/>
  <c r="P866" i="28" s="1"/>
  <c r="A868" i="28"/>
  <c r="C867" i="28"/>
  <c r="E867" i="28" s="1"/>
  <c r="I867" i="28" s="1"/>
  <c r="N867" i="28"/>
  <c r="L868" i="28"/>
  <c r="J861" i="23"/>
  <c r="C863" i="23"/>
  <c r="E863" i="23" s="1"/>
  <c r="P860" i="23"/>
  <c r="N861" i="23"/>
  <c r="L862" i="23"/>
  <c r="I862" i="23" s="1"/>
  <c r="D862" i="23"/>
  <c r="F862" i="23" s="1"/>
  <c r="D867" i="28" l="1"/>
  <c r="F867" i="28" s="1"/>
  <c r="J867" i="28" s="1"/>
  <c r="P867" i="28" s="1"/>
  <c r="B868" i="28"/>
  <c r="A869" i="28"/>
  <c r="C868" i="28"/>
  <c r="E868" i="28" s="1"/>
  <c r="I868" i="28" s="1"/>
  <c r="L869" i="28"/>
  <c r="N868" i="28"/>
  <c r="J862" i="23"/>
  <c r="C864" i="23"/>
  <c r="E864" i="23" s="1"/>
  <c r="P861" i="23"/>
  <c r="N862" i="23"/>
  <c r="L863" i="23"/>
  <c r="I863" i="23" s="1"/>
  <c r="D863" i="23"/>
  <c r="F863" i="23" s="1"/>
  <c r="D868" i="28" l="1"/>
  <c r="F868" i="28" s="1"/>
  <c r="J868" i="28" s="1"/>
  <c r="P868" i="28" s="1"/>
  <c r="B869" i="28"/>
  <c r="A870" i="28"/>
  <c r="C869" i="28"/>
  <c r="E869" i="28" s="1"/>
  <c r="I869" i="28" s="1"/>
  <c r="N869" i="28"/>
  <c r="L870" i="28"/>
  <c r="J863" i="23"/>
  <c r="C865" i="23"/>
  <c r="E865" i="23" s="1"/>
  <c r="P862" i="23"/>
  <c r="N863" i="23"/>
  <c r="L864" i="23"/>
  <c r="I864" i="23" s="1"/>
  <c r="D864" i="23"/>
  <c r="F864" i="23" s="1"/>
  <c r="B870" i="28" l="1"/>
  <c r="D869" i="28"/>
  <c r="F869" i="28" s="1"/>
  <c r="J869" i="28" s="1"/>
  <c r="P869" i="28" s="1"/>
  <c r="A871" i="28"/>
  <c r="C870" i="28"/>
  <c r="E870" i="28" s="1"/>
  <c r="I870" i="28" s="1"/>
  <c r="N870" i="28"/>
  <c r="L871" i="28"/>
  <c r="J864" i="23"/>
  <c r="C866" i="23"/>
  <c r="E866" i="23" s="1"/>
  <c r="P863" i="23"/>
  <c r="N864" i="23"/>
  <c r="L865" i="23"/>
  <c r="I865" i="23" s="1"/>
  <c r="D865" i="23"/>
  <c r="F865" i="23" s="1"/>
  <c r="D870" i="28" l="1"/>
  <c r="F870" i="28" s="1"/>
  <c r="J870" i="28" s="1"/>
  <c r="P870" i="28" s="1"/>
  <c r="B871" i="28"/>
  <c r="A872" i="28"/>
  <c r="C871" i="28"/>
  <c r="E871" i="28" s="1"/>
  <c r="I871" i="28" s="1"/>
  <c r="N871" i="28"/>
  <c r="L872" i="28"/>
  <c r="J865" i="23"/>
  <c r="C867" i="23"/>
  <c r="E867" i="23" s="1"/>
  <c r="P864" i="23"/>
  <c r="N865" i="23"/>
  <c r="L866" i="23"/>
  <c r="I866" i="23" s="1"/>
  <c r="D866" i="23"/>
  <c r="F866" i="23" s="1"/>
  <c r="B872" i="28" l="1"/>
  <c r="D871" i="28"/>
  <c r="F871" i="28" s="1"/>
  <c r="J871" i="28" s="1"/>
  <c r="P871" i="28" s="1"/>
  <c r="A873" i="28"/>
  <c r="C872" i="28"/>
  <c r="E872" i="28" s="1"/>
  <c r="I872" i="28" s="1"/>
  <c r="L873" i="28"/>
  <c r="N872" i="28"/>
  <c r="J866" i="23"/>
  <c r="C868" i="23"/>
  <c r="E868" i="23" s="1"/>
  <c r="P865" i="23"/>
  <c r="N866" i="23"/>
  <c r="L867" i="23"/>
  <c r="I867" i="23" s="1"/>
  <c r="D867" i="23"/>
  <c r="F867" i="23" s="1"/>
  <c r="B873" i="28" l="1"/>
  <c r="D872" i="28"/>
  <c r="F872" i="28" s="1"/>
  <c r="J872" i="28" s="1"/>
  <c r="P872" i="28" s="1"/>
  <c r="A874" i="28"/>
  <c r="C873" i="28"/>
  <c r="E873" i="28" s="1"/>
  <c r="I873" i="28" s="1"/>
  <c r="N873" i="28"/>
  <c r="L874" i="28"/>
  <c r="J867" i="23"/>
  <c r="C869" i="23"/>
  <c r="E869" i="23" s="1"/>
  <c r="P866" i="23"/>
  <c r="N867" i="23"/>
  <c r="L868" i="23"/>
  <c r="I868" i="23" s="1"/>
  <c r="D868" i="23"/>
  <c r="F868" i="23" s="1"/>
  <c r="B874" i="28" l="1"/>
  <c r="D873" i="28"/>
  <c r="F873" i="28" s="1"/>
  <c r="J873" i="28" s="1"/>
  <c r="P873" i="28" s="1"/>
  <c r="A875" i="28"/>
  <c r="C874" i="28"/>
  <c r="E874" i="28" s="1"/>
  <c r="I874" i="28" s="1"/>
  <c r="N874" i="28"/>
  <c r="L875" i="28"/>
  <c r="J868" i="23"/>
  <c r="C870" i="23"/>
  <c r="E870" i="23" s="1"/>
  <c r="P867" i="23"/>
  <c r="N868" i="23"/>
  <c r="L869" i="23"/>
  <c r="I869" i="23" s="1"/>
  <c r="D869" i="23"/>
  <c r="F869" i="23" s="1"/>
  <c r="D874" i="28" l="1"/>
  <c r="F874" i="28" s="1"/>
  <c r="J874" i="28" s="1"/>
  <c r="P874" i="28" s="1"/>
  <c r="B875" i="28"/>
  <c r="A876" i="28"/>
  <c r="C875" i="28"/>
  <c r="E875" i="28" s="1"/>
  <c r="I875" i="28" s="1"/>
  <c r="N875" i="28"/>
  <c r="L876" i="28"/>
  <c r="J869" i="23"/>
  <c r="C871" i="23"/>
  <c r="E871" i="23" s="1"/>
  <c r="P868" i="23"/>
  <c r="N869" i="23"/>
  <c r="L870" i="23"/>
  <c r="I870" i="23" s="1"/>
  <c r="D870" i="23"/>
  <c r="F870" i="23" s="1"/>
  <c r="D875" i="28" l="1"/>
  <c r="F875" i="28" s="1"/>
  <c r="J875" i="28" s="1"/>
  <c r="P875" i="28" s="1"/>
  <c r="B876" i="28"/>
  <c r="A877" i="28"/>
  <c r="C876" i="28"/>
  <c r="E876" i="28" s="1"/>
  <c r="I876" i="28" s="1"/>
  <c r="L877" i="28"/>
  <c r="N876" i="28"/>
  <c r="J870" i="23"/>
  <c r="C872" i="23"/>
  <c r="E872" i="23" s="1"/>
  <c r="P869" i="23"/>
  <c r="N870" i="23"/>
  <c r="L871" i="23"/>
  <c r="I871" i="23" s="1"/>
  <c r="D871" i="23"/>
  <c r="F871" i="23" s="1"/>
  <c r="B877" i="28" l="1"/>
  <c r="D876" i="28"/>
  <c r="F876" i="28" s="1"/>
  <c r="J876" i="28" s="1"/>
  <c r="P876" i="28" s="1"/>
  <c r="A878" i="28"/>
  <c r="C877" i="28"/>
  <c r="E877" i="28" s="1"/>
  <c r="I877" i="28" s="1"/>
  <c r="L878" i="28"/>
  <c r="N877" i="28"/>
  <c r="J871" i="23"/>
  <c r="C873" i="23"/>
  <c r="E873" i="23" s="1"/>
  <c r="P870" i="23"/>
  <c r="N871" i="23"/>
  <c r="L872" i="23"/>
  <c r="I872" i="23" s="1"/>
  <c r="D872" i="23"/>
  <c r="F872" i="23" s="1"/>
  <c r="D877" i="28" l="1"/>
  <c r="F877" i="28" s="1"/>
  <c r="J877" i="28" s="1"/>
  <c r="P877" i="28" s="1"/>
  <c r="B878" i="28"/>
  <c r="A879" i="28"/>
  <c r="C878" i="28"/>
  <c r="E878" i="28" s="1"/>
  <c r="I878" i="28" s="1"/>
  <c r="N878" i="28"/>
  <c r="L879" i="28"/>
  <c r="J872" i="23"/>
  <c r="C874" i="23"/>
  <c r="E874" i="23" s="1"/>
  <c r="P871" i="23"/>
  <c r="N872" i="23"/>
  <c r="L873" i="23"/>
  <c r="I873" i="23" s="1"/>
  <c r="D873" i="23"/>
  <c r="F873" i="23" s="1"/>
  <c r="D878" i="28" l="1"/>
  <c r="F878" i="28" s="1"/>
  <c r="J878" i="28" s="1"/>
  <c r="P878" i="28" s="1"/>
  <c r="B879" i="28"/>
  <c r="A880" i="28"/>
  <c r="C879" i="28"/>
  <c r="E879" i="28" s="1"/>
  <c r="I879" i="28" s="1"/>
  <c r="N879" i="28"/>
  <c r="L880" i="28"/>
  <c r="J873" i="23"/>
  <c r="C875" i="23"/>
  <c r="E875" i="23" s="1"/>
  <c r="P872" i="23"/>
  <c r="N873" i="23"/>
  <c r="L874" i="23"/>
  <c r="I874" i="23" s="1"/>
  <c r="D874" i="23"/>
  <c r="F874" i="23" s="1"/>
  <c r="D879" i="28" l="1"/>
  <c r="F879" i="28" s="1"/>
  <c r="J879" i="28" s="1"/>
  <c r="P879" i="28" s="1"/>
  <c r="B880" i="28"/>
  <c r="A881" i="28"/>
  <c r="C880" i="28"/>
  <c r="E880" i="28" s="1"/>
  <c r="I880" i="28" s="1"/>
  <c r="L881" i="28"/>
  <c r="N880" i="28"/>
  <c r="J874" i="23"/>
  <c r="C876" i="23"/>
  <c r="E876" i="23" s="1"/>
  <c r="P873" i="23"/>
  <c r="N874" i="23"/>
  <c r="L875" i="23"/>
  <c r="I875" i="23" s="1"/>
  <c r="D875" i="23"/>
  <c r="F875" i="23" s="1"/>
  <c r="D880" i="28" l="1"/>
  <c r="F880" i="28" s="1"/>
  <c r="J880" i="28" s="1"/>
  <c r="P880" i="28" s="1"/>
  <c r="B881" i="28"/>
  <c r="A882" i="28"/>
  <c r="C881" i="28"/>
  <c r="E881" i="28" s="1"/>
  <c r="I881" i="28" s="1"/>
  <c r="L882" i="28"/>
  <c r="N881" i="28"/>
  <c r="J875" i="23"/>
  <c r="C877" i="23"/>
  <c r="E877" i="23" s="1"/>
  <c r="P874" i="23"/>
  <c r="N875" i="23"/>
  <c r="L876" i="23"/>
  <c r="I876" i="23" s="1"/>
  <c r="D876" i="23"/>
  <c r="F876" i="23" s="1"/>
  <c r="D881" i="28" l="1"/>
  <c r="F881" i="28" s="1"/>
  <c r="J881" i="28" s="1"/>
  <c r="P881" i="28" s="1"/>
  <c r="B882" i="28"/>
  <c r="A883" i="28"/>
  <c r="C882" i="28"/>
  <c r="E882" i="28" s="1"/>
  <c r="I882" i="28" s="1"/>
  <c r="N882" i="28"/>
  <c r="L883" i="28"/>
  <c r="J876" i="23"/>
  <c r="C878" i="23"/>
  <c r="E878" i="23" s="1"/>
  <c r="P875" i="23"/>
  <c r="N876" i="23"/>
  <c r="L877" i="23"/>
  <c r="I877" i="23" s="1"/>
  <c r="D877" i="23"/>
  <c r="F877" i="23" s="1"/>
  <c r="D882" i="28" l="1"/>
  <c r="F882" i="28" s="1"/>
  <c r="J882" i="28" s="1"/>
  <c r="P882" i="28" s="1"/>
  <c r="B883" i="28"/>
  <c r="A884" i="28"/>
  <c r="C883" i="28"/>
  <c r="E883" i="28" s="1"/>
  <c r="I883" i="28" s="1"/>
  <c r="L884" i="28"/>
  <c r="N883" i="28"/>
  <c r="J877" i="23"/>
  <c r="C879" i="23"/>
  <c r="E879" i="23" s="1"/>
  <c r="P876" i="23"/>
  <c r="N877" i="23"/>
  <c r="L878" i="23"/>
  <c r="I878" i="23" s="1"/>
  <c r="D878" i="23"/>
  <c r="F878" i="23" s="1"/>
  <c r="D883" i="28" l="1"/>
  <c r="F883" i="28" s="1"/>
  <c r="J883" i="28" s="1"/>
  <c r="P883" i="28" s="1"/>
  <c r="B884" i="28"/>
  <c r="A885" i="28"/>
  <c r="C884" i="28"/>
  <c r="E884" i="28" s="1"/>
  <c r="I884" i="28" s="1"/>
  <c r="L885" i="28"/>
  <c r="N884" i="28"/>
  <c r="J878" i="23"/>
  <c r="C880" i="23"/>
  <c r="E880" i="23" s="1"/>
  <c r="P877" i="23"/>
  <c r="N878" i="23"/>
  <c r="L879" i="23"/>
  <c r="I879" i="23" s="1"/>
  <c r="D879" i="23"/>
  <c r="F879" i="23" s="1"/>
  <c r="B885" i="28" l="1"/>
  <c r="D884" i="28"/>
  <c r="F884" i="28" s="1"/>
  <c r="J884" i="28" s="1"/>
  <c r="P884" i="28" s="1"/>
  <c r="A886" i="28"/>
  <c r="C885" i="28"/>
  <c r="E885" i="28" s="1"/>
  <c r="I885" i="28" s="1"/>
  <c r="N885" i="28"/>
  <c r="L886" i="28"/>
  <c r="J879" i="23"/>
  <c r="C881" i="23"/>
  <c r="E881" i="23" s="1"/>
  <c r="P878" i="23"/>
  <c r="N879" i="23"/>
  <c r="L880" i="23"/>
  <c r="I880" i="23" s="1"/>
  <c r="D880" i="23"/>
  <c r="F880" i="23" s="1"/>
  <c r="D885" i="28" l="1"/>
  <c r="F885" i="28" s="1"/>
  <c r="J885" i="28" s="1"/>
  <c r="P885" i="28" s="1"/>
  <c r="B886" i="28"/>
  <c r="A887" i="28"/>
  <c r="C886" i="28"/>
  <c r="E886" i="28" s="1"/>
  <c r="I886" i="28" s="1"/>
  <c r="L887" i="28"/>
  <c r="N886" i="28"/>
  <c r="J880" i="23"/>
  <c r="C882" i="23"/>
  <c r="E882" i="23" s="1"/>
  <c r="P879" i="23"/>
  <c r="N880" i="23"/>
  <c r="L881" i="23"/>
  <c r="I881" i="23" s="1"/>
  <c r="D881" i="23"/>
  <c r="F881" i="23" s="1"/>
  <c r="D886" i="28" l="1"/>
  <c r="F886" i="28" s="1"/>
  <c r="J886" i="28" s="1"/>
  <c r="P886" i="28" s="1"/>
  <c r="B887" i="28"/>
  <c r="A888" i="28"/>
  <c r="C887" i="28"/>
  <c r="E887" i="28" s="1"/>
  <c r="I887" i="28" s="1"/>
  <c r="L888" i="28"/>
  <c r="N887" i="28"/>
  <c r="J881" i="23"/>
  <c r="C883" i="23"/>
  <c r="E883" i="23" s="1"/>
  <c r="P880" i="23"/>
  <c r="N881" i="23"/>
  <c r="L882" i="23"/>
  <c r="I882" i="23" s="1"/>
  <c r="D882" i="23"/>
  <c r="F882" i="23" s="1"/>
  <c r="B888" i="28" l="1"/>
  <c r="D887" i="28"/>
  <c r="F887" i="28" s="1"/>
  <c r="J887" i="28" s="1"/>
  <c r="P887" i="28" s="1"/>
  <c r="A889" i="28"/>
  <c r="C888" i="28"/>
  <c r="E888" i="28" s="1"/>
  <c r="I888" i="28" s="1"/>
  <c r="L889" i="28"/>
  <c r="N888" i="28"/>
  <c r="J882" i="23"/>
  <c r="C884" i="23"/>
  <c r="E884" i="23" s="1"/>
  <c r="P881" i="23"/>
  <c r="N882" i="23"/>
  <c r="L883" i="23"/>
  <c r="I883" i="23" s="1"/>
  <c r="D883" i="23"/>
  <c r="F883" i="23" s="1"/>
  <c r="B889" i="28" l="1"/>
  <c r="D888" i="28"/>
  <c r="F888" i="28" s="1"/>
  <c r="J888" i="28" s="1"/>
  <c r="P888" i="28" s="1"/>
  <c r="A890" i="28"/>
  <c r="C889" i="28"/>
  <c r="E889" i="28" s="1"/>
  <c r="I889" i="28" s="1"/>
  <c r="N889" i="28"/>
  <c r="L890" i="28"/>
  <c r="J883" i="23"/>
  <c r="C885" i="23"/>
  <c r="E885" i="23" s="1"/>
  <c r="P882" i="23"/>
  <c r="N883" i="23"/>
  <c r="L884" i="23"/>
  <c r="I884" i="23" s="1"/>
  <c r="D884" i="23"/>
  <c r="F884" i="23" s="1"/>
  <c r="D889" i="28" l="1"/>
  <c r="F889" i="28" s="1"/>
  <c r="J889" i="28" s="1"/>
  <c r="P889" i="28" s="1"/>
  <c r="B890" i="28"/>
  <c r="A891" i="28"/>
  <c r="C890" i="28"/>
  <c r="E890" i="28" s="1"/>
  <c r="I890" i="28" s="1"/>
  <c r="L891" i="28"/>
  <c r="N890" i="28"/>
  <c r="J884" i="23"/>
  <c r="C886" i="23"/>
  <c r="E886" i="23" s="1"/>
  <c r="P883" i="23"/>
  <c r="N884" i="23"/>
  <c r="L885" i="23"/>
  <c r="I885" i="23" s="1"/>
  <c r="D885" i="23"/>
  <c r="F885" i="23" s="1"/>
  <c r="D890" i="28" l="1"/>
  <c r="F890" i="28" s="1"/>
  <c r="J890" i="28" s="1"/>
  <c r="P890" i="28" s="1"/>
  <c r="B891" i="28"/>
  <c r="A892" i="28"/>
  <c r="C891" i="28"/>
  <c r="E891" i="28" s="1"/>
  <c r="I891" i="28" s="1"/>
  <c r="L892" i="28"/>
  <c r="N891" i="28"/>
  <c r="J885" i="23"/>
  <c r="C887" i="23"/>
  <c r="E887" i="23" s="1"/>
  <c r="P884" i="23"/>
  <c r="N885" i="23"/>
  <c r="L886" i="23"/>
  <c r="I886" i="23" s="1"/>
  <c r="D886" i="23"/>
  <c r="F886" i="23" s="1"/>
  <c r="B892" i="28" l="1"/>
  <c r="D891" i="28"/>
  <c r="F891" i="28" s="1"/>
  <c r="J891" i="28" s="1"/>
  <c r="P891" i="28" s="1"/>
  <c r="A893" i="28"/>
  <c r="C892" i="28"/>
  <c r="E892" i="28" s="1"/>
  <c r="I892" i="28" s="1"/>
  <c r="L893" i="28"/>
  <c r="N892" i="28"/>
  <c r="J886" i="23"/>
  <c r="C888" i="23"/>
  <c r="E888" i="23" s="1"/>
  <c r="P885" i="23"/>
  <c r="N886" i="23"/>
  <c r="L887" i="23"/>
  <c r="I887" i="23" s="1"/>
  <c r="D887" i="23"/>
  <c r="F887" i="23" s="1"/>
  <c r="B893" i="28" l="1"/>
  <c r="D892" i="28"/>
  <c r="F892" i="28" s="1"/>
  <c r="J892" i="28" s="1"/>
  <c r="P892" i="28" s="1"/>
  <c r="A894" i="28"/>
  <c r="C893" i="28"/>
  <c r="E893" i="28" s="1"/>
  <c r="I893" i="28" s="1"/>
  <c r="N893" i="28"/>
  <c r="L894" i="28"/>
  <c r="J887" i="23"/>
  <c r="C889" i="23"/>
  <c r="E889" i="23" s="1"/>
  <c r="P886" i="23"/>
  <c r="N887" i="23"/>
  <c r="L888" i="23"/>
  <c r="I888" i="23" s="1"/>
  <c r="D888" i="23"/>
  <c r="F888" i="23" s="1"/>
  <c r="B894" i="28" l="1"/>
  <c r="D893" i="28"/>
  <c r="F893" i="28" s="1"/>
  <c r="J893" i="28" s="1"/>
  <c r="P893" i="28" s="1"/>
  <c r="A895" i="28"/>
  <c r="C894" i="28"/>
  <c r="E894" i="28" s="1"/>
  <c r="I894" i="28" s="1"/>
  <c r="L895" i="28"/>
  <c r="N894" i="28"/>
  <c r="J888" i="23"/>
  <c r="C890" i="23"/>
  <c r="E890" i="23" s="1"/>
  <c r="P887" i="23"/>
  <c r="N888" i="23"/>
  <c r="L889" i="23"/>
  <c r="I889" i="23" s="1"/>
  <c r="D889" i="23"/>
  <c r="F889" i="23" s="1"/>
  <c r="B895" i="28" l="1"/>
  <c r="D894" i="28"/>
  <c r="F894" i="28" s="1"/>
  <c r="J894" i="28" s="1"/>
  <c r="P894" i="28" s="1"/>
  <c r="A896" i="28"/>
  <c r="C895" i="28"/>
  <c r="E895" i="28" s="1"/>
  <c r="I895" i="28" s="1"/>
  <c r="L896" i="28"/>
  <c r="N895" i="28"/>
  <c r="J889" i="23"/>
  <c r="C891" i="23"/>
  <c r="E891" i="23" s="1"/>
  <c r="P888" i="23"/>
  <c r="N889" i="23"/>
  <c r="L890" i="23"/>
  <c r="I890" i="23" s="1"/>
  <c r="D890" i="23"/>
  <c r="F890" i="23" s="1"/>
  <c r="B896" i="28" l="1"/>
  <c r="D895" i="28"/>
  <c r="F895" i="28" s="1"/>
  <c r="J895" i="28" s="1"/>
  <c r="P895" i="28" s="1"/>
  <c r="A897" i="28"/>
  <c r="C896" i="28"/>
  <c r="E896" i="28" s="1"/>
  <c r="I896" i="28" s="1"/>
  <c r="L897" i="28"/>
  <c r="N896" i="28"/>
  <c r="J890" i="23"/>
  <c r="C892" i="23"/>
  <c r="E892" i="23" s="1"/>
  <c r="P889" i="23"/>
  <c r="N890" i="23"/>
  <c r="L891" i="23"/>
  <c r="I891" i="23" s="1"/>
  <c r="D891" i="23"/>
  <c r="F891" i="23" s="1"/>
  <c r="D896" i="28" l="1"/>
  <c r="F896" i="28" s="1"/>
  <c r="J896" i="28" s="1"/>
  <c r="P896" i="28" s="1"/>
  <c r="B897" i="28"/>
  <c r="A898" i="28"/>
  <c r="C897" i="28"/>
  <c r="E897" i="28" s="1"/>
  <c r="I897" i="28" s="1"/>
  <c r="L898" i="28"/>
  <c r="N897" i="28"/>
  <c r="J891" i="23"/>
  <c r="C893" i="23"/>
  <c r="E893" i="23" s="1"/>
  <c r="P890" i="23"/>
  <c r="N891" i="23"/>
  <c r="L892" i="23"/>
  <c r="I892" i="23" s="1"/>
  <c r="D892" i="23"/>
  <c r="F892" i="23" s="1"/>
  <c r="D897" i="28" l="1"/>
  <c r="F897" i="28" s="1"/>
  <c r="J897" i="28" s="1"/>
  <c r="P897" i="28" s="1"/>
  <c r="B898" i="28"/>
  <c r="A899" i="28"/>
  <c r="C898" i="28"/>
  <c r="E898" i="28" s="1"/>
  <c r="I898" i="28" s="1"/>
  <c r="L899" i="28"/>
  <c r="N898" i="28"/>
  <c r="J892" i="23"/>
  <c r="C894" i="23"/>
  <c r="E894" i="23" s="1"/>
  <c r="P891" i="23"/>
  <c r="N892" i="23"/>
  <c r="L893" i="23"/>
  <c r="I893" i="23" s="1"/>
  <c r="D893" i="23"/>
  <c r="F893" i="23" s="1"/>
  <c r="D898" i="28" l="1"/>
  <c r="F898" i="28" s="1"/>
  <c r="J898" i="28" s="1"/>
  <c r="P898" i="28" s="1"/>
  <c r="B899" i="28"/>
  <c r="A900" i="28"/>
  <c r="C899" i="28"/>
  <c r="E899" i="28" s="1"/>
  <c r="I899" i="28" s="1"/>
  <c r="L900" i="28"/>
  <c r="N899" i="28"/>
  <c r="J893" i="23"/>
  <c r="C895" i="23"/>
  <c r="E895" i="23" s="1"/>
  <c r="P892" i="23"/>
  <c r="N893" i="23"/>
  <c r="L894" i="23"/>
  <c r="I894" i="23" s="1"/>
  <c r="D894" i="23"/>
  <c r="F894" i="23" s="1"/>
  <c r="D899" i="28" l="1"/>
  <c r="F899" i="28" s="1"/>
  <c r="J899" i="28" s="1"/>
  <c r="P899" i="28" s="1"/>
  <c r="B900" i="28"/>
  <c r="A901" i="28"/>
  <c r="C900" i="28"/>
  <c r="E900" i="28" s="1"/>
  <c r="I900" i="28" s="1"/>
  <c r="L901" i="28"/>
  <c r="N900" i="28"/>
  <c r="J894" i="23"/>
  <c r="C896" i="23"/>
  <c r="E896" i="23" s="1"/>
  <c r="P893" i="23"/>
  <c r="N894" i="23"/>
  <c r="L895" i="23"/>
  <c r="I895" i="23" s="1"/>
  <c r="D895" i="23"/>
  <c r="F895" i="23" s="1"/>
  <c r="D900" i="28" l="1"/>
  <c r="F900" i="28" s="1"/>
  <c r="J900" i="28" s="1"/>
  <c r="P900" i="28" s="1"/>
  <c r="B901" i="28"/>
  <c r="A902" i="28"/>
  <c r="C901" i="28"/>
  <c r="E901" i="28" s="1"/>
  <c r="I901" i="28" s="1"/>
  <c r="N901" i="28"/>
  <c r="L902" i="28"/>
  <c r="J895" i="23"/>
  <c r="C897" i="23"/>
  <c r="E897" i="23" s="1"/>
  <c r="P894" i="23"/>
  <c r="N895" i="23"/>
  <c r="L896" i="23"/>
  <c r="I896" i="23" s="1"/>
  <c r="D896" i="23"/>
  <c r="F896" i="23" s="1"/>
  <c r="D901" i="28" l="1"/>
  <c r="F901" i="28" s="1"/>
  <c r="J901" i="28" s="1"/>
  <c r="P901" i="28" s="1"/>
  <c r="B902" i="28"/>
  <c r="A903" i="28"/>
  <c r="C902" i="28"/>
  <c r="E902" i="28" s="1"/>
  <c r="I902" i="28" s="1"/>
  <c r="L903" i="28"/>
  <c r="N902" i="28"/>
  <c r="J896" i="23"/>
  <c r="C898" i="23"/>
  <c r="E898" i="23" s="1"/>
  <c r="P895" i="23"/>
  <c r="N896" i="23"/>
  <c r="L897" i="23"/>
  <c r="I897" i="23" s="1"/>
  <c r="D897" i="23"/>
  <c r="F897" i="23" s="1"/>
  <c r="D902" i="28" l="1"/>
  <c r="F902" i="28" s="1"/>
  <c r="J902" i="28" s="1"/>
  <c r="P902" i="28" s="1"/>
  <c r="B903" i="28"/>
  <c r="A904" i="28"/>
  <c r="C903" i="28"/>
  <c r="E903" i="28" s="1"/>
  <c r="I903" i="28" s="1"/>
  <c r="L904" i="28"/>
  <c r="N903" i="28"/>
  <c r="J897" i="23"/>
  <c r="C899" i="23"/>
  <c r="E899" i="23" s="1"/>
  <c r="P896" i="23"/>
  <c r="N897" i="23"/>
  <c r="L898" i="23"/>
  <c r="I898" i="23" s="1"/>
  <c r="D898" i="23"/>
  <c r="F898" i="23" s="1"/>
  <c r="D903" i="28" l="1"/>
  <c r="F903" i="28" s="1"/>
  <c r="J903" i="28" s="1"/>
  <c r="P903" i="28" s="1"/>
  <c r="B904" i="28"/>
  <c r="A905" i="28"/>
  <c r="C904" i="28"/>
  <c r="E904" i="28" s="1"/>
  <c r="I904" i="28" s="1"/>
  <c r="L905" i="28"/>
  <c r="N904" i="28"/>
  <c r="J898" i="23"/>
  <c r="C900" i="23"/>
  <c r="E900" i="23" s="1"/>
  <c r="P897" i="23"/>
  <c r="N898" i="23"/>
  <c r="L899" i="23"/>
  <c r="I899" i="23" s="1"/>
  <c r="D899" i="23"/>
  <c r="F899" i="23" s="1"/>
  <c r="B905" i="28" l="1"/>
  <c r="D904" i="28"/>
  <c r="F904" i="28" s="1"/>
  <c r="J904" i="28" s="1"/>
  <c r="P904" i="28" s="1"/>
  <c r="A906" i="28"/>
  <c r="C905" i="28"/>
  <c r="E905" i="28" s="1"/>
  <c r="I905" i="28" s="1"/>
  <c r="N905" i="28"/>
  <c r="L906" i="28"/>
  <c r="J899" i="23"/>
  <c r="C901" i="23"/>
  <c r="E901" i="23" s="1"/>
  <c r="P898" i="23"/>
  <c r="N899" i="23"/>
  <c r="L900" i="23"/>
  <c r="I900" i="23" s="1"/>
  <c r="D900" i="23"/>
  <c r="F900" i="23" s="1"/>
  <c r="D905" i="28" l="1"/>
  <c r="F905" i="28" s="1"/>
  <c r="J905" i="28" s="1"/>
  <c r="P905" i="28" s="1"/>
  <c r="B906" i="28"/>
  <c r="A907" i="28"/>
  <c r="C906" i="28"/>
  <c r="E906" i="28" s="1"/>
  <c r="I906" i="28" s="1"/>
  <c r="L907" i="28"/>
  <c r="N906" i="28"/>
  <c r="J900" i="23"/>
  <c r="C902" i="23"/>
  <c r="E902" i="23" s="1"/>
  <c r="P899" i="23"/>
  <c r="N900" i="23"/>
  <c r="L901" i="23"/>
  <c r="I901" i="23" s="1"/>
  <c r="D901" i="23"/>
  <c r="F901" i="23" s="1"/>
  <c r="B907" i="28" l="1"/>
  <c r="D906" i="28"/>
  <c r="F906" i="28" s="1"/>
  <c r="J906" i="28" s="1"/>
  <c r="P906" i="28" s="1"/>
  <c r="A908" i="28"/>
  <c r="C907" i="28"/>
  <c r="E907" i="28" s="1"/>
  <c r="I907" i="28" s="1"/>
  <c r="N907" i="28"/>
  <c r="L908" i="28"/>
  <c r="J901" i="23"/>
  <c r="C903" i="23"/>
  <c r="E903" i="23" s="1"/>
  <c r="P900" i="23"/>
  <c r="N901" i="23"/>
  <c r="L902" i="23"/>
  <c r="I902" i="23" s="1"/>
  <c r="D902" i="23"/>
  <c r="F902" i="23" s="1"/>
  <c r="D907" i="28" l="1"/>
  <c r="F907" i="28" s="1"/>
  <c r="J907" i="28" s="1"/>
  <c r="P907" i="28" s="1"/>
  <c r="B908" i="28"/>
  <c r="A909" i="28"/>
  <c r="C908" i="28"/>
  <c r="E908" i="28" s="1"/>
  <c r="I908" i="28" s="1"/>
  <c r="L909" i="28"/>
  <c r="N908" i="28"/>
  <c r="J902" i="23"/>
  <c r="C904" i="23"/>
  <c r="E904" i="23" s="1"/>
  <c r="P901" i="23"/>
  <c r="N902" i="23"/>
  <c r="L903" i="23"/>
  <c r="I903" i="23" s="1"/>
  <c r="D903" i="23"/>
  <c r="F903" i="23" s="1"/>
  <c r="B909" i="28" l="1"/>
  <c r="D908" i="28"/>
  <c r="F908" i="28" s="1"/>
  <c r="J908" i="28" s="1"/>
  <c r="P908" i="28" s="1"/>
  <c r="A910" i="28"/>
  <c r="C909" i="28"/>
  <c r="E909" i="28" s="1"/>
  <c r="I909" i="28" s="1"/>
  <c r="N909" i="28"/>
  <c r="L910" i="28"/>
  <c r="J903" i="23"/>
  <c r="C905" i="23"/>
  <c r="E905" i="23" s="1"/>
  <c r="P902" i="23"/>
  <c r="N903" i="23"/>
  <c r="L904" i="23"/>
  <c r="I904" i="23" s="1"/>
  <c r="D904" i="23"/>
  <c r="F904" i="23" s="1"/>
  <c r="B910" i="28" l="1"/>
  <c r="D909" i="28"/>
  <c r="F909" i="28" s="1"/>
  <c r="J909" i="28" s="1"/>
  <c r="P909" i="28" s="1"/>
  <c r="A911" i="28"/>
  <c r="C910" i="28"/>
  <c r="E910" i="28" s="1"/>
  <c r="I910" i="28" s="1"/>
  <c r="L911" i="28"/>
  <c r="N910" i="28"/>
  <c r="J904" i="23"/>
  <c r="C906" i="23"/>
  <c r="E906" i="23" s="1"/>
  <c r="P903" i="23"/>
  <c r="N904" i="23"/>
  <c r="L905" i="23"/>
  <c r="I905" i="23" s="1"/>
  <c r="D905" i="23"/>
  <c r="F905" i="23" s="1"/>
  <c r="D910" i="28" l="1"/>
  <c r="F910" i="28" s="1"/>
  <c r="J910" i="28" s="1"/>
  <c r="P910" i="28" s="1"/>
  <c r="B911" i="28"/>
  <c r="A912" i="28"/>
  <c r="C911" i="28"/>
  <c r="E911" i="28" s="1"/>
  <c r="I911" i="28" s="1"/>
  <c r="N911" i="28"/>
  <c r="L912" i="28"/>
  <c r="J905" i="23"/>
  <c r="C907" i="23"/>
  <c r="E907" i="23" s="1"/>
  <c r="P904" i="23"/>
  <c r="N905" i="23"/>
  <c r="L906" i="23"/>
  <c r="I906" i="23" s="1"/>
  <c r="D906" i="23"/>
  <c r="F906" i="23" s="1"/>
  <c r="B912" i="28" l="1"/>
  <c r="D911" i="28"/>
  <c r="F911" i="28" s="1"/>
  <c r="J911" i="28" s="1"/>
  <c r="P911" i="28" s="1"/>
  <c r="A913" i="28"/>
  <c r="C912" i="28"/>
  <c r="E912" i="28" s="1"/>
  <c r="I912" i="28" s="1"/>
  <c r="L913" i="28"/>
  <c r="N912" i="28"/>
  <c r="J906" i="23"/>
  <c r="C908" i="23"/>
  <c r="E908" i="23" s="1"/>
  <c r="P905" i="23"/>
  <c r="N906" i="23"/>
  <c r="L907" i="23"/>
  <c r="I907" i="23" s="1"/>
  <c r="D907" i="23"/>
  <c r="F907" i="23" s="1"/>
  <c r="B913" i="28" l="1"/>
  <c r="D912" i="28"/>
  <c r="F912" i="28" s="1"/>
  <c r="J912" i="28" s="1"/>
  <c r="P912" i="28" s="1"/>
  <c r="A914" i="28"/>
  <c r="C913" i="28"/>
  <c r="E913" i="28" s="1"/>
  <c r="I913" i="28" s="1"/>
  <c r="N913" i="28"/>
  <c r="L914" i="28"/>
  <c r="J907" i="23"/>
  <c r="C909" i="23"/>
  <c r="E909" i="23" s="1"/>
  <c r="P906" i="23"/>
  <c r="N907" i="23"/>
  <c r="L908" i="23"/>
  <c r="I908" i="23" s="1"/>
  <c r="D908" i="23"/>
  <c r="F908" i="23" s="1"/>
  <c r="D913" i="28" l="1"/>
  <c r="F913" i="28" s="1"/>
  <c r="J913" i="28" s="1"/>
  <c r="P913" i="28" s="1"/>
  <c r="B914" i="28"/>
  <c r="A915" i="28"/>
  <c r="C914" i="28"/>
  <c r="E914" i="28" s="1"/>
  <c r="I914" i="28" s="1"/>
  <c r="L915" i="28"/>
  <c r="N914" i="28"/>
  <c r="J908" i="23"/>
  <c r="C910" i="23"/>
  <c r="E910" i="23" s="1"/>
  <c r="P907" i="23"/>
  <c r="N908" i="23"/>
  <c r="L909" i="23"/>
  <c r="I909" i="23" s="1"/>
  <c r="D909" i="23"/>
  <c r="F909" i="23" s="1"/>
  <c r="B915" i="28" l="1"/>
  <c r="D914" i="28"/>
  <c r="F914" i="28" s="1"/>
  <c r="J914" i="28" s="1"/>
  <c r="P914" i="28" s="1"/>
  <c r="A916" i="28"/>
  <c r="C915" i="28"/>
  <c r="E915" i="28" s="1"/>
  <c r="I915" i="28" s="1"/>
  <c r="L916" i="28"/>
  <c r="N915" i="28"/>
  <c r="J909" i="23"/>
  <c r="C911" i="23"/>
  <c r="E911" i="23" s="1"/>
  <c r="P908" i="23"/>
  <c r="N909" i="23"/>
  <c r="L910" i="23"/>
  <c r="I910" i="23" s="1"/>
  <c r="D910" i="23"/>
  <c r="F910" i="23" s="1"/>
  <c r="B916" i="28" l="1"/>
  <c r="D915" i="28"/>
  <c r="F915" i="28" s="1"/>
  <c r="J915" i="28" s="1"/>
  <c r="P915" i="28" s="1"/>
  <c r="A917" i="28"/>
  <c r="C916" i="28"/>
  <c r="E916" i="28" s="1"/>
  <c r="I916" i="28" s="1"/>
  <c r="L917" i="28"/>
  <c r="N916" i="28"/>
  <c r="J910" i="23"/>
  <c r="C912" i="23"/>
  <c r="E912" i="23" s="1"/>
  <c r="P909" i="23"/>
  <c r="N910" i="23"/>
  <c r="L911" i="23"/>
  <c r="I911" i="23" s="1"/>
  <c r="D911" i="23"/>
  <c r="F911" i="23" s="1"/>
  <c r="D916" i="28" l="1"/>
  <c r="F916" i="28" s="1"/>
  <c r="J916" i="28" s="1"/>
  <c r="P916" i="28" s="1"/>
  <c r="B917" i="28"/>
  <c r="A918" i="28"/>
  <c r="C917" i="28"/>
  <c r="E917" i="28" s="1"/>
  <c r="I917" i="28" s="1"/>
  <c r="L918" i="28"/>
  <c r="N917" i="28"/>
  <c r="J911" i="23"/>
  <c r="C913" i="23"/>
  <c r="E913" i="23" s="1"/>
  <c r="P910" i="23"/>
  <c r="N911" i="23"/>
  <c r="L912" i="23"/>
  <c r="I912" i="23" s="1"/>
  <c r="D912" i="23"/>
  <c r="F912" i="23" s="1"/>
  <c r="B918" i="28" l="1"/>
  <c r="D917" i="28"/>
  <c r="F917" i="28" s="1"/>
  <c r="J917" i="28" s="1"/>
  <c r="P917" i="28" s="1"/>
  <c r="A919" i="28"/>
  <c r="C918" i="28"/>
  <c r="E918" i="28" s="1"/>
  <c r="I918" i="28" s="1"/>
  <c r="L919" i="28"/>
  <c r="N918" i="28"/>
  <c r="J912" i="23"/>
  <c r="C914" i="23"/>
  <c r="E914" i="23" s="1"/>
  <c r="P911" i="23"/>
  <c r="N912" i="23"/>
  <c r="L913" i="23"/>
  <c r="I913" i="23" s="1"/>
  <c r="D913" i="23"/>
  <c r="F913" i="23" s="1"/>
  <c r="B919" i="28" l="1"/>
  <c r="D918" i="28"/>
  <c r="F918" i="28" s="1"/>
  <c r="J918" i="28" s="1"/>
  <c r="P918" i="28" s="1"/>
  <c r="A920" i="28"/>
  <c r="C919" i="28"/>
  <c r="E919" i="28" s="1"/>
  <c r="I919" i="28" s="1"/>
  <c r="N919" i="28"/>
  <c r="L920" i="28"/>
  <c r="J913" i="23"/>
  <c r="C915" i="23"/>
  <c r="E915" i="23" s="1"/>
  <c r="P912" i="23"/>
  <c r="N913" i="23"/>
  <c r="L914" i="23"/>
  <c r="I914" i="23" s="1"/>
  <c r="D914" i="23"/>
  <c r="F914" i="23" s="1"/>
  <c r="D919" i="28" l="1"/>
  <c r="F919" i="28" s="1"/>
  <c r="J919" i="28" s="1"/>
  <c r="P919" i="28" s="1"/>
  <c r="B920" i="28"/>
  <c r="A921" i="28"/>
  <c r="C920" i="28"/>
  <c r="E920" i="28" s="1"/>
  <c r="I920" i="28" s="1"/>
  <c r="L921" i="28"/>
  <c r="N920" i="28"/>
  <c r="J914" i="23"/>
  <c r="C916" i="23"/>
  <c r="E916" i="23" s="1"/>
  <c r="P913" i="23"/>
  <c r="N914" i="23"/>
  <c r="L915" i="23"/>
  <c r="I915" i="23" s="1"/>
  <c r="D915" i="23"/>
  <c r="F915" i="23" s="1"/>
  <c r="B921" i="28" l="1"/>
  <c r="D920" i="28"/>
  <c r="F920" i="28" s="1"/>
  <c r="J920" i="28" s="1"/>
  <c r="P920" i="28" s="1"/>
  <c r="A922" i="28"/>
  <c r="C921" i="28"/>
  <c r="E921" i="28" s="1"/>
  <c r="I921" i="28" s="1"/>
  <c r="L922" i="28"/>
  <c r="N921" i="28"/>
  <c r="J915" i="23"/>
  <c r="C917" i="23"/>
  <c r="E917" i="23" s="1"/>
  <c r="P914" i="23"/>
  <c r="N915" i="23"/>
  <c r="L916" i="23"/>
  <c r="I916" i="23" s="1"/>
  <c r="D916" i="23"/>
  <c r="F916" i="23" s="1"/>
  <c r="B922" i="28" l="1"/>
  <c r="D921" i="28"/>
  <c r="F921" i="28" s="1"/>
  <c r="J921" i="28" s="1"/>
  <c r="P921" i="28" s="1"/>
  <c r="A923" i="28"/>
  <c r="C922" i="28"/>
  <c r="E922" i="28" s="1"/>
  <c r="I922" i="28" s="1"/>
  <c r="L923" i="28"/>
  <c r="N922" i="28"/>
  <c r="J916" i="23"/>
  <c r="C918" i="23"/>
  <c r="E918" i="23" s="1"/>
  <c r="P915" i="23"/>
  <c r="N916" i="23"/>
  <c r="L917" i="23"/>
  <c r="I917" i="23" s="1"/>
  <c r="D917" i="23"/>
  <c r="F917" i="23" s="1"/>
  <c r="D922" i="28" l="1"/>
  <c r="F922" i="28" s="1"/>
  <c r="J922" i="28" s="1"/>
  <c r="P922" i="28" s="1"/>
  <c r="B923" i="28"/>
  <c r="A924" i="28"/>
  <c r="C923" i="28"/>
  <c r="L924" i="28"/>
  <c r="N923" i="28"/>
  <c r="E923" i="28"/>
  <c r="I923" i="28" s="1"/>
  <c r="J917" i="23"/>
  <c r="C919" i="23"/>
  <c r="E919" i="23" s="1"/>
  <c r="P916" i="23"/>
  <c r="N917" i="23"/>
  <c r="L918" i="23"/>
  <c r="I918" i="23" s="1"/>
  <c r="D918" i="23"/>
  <c r="F918" i="23" s="1"/>
  <c r="D923" i="28" l="1"/>
  <c r="F923" i="28" s="1"/>
  <c r="J923" i="28" s="1"/>
  <c r="P923" i="28" s="1"/>
  <c r="B924" i="28"/>
  <c r="A925" i="28"/>
  <c r="C924" i="28"/>
  <c r="E924" i="28" s="1"/>
  <c r="I924" i="28" s="1"/>
  <c r="L925" i="28"/>
  <c r="N924" i="28"/>
  <c r="J918" i="23"/>
  <c r="C920" i="23"/>
  <c r="E920" i="23" s="1"/>
  <c r="P917" i="23"/>
  <c r="N918" i="23"/>
  <c r="L919" i="23"/>
  <c r="I919" i="23" s="1"/>
  <c r="D919" i="23"/>
  <c r="F919" i="23" s="1"/>
  <c r="B925" i="28" l="1"/>
  <c r="D924" i="28"/>
  <c r="F924" i="28" s="1"/>
  <c r="J924" i="28" s="1"/>
  <c r="P924" i="28" s="1"/>
  <c r="A926" i="28"/>
  <c r="C925" i="28"/>
  <c r="E925" i="28" s="1"/>
  <c r="I925" i="28" s="1"/>
  <c r="N925" i="28"/>
  <c r="L926" i="28"/>
  <c r="J919" i="23"/>
  <c r="C921" i="23"/>
  <c r="E921" i="23" s="1"/>
  <c r="P918" i="23"/>
  <c r="N919" i="23"/>
  <c r="L920" i="23"/>
  <c r="I920" i="23" s="1"/>
  <c r="D920" i="23"/>
  <c r="F920" i="23" s="1"/>
  <c r="B926" i="28" l="1"/>
  <c r="D925" i="28"/>
  <c r="F925" i="28" s="1"/>
  <c r="J925" i="28" s="1"/>
  <c r="P925" i="28" s="1"/>
  <c r="A927" i="28"/>
  <c r="C926" i="28"/>
  <c r="E926" i="28" s="1"/>
  <c r="I926" i="28" s="1"/>
  <c r="L927" i="28"/>
  <c r="N926" i="28"/>
  <c r="J920" i="23"/>
  <c r="C922" i="23"/>
  <c r="E922" i="23" s="1"/>
  <c r="P919" i="23"/>
  <c r="N920" i="23"/>
  <c r="L921" i="23"/>
  <c r="I921" i="23" s="1"/>
  <c r="D921" i="23"/>
  <c r="F921" i="23" s="1"/>
  <c r="D926" i="28" l="1"/>
  <c r="F926" i="28" s="1"/>
  <c r="J926" i="28" s="1"/>
  <c r="P926" i="28" s="1"/>
  <c r="B927" i="28"/>
  <c r="A928" i="28"/>
  <c r="C927" i="28"/>
  <c r="E927" i="28" s="1"/>
  <c r="I927" i="28" s="1"/>
  <c r="L928" i="28"/>
  <c r="N927" i="28"/>
  <c r="J921" i="23"/>
  <c r="C923" i="23"/>
  <c r="E923" i="23" s="1"/>
  <c r="P920" i="23"/>
  <c r="N921" i="23"/>
  <c r="L922" i="23"/>
  <c r="I922" i="23" s="1"/>
  <c r="D922" i="23"/>
  <c r="F922" i="23" s="1"/>
  <c r="D927" i="28" l="1"/>
  <c r="F927" i="28" s="1"/>
  <c r="J927" i="28" s="1"/>
  <c r="P927" i="28" s="1"/>
  <c r="B928" i="28"/>
  <c r="A929" i="28"/>
  <c r="C928" i="28"/>
  <c r="E928" i="28" s="1"/>
  <c r="I928" i="28" s="1"/>
  <c r="L929" i="28"/>
  <c r="N928" i="28"/>
  <c r="J922" i="23"/>
  <c r="C924" i="23"/>
  <c r="E924" i="23" s="1"/>
  <c r="P921" i="23"/>
  <c r="N922" i="23"/>
  <c r="L923" i="23"/>
  <c r="I923" i="23" s="1"/>
  <c r="D923" i="23"/>
  <c r="F923" i="23" s="1"/>
  <c r="B929" i="28" l="1"/>
  <c r="D928" i="28"/>
  <c r="F928" i="28" s="1"/>
  <c r="J928" i="28" s="1"/>
  <c r="P928" i="28" s="1"/>
  <c r="A930" i="28"/>
  <c r="C929" i="28"/>
  <c r="E929" i="28" s="1"/>
  <c r="I929" i="28" s="1"/>
  <c r="N929" i="28"/>
  <c r="L930" i="28"/>
  <c r="J923" i="23"/>
  <c r="C925" i="23"/>
  <c r="E925" i="23" s="1"/>
  <c r="P922" i="23"/>
  <c r="N923" i="23"/>
  <c r="L924" i="23"/>
  <c r="I924" i="23" s="1"/>
  <c r="D924" i="23"/>
  <c r="F924" i="23" s="1"/>
  <c r="B930" i="28" l="1"/>
  <c r="D929" i="28"/>
  <c r="F929" i="28" s="1"/>
  <c r="J929" i="28" s="1"/>
  <c r="P929" i="28" s="1"/>
  <c r="A931" i="28"/>
  <c r="C930" i="28"/>
  <c r="E930" i="28" s="1"/>
  <c r="I930" i="28" s="1"/>
  <c r="L931" i="28"/>
  <c r="N930" i="28"/>
  <c r="J924" i="23"/>
  <c r="C926" i="23"/>
  <c r="E926" i="23" s="1"/>
  <c r="P923" i="23"/>
  <c r="N924" i="23"/>
  <c r="L925" i="23"/>
  <c r="I925" i="23" s="1"/>
  <c r="D925" i="23"/>
  <c r="F925" i="23" s="1"/>
  <c r="D930" i="28" l="1"/>
  <c r="F930" i="28" s="1"/>
  <c r="J930" i="28" s="1"/>
  <c r="P930" i="28" s="1"/>
  <c r="B931" i="28"/>
  <c r="A932" i="28"/>
  <c r="C931" i="28"/>
  <c r="E931" i="28" s="1"/>
  <c r="I931" i="28" s="1"/>
  <c r="L932" i="28"/>
  <c r="N931" i="28"/>
  <c r="J925" i="23"/>
  <c r="C927" i="23"/>
  <c r="E927" i="23" s="1"/>
  <c r="P924" i="23"/>
  <c r="N925" i="23"/>
  <c r="L926" i="23"/>
  <c r="I926" i="23" s="1"/>
  <c r="D926" i="23"/>
  <c r="F926" i="23" s="1"/>
  <c r="B932" i="28" l="1"/>
  <c r="D931" i="28"/>
  <c r="F931" i="28" s="1"/>
  <c r="J931" i="28" s="1"/>
  <c r="P931" i="28" s="1"/>
  <c r="A933" i="28"/>
  <c r="C932" i="28"/>
  <c r="E932" i="28" s="1"/>
  <c r="I932" i="28" s="1"/>
  <c r="L933" i="28"/>
  <c r="N932" i="28"/>
  <c r="J926" i="23"/>
  <c r="C928" i="23"/>
  <c r="E928" i="23" s="1"/>
  <c r="P925" i="23"/>
  <c r="N926" i="23"/>
  <c r="L927" i="23"/>
  <c r="I927" i="23" s="1"/>
  <c r="D927" i="23"/>
  <c r="F927" i="23" s="1"/>
  <c r="B933" i="28" l="1"/>
  <c r="D932" i="28"/>
  <c r="F932" i="28" s="1"/>
  <c r="J932" i="28" s="1"/>
  <c r="P932" i="28" s="1"/>
  <c r="A934" i="28"/>
  <c r="C933" i="28"/>
  <c r="E933" i="28" s="1"/>
  <c r="I933" i="28" s="1"/>
  <c r="L934" i="28"/>
  <c r="N933" i="28"/>
  <c r="J927" i="23"/>
  <c r="C929" i="23"/>
  <c r="E929" i="23" s="1"/>
  <c r="P926" i="23"/>
  <c r="N927" i="23"/>
  <c r="L928" i="23"/>
  <c r="I928" i="23" s="1"/>
  <c r="D928" i="23"/>
  <c r="F928" i="23" s="1"/>
  <c r="D933" i="28" l="1"/>
  <c r="F933" i="28" s="1"/>
  <c r="J933" i="28" s="1"/>
  <c r="P933" i="28" s="1"/>
  <c r="B934" i="28"/>
  <c r="A935" i="28"/>
  <c r="C934" i="28"/>
  <c r="E934" i="28" s="1"/>
  <c r="I934" i="28" s="1"/>
  <c r="L935" i="28"/>
  <c r="N934" i="28"/>
  <c r="J928" i="23"/>
  <c r="C930" i="23"/>
  <c r="E930" i="23" s="1"/>
  <c r="P927" i="23"/>
  <c r="N928" i="23"/>
  <c r="L929" i="23"/>
  <c r="I929" i="23" s="1"/>
  <c r="D929" i="23"/>
  <c r="F929" i="23" s="1"/>
  <c r="B935" i="28" l="1"/>
  <c r="D934" i="28"/>
  <c r="F934" i="28" s="1"/>
  <c r="J934" i="28" s="1"/>
  <c r="P934" i="28" s="1"/>
  <c r="A936" i="28"/>
  <c r="C935" i="28"/>
  <c r="E935" i="28" s="1"/>
  <c r="I935" i="28" s="1"/>
  <c r="L936" i="28"/>
  <c r="N935" i="28"/>
  <c r="J929" i="23"/>
  <c r="C931" i="23"/>
  <c r="E931" i="23" s="1"/>
  <c r="P928" i="23"/>
  <c r="N929" i="23"/>
  <c r="L930" i="23"/>
  <c r="I930" i="23" s="1"/>
  <c r="D930" i="23"/>
  <c r="F930" i="23" s="1"/>
  <c r="D935" i="28" l="1"/>
  <c r="F935" i="28" s="1"/>
  <c r="J935" i="28" s="1"/>
  <c r="P935" i="28" s="1"/>
  <c r="B936" i="28"/>
  <c r="A937" i="28"/>
  <c r="C936" i="28"/>
  <c r="E936" i="28" s="1"/>
  <c r="I936" i="28" s="1"/>
  <c r="L937" i="28"/>
  <c r="N936" i="28"/>
  <c r="J930" i="23"/>
  <c r="C932" i="23"/>
  <c r="E932" i="23" s="1"/>
  <c r="P929" i="23"/>
  <c r="N930" i="23"/>
  <c r="L931" i="23"/>
  <c r="I931" i="23" s="1"/>
  <c r="D931" i="23"/>
  <c r="F931" i="23" s="1"/>
  <c r="B937" i="28" l="1"/>
  <c r="D936" i="28"/>
  <c r="F936" i="28" s="1"/>
  <c r="J936" i="28" s="1"/>
  <c r="P936" i="28" s="1"/>
  <c r="A938" i="28"/>
  <c r="C937" i="28"/>
  <c r="E937" i="28" s="1"/>
  <c r="I937" i="28" s="1"/>
  <c r="N937" i="28"/>
  <c r="L938" i="28"/>
  <c r="J931" i="23"/>
  <c r="C933" i="23"/>
  <c r="E933" i="23" s="1"/>
  <c r="P930" i="23"/>
  <c r="N931" i="23"/>
  <c r="L932" i="23"/>
  <c r="I932" i="23" s="1"/>
  <c r="D932" i="23"/>
  <c r="F932" i="23" s="1"/>
  <c r="B938" i="28" l="1"/>
  <c r="D937" i="28"/>
  <c r="F937" i="28" s="1"/>
  <c r="J937" i="28" s="1"/>
  <c r="P937" i="28" s="1"/>
  <c r="A939" i="28"/>
  <c r="C938" i="28"/>
  <c r="E938" i="28" s="1"/>
  <c r="I938" i="28" s="1"/>
  <c r="L939" i="28"/>
  <c r="N938" i="28"/>
  <c r="J932" i="23"/>
  <c r="C934" i="23"/>
  <c r="E934" i="23" s="1"/>
  <c r="P931" i="23"/>
  <c r="N932" i="23"/>
  <c r="L933" i="23"/>
  <c r="I933" i="23" s="1"/>
  <c r="D933" i="23"/>
  <c r="F933" i="23" s="1"/>
  <c r="B939" i="28" l="1"/>
  <c r="D938" i="28"/>
  <c r="F938" i="28" s="1"/>
  <c r="J938" i="28" s="1"/>
  <c r="P938" i="28" s="1"/>
  <c r="A940" i="28"/>
  <c r="C939" i="28"/>
  <c r="E939" i="28" s="1"/>
  <c r="I939" i="28" s="1"/>
  <c r="L940" i="28"/>
  <c r="N939" i="28"/>
  <c r="J933" i="23"/>
  <c r="C935" i="23"/>
  <c r="E935" i="23" s="1"/>
  <c r="P932" i="23"/>
  <c r="N933" i="23"/>
  <c r="L934" i="23"/>
  <c r="I934" i="23" s="1"/>
  <c r="D934" i="23"/>
  <c r="F934" i="23" s="1"/>
  <c r="B940" i="28" l="1"/>
  <c r="D939" i="28"/>
  <c r="F939" i="28" s="1"/>
  <c r="J939" i="28" s="1"/>
  <c r="P939" i="28" s="1"/>
  <c r="A941" i="28"/>
  <c r="C940" i="28"/>
  <c r="E940" i="28" s="1"/>
  <c r="I940" i="28" s="1"/>
  <c r="L941" i="28"/>
  <c r="N940" i="28"/>
  <c r="J934" i="23"/>
  <c r="C936" i="23"/>
  <c r="E936" i="23" s="1"/>
  <c r="P933" i="23"/>
  <c r="N934" i="23"/>
  <c r="L935" i="23"/>
  <c r="I935" i="23" s="1"/>
  <c r="D935" i="23"/>
  <c r="F935" i="23" s="1"/>
  <c r="B941" i="28" l="1"/>
  <c r="D940" i="28"/>
  <c r="F940" i="28" s="1"/>
  <c r="J940" i="28" s="1"/>
  <c r="P940" i="28" s="1"/>
  <c r="A942" i="28"/>
  <c r="C941" i="28"/>
  <c r="E941" i="28" s="1"/>
  <c r="I941" i="28" s="1"/>
  <c r="N941" i="28"/>
  <c r="L942" i="28"/>
  <c r="J935" i="23"/>
  <c r="C937" i="23"/>
  <c r="E937" i="23" s="1"/>
  <c r="P934" i="23"/>
  <c r="N935" i="23"/>
  <c r="L936" i="23"/>
  <c r="I936" i="23" s="1"/>
  <c r="D936" i="23"/>
  <c r="F936" i="23" s="1"/>
  <c r="B942" i="28" l="1"/>
  <c r="D941" i="28"/>
  <c r="F941" i="28" s="1"/>
  <c r="J941" i="28" s="1"/>
  <c r="P941" i="28" s="1"/>
  <c r="A943" i="28"/>
  <c r="C942" i="28"/>
  <c r="E942" i="28" s="1"/>
  <c r="I942" i="28" s="1"/>
  <c r="L943" i="28"/>
  <c r="N942" i="28"/>
  <c r="J936" i="23"/>
  <c r="C938" i="23"/>
  <c r="E938" i="23" s="1"/>
  <c r="P935" i="23"/>
  <c r="N936" i="23"/>
  <c r="L937" i="23"/>
  <c r="I937" i="23" s="1"/>
  <c r="D937" i="23"/>
  <c r="F937" i="23" s="1"/>
  <c r="B943" i="28" l="1"/>
  <c r="D942" i="28"/>
  <c r="F942" i="28" s="1"/>
  <c r="J942" i="28" s="1"/>
  <c r="P942" i="28" s="1"/>
  <c r="A944" i="28"/>
  <c r="C943" i="28"/>
  <c r="E943" i="28" s="1"/>
  <c r="I943" i="28" s="1"/>
  <c r="L944" i="28"/>
  <c r="N943" i="28"/>
  <c r="J937" i="23"/>
  <c r="C939" i="23"/>
  <c r="E939" i="23" s="1"/>
  <c r="P936" i="23"/>
  <c r="N937" i="23"/>
  <c r="L938" i="23"/>
  <c r="I938" i="23" s="1"/>
  <c r="D938" i="23"/>
  <c r="F938" i="23" s="1"/>
  <c r="B944" i="28" l="1"/>
  <c r="D943" i="28"/>
  <c r="F943" i="28" s="1"/>
  <c r="J943" i="28" s="1"/>
  <c r="P943" i="28" s="1"/>
  <c r="A945" i="28"/>
  <c r="C944" i="28"/>
  <c r="E944" i="28" s="1"/>
  <c r="I944" i="28" s="1"/>
  <c r="L945" i="28"/>
  <c r="N944" i="28"/>
  <c r="J938" i="23"/>
  <c r="C940" i="23"/>
  <c r="E940" i="23" s="1"/>
  <c r="P937" i="23"/>
  <c r="N938" i="23"/>
  <c r="L939" i="23"/>
  <c r="I939" i="23" s="1"/>
  <c r="D939" i="23"/>
  <c r="F939" i="23" s="1"/>
  <c r="B945" i="28" l="1"/>
  <c r="D944" i="28"/>
  <c r="F944" i="28" s="1"/>
  <c r="J944" i="28" s="1"/>
  <c r="P944" i="28" s="1"/>
  <c r="A946" i="28"/>
  <c r="C945" i="28"/>
  <c r="E945" i="28" s="1"/>
  <c r="I945" i="28" s="1"/>
  <c r="N945" i="28"/>
  <c r="L946" i="28"/>
  <c r="J939" i="23"/>
  <c r="C941" i="23"/>
  <c r="E941" i="23" s="1"/>
  <c r="P938" i="23"/>
  <c r="N939" i="23"/>
  <c r="L940" i="23"/>
  <c r="I940" i="23" s="1"/>
  <c r="D940" i="23"/>
  <c r="F940" i="23" s="1"/>
  <c r="D945" i="28" l="1"/>
  <c r="F945" i="28" s="1"/>
  <c r="J945" i="28" s="1"/>
  <c r="P945" i="28" s="1"/>
  <c r="B946" i="28"/>
  <c r="A947" i="28"/>
  <c r="C946" i="28"/>
  <c r="E946" i="28" s="1"/>
  <c r="I946" i="28" s="1"/>
  <c r="N946" i="28"/>
  <c r="L947" i="28"/>
  <c r="J940" i="23"/>
  <c r="C942" i="23"/>
  <c r="E942" i="23" s="1"/>
  <c r="P939" i="23"/>
  <c r="N940" i="23"/>
  <c r="L941" i="23"/>
  <c r="I941" i="23" s="1"/>
  <c r="D941" i="23"/>
  <c r="F941" i="23" s="1"/>
  <c r="B947" i="28" l="1"/>
  <c r="D946" i="28"/>
  <c r="F946" i="28" s="1"/>
  <c r="J946" i="28" s="1"/>
  <c r="P946" i="28" s="1"/>
  <c r="A948" i="28"/>
  <c r="C947" i="28"/>
  <c r="E947" i="28" s="1"/>
  <c r="I947" i="28" s="1"/>
  <c r="N947" i="28"/>
  <c r="L948" i="28"/>
  <c r="J941" i="23"/>
  <c r="C943" i="23"/>
  <c r="E943" i="23" s="1"/>
  <c r="P940" i="23"/>
  <c r="N941" i="23"/>
  <c r="L942" i="23"/>
  <c r="I942" i="23" s="1"/>
  <c r="D942" i="23"/>
  <c r="F942" i="23" s="1"/>
  <c r="D947" i="28" l="1"/>
  <c r="F947" i="28" s="1"/>
  <c r="J947" i="28" s="1"/>
  <c r="P947" i="28" s="1"/>
  <c r="B948" i="28"/>
  <c r="A949" i="28"/>
  <c r="C948" i="28"/>
  <c r="E948" i="28" s="1"/>
  <c r="I948" i="28" s="1"/>
  <c r="L949" i="28"/>
  <c r="N948" i="28"/>
  <c r="J942" i="23"/>
  <c r="C944" i="23"/>
  <c r="E944" i="23" s="1"/>
  <c r="P941" i="23"/>
  <c r="N942" i="23"/>
  <c r="L943" i="23"/>
  <c r="I943" i="23" s="1"/>
  <c r="D943" i="23"/>
  <c r="F943" i="23" s="1"/>
  <c r="B949" i="28" l="1"/>
  <c r="D948" i="28"/>
  <c r="F948" i="28" s="1"/>
  <c r="J948" i="28" s="1"/>
  <c r="P948" i="28" s="1"/>
  <c r="A950" i="28"/>
  <c r="C949" i="28"/>
  <c r="E949" i="28" s="1"/>
  <c r="I949" i="28" s="1"/>
  <c r="L950" i="28"/>
  <c r="N949" i="28"/>
  <c r="J943" i="23"/>
  <c r="C945" i="23"/>
  <c r="E945" i="23" s="1"/>
  <c r="P942" i="23"/>
  <c r="N943" i="23"/>
  <c r="L944" i="23"/>
  <c r="I944" i="23" s="1"/>
  <c r="D944" i="23"/>
  <c r="F944" i="23" s="1"/>
  <c r="D949" i="28" l="1"/>
  <c r="F949" i="28" s="1"/>
  <c r="J949" i="28" s="1"/>
  <c r="P949" i="28" s="1"/>
  <c r="B950" i="28"/>
  <c r="A951" i="28"/>
  <c r="C950" i="28"/>
  <c r="E950" i="28" s="1"/>
  <c r="I950" i="28" s="1"/>
  <c r="N950" i="28"/>
  <c r="L951" i="28"/>
  <c r="J944" i="23"/>
  <c r="C946" i="23"/>
  <c r="E946" i="23" s="1"/>
  <c r="P943" i="23"/>
  <c r="N944" i="23"/>
  <c r="L945" i="23"/>
  <c r="I945" i="23" s="1"/>
  <c r="D945" i="23"/>
  <c r="F945" i="23" s="1"/>
  <c r="B951" i="28" l="1"/>
  <c r="D950" i="28"/>
  <c r="F950" i="28" s="1"/>
  <c r="J950" i="28" s="1"/>
  <c r="P950" i="28" s="1"/>
  <c r="A952" i="28"/>
  <c r="C951" i="28"/>
  <c r="E951" i="28" s="1"/>
  <c r="I951" i="28" s="1"/>
  <c r="N951" i="28"/>
  <c r="L952" i="28"/>
  <c r="J945" i="23"/>
  <c r="C947" i="23"/>
  <c r="E947" i="23" s="1"/>
  <c r="P944" i="23"/>
  <c r="N945" i="23"/>
  <c r="L946" i="23"/>
  <c r="I946" i="23" s="1"/>
  <c r="D946" i="23"/>
  <c r="F946" i="23" s="1"/>
  <c r="B952" i="28" l="1"/>
  <c r="D951" i="28"/>
  <c r="F951" i="28" s="1"/>
  <c r="J951" i="28" s="1"/>
  <c r="P951" i="28" s="1"/>
  <c r="A953" i="28"/>
  <c r="C952" i="28"/>
  <c r="E952" i="28" s="1"/>
  <c r="I952" i="28" s="1"/>
  <c r="L953" i="28"/>
  <c r="N952" i="28"/>
  <c r="J946" i="23"/>
  <c r="C948" i="23"/>
  <c r="E948" i="23" s="1"/>
  <c r="P945" i="23"/>
  <c r="N946" i="23"/>
  <c r="L947" i="23"/>
  <c r="I947" i="23" s="1"/>
  <c r="D947" i="23"/>
  <c r="F947" i="23" s="1"/>
  <c r="D952" i="28" l="1"/>
  <c r="F952" i="28" s="1"/>
  <c r="J952" i="28" s="1"/>
  <c r="P952" i="28" s="1"/>
  <c r="B953" i="28"/>
  <c r="A954" i="28"/>
  <c r="C953" i="28"/>
  <c r="E953" i="28" s="1"/>
  <c r="I953" i="28" s="1"/>
  <c r="N953" i="28"/>
  <c r="L954" i="28"/>
  <c r="J947" i="23"/>
  <c r="C949" i="23"/>
  <c r="E949" i="23" s="1"/>
  <c r="P946" i="23"/>
  <c r="N947" i="23"/>
  <c r="L948" i="23"/>
  <c r="I948" i="23" s="1"/>
  <c r="D948" i="23"/>
  <c r="F948" i="23" s="1"/>
  <c r="B954" i="28" l="1"/>
  <c r="D953" i="28"/>
  <c r="F953" i="28" s="1"/>
  <c r="J953" i="28" s="1"/>
  <c r="P953" i="28" s="1"/>
  <c r="A955" i="28"/>
  <c r="C954" i="28"/>
  <c r="E954" i="28" s="1"/>
  <c r="I954" i="28" s="1"/>
  <c r="N954" i="28"/>
  <c r="L955" i="28"/>
  <c r="J948" i="23"/>
  <c r="C950" i="23"/>
  <c r="E950" i="23" s="1"/>
  <c r="P947" i="23"/>
  <c r="N948" i="23"/>
  <c r="L949" i="23"/>
  <c r="I949" i="23" s="1"/>
  <c r="D949" i="23"/>
  <c r="F949" i="23" s="1"/>
  <c r="D954" i="28" l="1"/>
  <c r="F954" i="28" s="1"/>
  <c r="J954" i="28" s="1"/>
  <c r="P954" i="28" s="1"/>
  <c r="B955" i="28"/>
  <c r="A956" i="28"/>
  <c r="C955" i="28"/>
  <c r="E955" i="28" s="1"/>
  <c r="I955" i="28" s="1"/>
  <c r="N955" i="28"/>
  <c r="L956" i="28"/>
  <c r="J949" i="23"/>
  <c r="C951" i="23"/>
  <c r="E951" i="23" s="1"/>
  <c r="P948" i="23"/>
  <c r="N949" i="23"/>
  <c r="L950" i="23"/>
  <c r="I950" i="23" s="1"/>
  <c r="D950" i="23"/>
  <c r="F950" i="23" s="1"/>
  <c r="D955" i="28" l="1"/>
  <c r="F955" i="28" s="1"/>
  <c r="J955" i="28" s="1"/>
  <c r="P955" i="28" s="1"/>
  <c r="B956" i="28"/>
  <c r="A957" i="28"/>
  <c r="C956" i="28"/>
  <c r="E956" i="28" s="1"/>
  <c r="I956" i="28" s="1"/>
  <c r="L957" i="28"/>
  <c r="N956" i="28"/>
  <c r="J950" i="23"/>
  <c r="C952" i="23"/>
  <c r="E952" i="23" s="1"/>
  <c r="P949" i="23"/>
  <c r="N950" i="23"/>
  <c r="L951" i="23"/>
  <c r="I951" i="23" s="1"/>
  <c r="D951" i="23"/>
  <c r="F951" i="23" s="1"/>
  <c r="B957" i="28" l="1"/>
  <c r="D956" i="28"/>
  <c r="F956" i="28" s="1"/>
  <c r="J956" i="28" s="1"/>
  <c r="P956" i="28" s="1"/>
  <c r="A958" i="28"/>
  <c r="C957" i="28"/>
  <c r="E957" i="28" s="1"/>
  <c r="I957" i="28" s="1"/>
  <c r="N957" i="28"/>
  <c r="L958" i="28"/>
  <c r="J951" i="23"/>
  <c r="C953" i="23"/>
  <c r="E953" i="23" s="1"/>
  <c r="P950" i="23"/>
  <c r="N951" i="23"/>
  <c r="L952" i="23"/>
  <c r="I952" i="23" s="1"/>
  <c r="D952" i="23"/>
  <c r="F952" i="23" s="1"/>
  <c r="B958" i="28" l="1"/>
  <c r="D957" i="28"/>
  <c r="F957" i="28" s="1"/>
  <c r="J957" i="28" s="1"/>
  <c r="P957" i="28" s="1"/>
  <c r="A959" i="28"/>
  <c r="C958" i="28"/>
  <c r="E958" i="28" s="1"/>
  <c r="I958" i="28" s="1"/>
  <c r="N958" i="28"/>
  <c r="L959" i="28"/>
  <c r="J952" i="23"/>
  <c r="C954" i="23"/>
  <c r="E954" i="23" s="1"/>
  <c r="P951" i="23"/>
  <c r="N952" i="23"/>
  <c r="L953" i="23"/>
  <c r="I953" i="23" s="1"/>
  <c r="D953" i="23"/>
  <c r="F953" i="23" s="1"/>
  <c r="D958" i="28" l="1"/>
  <c r="F958" i="28" s="1"/>
  <c r="J958" i="28" s="1"/>
  <c r="P958" i="28" s="1"/>
  <c r="B959" i="28"/>
  <c r="A960" i="28"/>
  <c r="C959" i="28"/>
  <c r="E959" i="28" s="1"/>
  <c r="I959" i="28" s="1"/>
  <c r="N959" i="28"/>
  <c r="L960" i="28"/>
  <c r="J953" i="23"/>
  <c r="C955" i="23"/>
  <c r="E955" i="23" s="1"/>
  <c r="P952" i="23"/>
  <c r="N953" i="23"/>
  <c r="L954" i="23"/>
  <c r="I954" i="23" s="1"/>
  <c r="D954" i="23"/>
  <c r="F954" i="23" s="1"/>
  <c r="D959" i="28" l="1"/>
  <c r="F959" i="28" s="1"/>
  <c r="J959" i="28" s="1"/>
  <c r="P959" i="28" s="1"/>
  <c r="B960" i="28"/>
  <c r="A961" i="28"/>
  <c r="C960" i="28"/>
  <c r="E960" i="28" s="1"/>
  <c r="I960" i="28" s="1"/>
  <c r="L961" i="28"/>
  <c r="N960" i="28"/>
  <c r="J954" i="23"/>
  <c r="C956" i="23"/>
  <c r="E956" i="23" s="1"/>
  <c r="P953" i="23"/>
  <c r="N954" i="23"/>
  <c r="L955" i="23"/>
  <c r="I955" i="23" s="1"/>
  <c r="D955" i="23"/>
  <c r="F955" i="23" s="1"/>
  <c r="D960" i="28" l="1"/>
  <c r="F960" i="28" s="1"/>
  <c r="J960" i="28" s="1"/>
  <c r="P960" i="28" s="1"/>
  <c r="B961" i="28"/>
  <c r="A962" i="28"/>
  <c r="C961" i="28"/>
  <c r="E961" i="28" s="1"/>
  <c r="I961" i="28" s="1"/>
  <c r="L962" i="28"/>
  <c r="N961" i="28"/>
  <c r="J955" i="23"/>
  <c r="C957" i="23"/>
  <c r="E957" i="23" s="1"/>
  <c r="P954" i="23"/>
  <c r="N955" i="23"/>
  <c r="L956" i="23"/>
  <c r="I956" i="23" s="1"/>
  <c r="D956" i="23"/>
  <c r="F956" i="23" s="1"/>
  <c r="B962" i="28" l="1"/>
  <c r="D961" i="28"/>
  <c r="F961" i="28" s="1"/>
  <c r="J961" i="28" s="1"/>
  <c r="P961" i="28" s="1"/>
  <c r="A963" i="28"/>
  <c r="C962" i="28"/>
  <c r="E962" i="28" s="1"/>
  <c r="I962" i="28" s="1"/>
  <c r="N962" i="28"/>
  <c r="L963" i="28"/>
  <c r="J956" i="23"/>
  <c r="C958" i="23"/>
  <c r="E958" i="23" s="1"/>
  <c r="P955" i="23"/>
  <c r="N956" i="23"/>
  <c r="L957" i="23"/>
  <c r="I957" i="23" s="1"/>
  <c r="D957" i="23"/>
  <c r="F957" i="23" s="1"/>
  <c r="B963" i="28" l="1"/>
  <c r="D962" i="28"/>
  <c r="F962" i="28" s="1"/>
  <c r="J962" i="28" s="1"/>
  <c r="P962" i="28" s="1"/>
  <c r="A964" i="28"/>
  <c r="C963" i="28"/>
  <c r="E963" i="28" s="1"/>
  <c r="I963" i="28" s="1"/>
  <c r="L964" i="28"/>
  <c r="N963" i="28"/>
  <c r="J957" i="23"/>
  <c r="C959" i="23"/>
  <c r="E959" i="23" s="1"/>
  <c r="P956" i="23"/>
  <c r="N957" i="23"/>
  <c r="L958" i="23"/>
  <c r="I958" i="23" s="1"/>
  <c r="D958" i="23"/>
  <c r="F958" i="23" s="1"/>
  <c r="D963" i="28" l="1"/>
  <c r="F963" i="28" s="1"/>
  <c r="J963" i="28" s="1"/>
  <c r="P963" i="28" s="1"/>
  <c r="B964" i="28"/>
  <c r="A965" i="28"/>
  <c r="C964" i="28"/>
  <c r="E964" i="28" s="1"/>
  <c r="I964" i="28" s="1"/>
  <c r="L965" i="28"/>
  <c r="N964" i="28"/>
  <c r="J958" i="23"/>
  <c r="C960" i="23"/>
  <c r="E960" i="23" s="1"/>
  <c r="P957" i="23"/>
  <c r="N958" i="23"/>
  <c r="L959" i="23"/>
  <c r="I959" i="23" s="1"/>
  <c r="D959" i="23"/>
  <c r="F959" i="23" s="1"/>
  <c r="D964" i="28" l="1"/>
  <c r="F964" i="28" s="1"/>
  <c r="J964" i="28" s="1"/>
  <c r="P964" i="28" s="1"/>
  <c r="B965" i="28"/>
  <c r="A966" i="28"/>
  <c r="C965" i="28"/>
  <c r="E965" i="28" s="1"/>
  <c r="I965" i="28" s="1"/>
  <c r="L966" i="28"/>
  <c r="N965" i="28"/>
  <c r="J959" i="23"/>
  <c r="C961" i="23"/>
  <c r="E961" i="23" s="1"/>
  <c r="P958" i="23"/>
  <c r="N959" i="23"/>
  <c r="L960" i="23"/>
  <c r="I960" i="23" s="1"/>
  <c r="D960" i="23"/>
  <c r="F960" i="23" s="1"/>
  <c r="B966" i="28" l="1"/>
  <c r="D965" i="28"/>
  <c r="F965" i="28" s="1"/>
  <c r="J965" i="28" s="1"/>
  <c r="P965" i="28" s="1"/>
  <c r="A967" i="28"/>
  <c r="C966" i="28"/>
  <c r="E966" i="28" s="1"/>
  <c r="I966" i="28" s="1"/>
  <c r="L967" i="28"/>
  <c r="N966" i="28"/>
  <c r="J960" i="23"/>
  <c r="C962" i="23"/>
  <c r="E962" i="23" s="1"/>
  <c r="P959" i="23"/>
  <c r="N960" i="23"/>
  <c r="L961" i="23"/>
  <c r="I961" i="23" s="1"/>
  <c r="D961" i="23"/>
  <c r="F961" i="23" s="1"/>
  <c r="D966" i="28" l="1"/>
  <c r="F966" i="28" s="1"/>
  <c r="J966" i="28" s="1"/>
  <c r="P966" i="28" s="1"/>
  <c r="B967" i="28"/>
  <c r="A968" i="28"/>
  <c r="C967" i="28"/>
  <c r="E967" i="28" s="1"/>
  <c r="I967" i="28" s="1"/>
  <c r="L968" i="28"/>
  <c r="N967" i="28"/>
  <c r="J961" i="23"/>
  <c r="C963" i="23"/>
  <c r="E963" i="23" s="1"/>
  <c r="P960" i="23"/>
  <c r="N961" i="23"/>
  <c r="L962" i="23"/>
  <c r="I962" i="23" s="1"/>
  <c r="D962" i="23"/>
  <c r="F962" i="23" s="1"/>
  <c r="B968" i="28" l="1"/>
  <c r="D967" i="28"/>
  <c r="F967" i="28" s="1"/>
  <c r="J967" i="28" s="1"/>
  <c r="P967" i="28" s="1"/>
  <c r="A969" i="28"/>
  <c r="C968" i="28"/>
  <c r="E968" i="28" s="1"/>
  <c r="I968" i="28" s="1"/>
  <c r="L969" i="28"/>
  <c r="N968" i="28"/>
  <c r="J962" i="23"/>
  <c r="C964" i="23"/>
  <c r="E964" i="23" s="1"/>
  <c r="P961" i="23"/>
  <c r="N962" i="23"/>
  <c r="L963" i="23"/>
  <c r="I963" i="23" s="1"/>
  <c r="D963" i="23"/>
  <c r="F963" i="23" s="1"/>
  <c r="D968" i="28" l="1"/>
  <c r="F968" i="28" s="1"/>
  <c r="J968" i="28" s="1"/>
  <c r="P968" i="28" s="1"/>
  <c r="B969" i="28"/>
  <c r="A970" i="28"/>
  <c r="C969" i="28"/>
  <c r="E969" i="28" s="1"/>
  <c r="I969" i="28" s="1"/>
  <c r="N969" i="28"/>
  <c r="L970" i="28"/>
  <c r="J963" i="23"/>
  <c r="C965" i="23"/>
  <c r="E965" i="23" s="1"/>
  <c r="P962" i="23"/>
  <c r="N963" i="23"/>
  <c r="L964" i="23"/>
  <c r="I964" i="23" s="1"/>
  <c r="D964" i="23"/>
  <c r="F964" i="23" s="1"/>
  <c r="B970" i="28" l="1"/>
  <c r="D969" i="28"/>
  <c r="F969" i="28" s="1"/>
  <c r="J969" i="28" s="1"/>
  <c r="P969" i="28" s="1"/>
  <c r="A971" i="28"/>
  <c r="C970" i="28"/>
  <c r="E970" i="28" s="1"/>
  <c r="I970" i="28" s="1"/>
  <c r="L971" i="28"/>
  <c r="N970" i="28"/>
  <c r="J964" i="23"/>
  <c r="C966" i="23"/>
  <c r="E966" i="23" s="1"/>
  <c r="P963" i="23"/>
  <c r="N964" i="23"/>
  <c r="L965" i="23"/>
  <c r="I965" i="23" s="1"/>
  <c r="D965" i="23"/>
  <c r="F965" i="23" s="1"/>
  <c r="D970" i="28" l="1"/>
  <c r="F970" i="28" s="1"/>
  <c r="J970" i="28" s="1"/>
  <c r="P970" i="28" s="1"/>
  <c r="B971" i="28"/>
  <c r="A972" i="28"/>
  <c r="C971" i="28"/>
  <c r="E971" i="28" s="1"/>
  <c r="I971" i="28" s="1"/>
  <c r="N971" i="28"/>
  <c r="L972" i="28"/>
  <c r="J965" i="23"/>
  <c r="C967" i="23"/>
  <c r="E967" i="23" s="1"/>
  <c r="P964" i="23"/>
  <c r="N965" i="23"/>
  <c r="L966" i="23"/>
  <c r="I966" i="23" s="1"/>
  <c r="D966" i="23"/>
  <c r="F966" i="23" s="1"/>
  <c r="D971" i="28" l="1"/>
  <c r="F971" i="28" s="1"/>
  <c r="J971" i="28" s="1"/>
  <c r="P971" i="28" s="1"/>
  <c r="B972" i="28"/>
  <c r="A973" i="28"/>
  <c r="C972" i="28"/>
  <c r="E972" i="28" s="1"/>
  <c r="I972" i="28" s="1"/>
  <c r="N972" i="28"/>
  <c r="L973" i="28"/>
  <c r="J966" i="23"/>
  <c r="C968" i="23"/>
  <c r="E968" i="23" s="1"/>
  <c r="P965" i="23"/>
  <c r="N966" i="23"/>
  <c r="L967" i="23"/>
  <c r="I967" i="23" s="1"/>
  <c r="D967" i="23"/>
  <c r="F967" i="23" s="1"/>
  <c r="D972" i="28" l="1"/>
  <c r="F972" i="28" s="1"/>
  <c r="J972" i="28" s="1"/>
  <c r="P972" i="28" s="1"/>
  <c r="B973" i="28"/>
  <c r="A974" i="28"/>
  <c r="C973" i="28"/>
  <c r="E973" i="28" s="1"/>
  <c r="I973" i="28" s="1"/>
  <c r="N973" i="28"/>
  <c r="L974" i="28"/>
  <c r="J967" i="23"/>
  <c r="C969" i="23"/>
  <c r="E969" i="23" s="1"/>
  <c r="P966" i="23"/>
  <c r="N967" i="23"/>
  <c r="L968" i="23"/>
  <c r="I968" i="23" s="1"/>
  <c r="D968" i="23"/>
  <c r="F968" i="23" s="1"/>
  <c r="B974" i="28" l="1"/>
  <c r="D973" i="28"/>
  <c r="F973" i="28" s="1"/>
  <c r="J973" i="28" s="1"/>
  <c r="P973" i="28" s="1"/>
  <c r="A975" i="28"/>
  <c r="C974" i="28"/>
  <c r="E974" i="28" s="1"/>
  <c r="I974" i="28" s="1"/>
  <c r="N974" i="28"/>
  <c r="L975" i="28"/>
  <c r="J968" i="23"/>
  <c r="C970" i="23"/>
  <c r="E970" i="23" s="1"/>
  <c r="P967" i="23"/>
  <c r="N968" i="23"/>
  <c r="L969" i="23"/>
  <c r="I969" i="23" s="1"/>
  <c r="D969" i="23"/>
  <c r="F969" i="23" s="1"/>
  <c r="B975" i="28" l="1"/>
  <c r="D974" i="28"/>
  <c r="F974" i="28" s="1"/>
  <c r="J974" i="28" s="1"/>
  <c r="P974" i="28" s="1"/>
  <c r="A976" i="28"/>
  <c r="C975" i="28"/>
  <c r="E975" i="28" s="1"/>
  <c r="I975" i="28" s="1"/>
  <c r="N975" i="28"/>
  <c r="L976" i="28"/>
  <c r="J969" i="23"/>
  <c r="C971" i="23"/>
  <c r="E971" i="23" s="1"/>
  <c r="P968" i="23"/>
  <c r="N969" i="23"/>
  <c r="L970" i="23"/>
  <c r="I970" i="23" s="1"/>
  <c r="D970" i="23"/>
  <c r="F970" i="23" s="1"/>
  <c r="D975" i="28" l="1"/>
  <c r="F975" i="28" s="1"/>
  <c r="J975" i="28" s="1"/>
  <c r="P975" i="28" s="1"/>
  <c r="B976" i="28"/>
  <c r="A977" i="28"/>
  <c r="C976" i="28"/>
  <c r="E976" i="28" s="1"/>
  <c r="I976" i="28" s="1"/>
  <c r="N976" i="28"/>
  <c r="L977" i="28"/>
  <c r="J970" i="23"/>
  <c r="C972" i="23"/>
  <c r="E972" i="23" s="1"/>
  <c r="P969" i="23"/>
  <c r="N970" i="23"/>
  <c r="L971" i="23"/>
  <c r="I971" i="23" s="1"/>
  <c r="D971" i="23"/>
  <c r="F971" i="23" s="1"/>
  <c r="B977" i="28" l="1"/>
  <c r="D976" i="28"/>
  <c r="F976" i="28" s="1"/>
  <c r="J976" i="28" s="1"/>
  <c r="P976" i="28" s="1"/>
  <c r="A978" i="28"/>
  <c r="C977" i="28"/>
  <c r="E977" i="28" s="1"/>
  <c r="I977" i="28" s="1"/>
  <c r="L978" i="28"/>
  <c r="N977" i="28"/>
  <c r="J971" i="23"/>
  <c r="C973" i="23"/>
  <c r="E973" i="23" s="1"/>
  <c r="P970" i="23"/>
  <c r="N971" i="23"/>
  <c r="L972" i="23"/>
  <c r="I972" i="23" s="1"/>
  <c r="D972" i="23"/>
  <c r="F972" i="23" s="1"/>
  <c r="B978" i="28" l="1"/>
  <c r="D977" i="28"/>
  <c r="F977" i="28" s="1"/>
  <c r="J977" i="28" s="1"/>
  <c r="P977" i="28" s="1"/>
  <c r="A979" i="28"/>
  <c r="C978" i="28"/>
  <c r="E978" i="28" s="1"/>
  <c r="I978" i="28" s="1"/>
  <c r="N978" i="28"/>
  <c r="L979" i="28"/>
  <c r="J972" i="23"/>
  <c r="C974" i="23"/>
  <c r="E974" i="23" s="1"/>
  <c r="P971" i="23"/>
  <c r="N972" i="23"/>
  <c r="L973" i="23"/>
  <c r="I973" i="23" s="1"/>
  <c r="D973" i="23"/>
  <c r="F973" i="23" s="1"/>
  <c r="B979" i="28" l="1"/>
  <c r="D978" i="28"/>
  <c r="F978" i="28" s="1"/>
  <c r="J978" i="28" s="1"/>
  <c r="P978" i="28" s="1"/>
  <c r="A980" i="28"/>
  <c r="C979" i="28"/>
  <c r="E979" i="28" s="1"/>
  <c r="I979" i="28" s="1"/>
  <c r="L980" i="28"/>
  <c r="N979" i="28"/>
  <c r="J973" i="23"/>
  <c r="C975" i="23"/>
  <c r="E975" i="23" s="1"/>
  <c r="P972" i="23"/>
  <c r="N973" i="23"/>
  <c r="L974" i="23"/>
  <c r="I974" i="23" s="1"/>
  <c r="D974" i="23"/>
  <c r="F974" i="23" s="1"/>
  <c r="B980" i="28" l="1"/>
  <c r="D979" i="28"/>
  <c r="F979" i="28" s="1"/>
  <c r="J979" i="28" s="1"/>
  <c r="P979" i="28" s="1"/>
  <c r="A981" i="28"/>
  <c r="C980" i="28"/>
  <c r="E980" i="28" s="1"/>
  <c r="I980" i="28" s="1"/>
  <c r="L981" i="28"/>
  <c r="N980" i="28"/>
  <c r="J974" i="23"/>
  <c r="C976" i="23"/>
  <c r="E976" i="23" s="1"/>
  <c r="P973" i="23"/>
  <c r="N974" i="23"/>
  <c r="L975" i="23"/>
  <c r="I975" i="23" s="1"/>
  <c r="D975" i="23"/>
  <c r="F975" i="23" s="1"/>
  <c r="B981" i="28" l="1"/>
  <c r="D980" i="28"/>
  <c r="F980" i="28" s="1"/>
  <c r="J980" i="28" s="1"/>
  <c r="P980" i="28" s="1"/>
  <c r="A982" i="28"/>
  <c r="C981" i="28"/>
  <c r="E981" i="28" s="1"/>
  <c r="I981" i="28" s="1"/>
  <c r="L982" i="28"/>
  <c r="N981" i="28"/>
  <c r="J975" i="23"/>
  <c r="C977" i="23"/>
  <c r="E977" i="23" s="1"/>
  <c r="P974" i="23"/>
  <c r="N975" i="23"/>
  <c r="L976" i="23"/>
  <c r="I976" i="23" s="1"/>
  <c r="D976" i="23"/>
  <c r="F976" i="23" s="1"/>
  <c r="D981" i="28" l="1"/>
  <c r="F981" i="28" s="1"/>
  <c r="J981" i="28" s="1"/>
  <c r="P981" i="28" s="1"/>
  <c r="B982" i="28"/>
  <c r="A983" i="28"/>
  <c r="C982" i="28"/>
  <c r="E982" i="28" s="1"/>
  <c r="I982" i="28" s="1"/>
  <c r="L983" i="28"/>
  <c r="N982" i="28"/>
  <c r="J976" i="23"/>
  <c r="C978" i="23"/>
  <c r="E978" i="23" s="1"/>
  <c r="P975" i="23"/>
  <c r="N976" i="23"/>
  <c r="L977" i="23"/>
  <c r="I977" i="23" s="1"/>
  <c r="D977" i="23"/>
  <c r="F977" i="23" s="1"/>
  <c r="D982" i="28" l="1"/>
  <c r="F982" i="28" s="1"/>
  <c r="J982" i="28" s="1"/>
  <c r="P982" i="28" s="1"/>
  <c r="B983" i="28"/>
  <c r="A984" i="28"/>
  <c r="C983" i="28"/>
  <c r="E983" i="28" s="1"/>
  <c r="I983" i="28" s="1"/>
  <c r="L984" i="28"/>
  <c r="N983" i="28"/>
  <c r="J977" i="23"/>
  <c r="C979" i="23"/>
  <c r="E979" i="23" s="1"/>
  <c r="P976" i="23"/>
  <c r="N977" i="23"/>
  <c r="L978" i="23"/>
  <c r="I978" i="23" s="1"/>
  <c r="D978" i="23"/>
  <c r="F978" i="23" s="1"/>
  <c r="D983" i="28" l="1"/>
  <c r="F983" i="28" s="1"/>
  <c r="J983" i="28" s="1"/>
  <c r="P983" i="28" s="1"/>
  <c r="B984" i="28"/>
  <c r="A985" i="28"/>
  <c r="C984" i="28"/>
  <c r="E984" i="28" s="1"/>
  <c r="I984" i="28" s="1"/>
  <c r="L985" i="28"/>
  <c r="N984" i="28"/>
  <c r="J978" i="23"/>
  <c r="C980" i="23"/>
  <c r="E980" i="23" s="1"/>
  <c r="P977" i="23"/>
  <c r="N978" i="23"/>
  <c r="L979" i="23"/>
  <c r="I979" i="23" s="1"/>
  <c r="D979" i="23"/>
  <c r="F979" i="23" s="1"/>
  <c r="B985" i="28" l="1"/>
  <c r="D984" i="28"/>
  <c r="F984" i="28" s="1"/>
  <c r="J984" i="28" s="1"/>
  <c r="P984" i="28" s="1"/>
  <c r="A986" i="28"/>
  <c r="C985" i="28"/>
  <c r="E985" i="28" s="1"/>
  <c r="I985" i="28" s="1"/>
  <c r="N985" i="28"/>
  <c r="L986" i="28"/>
  <c r="J979" i="23"/>
  <c r="C981" i="23"/>
  <c r="E981" i="23" s="1"/>
  <c r="P978" i="23"/>
  <c r="N979" i="23"/>
  <c r="L980" i="23"/>
  <c r="I980" i="23" s="1"/>
  <c r="D980" i="23"/>
  <c r="F980" i="23" s="1"/>
  <c r="D985" i="28" l="1"/>
  <c r="F985" i="28" s="1"/>
  <c r="J985" i="28" s="1"/>
  <c r="P985" i="28" s="1"/>
  <c r="B986" i="28"/>
  <c r="A987" i="28"/>
  <c r="C986" i="28"/>
  <c r="E986" i="28" s="1"/>
  <c r="I986" i="28" s="1"/>
  <c r="L987" i="28"/>
  <c r="N986" i="28"/>
  <c r="J980" i="23"/>
  <c r="C982" i="23"/>
  <c r="E982" i="23" s="1"/>
  <c r="P979" i="23"/>
  <c r="N980" i="23"/>
  <c r="L981" i="23"/>
  <c r="I981" i="23" s="1"/>
  <c r="D981" i="23"/>
  <c r="F981" i="23" s="1"/>
  <c r="B987" i="28" l="1"/>
  <c r="D986" i="28"/>
  <c r="F986" i="28" s="1"/>
  <c r="J986" i="28" s="1"/>
  <c r="P986" i="28" s="1"/>
  <c r="A988" i="28"/>
  <c r="C987" i="28"/>
  <c r="E987" i="28" s="1"/>
  <c r="I987" i="28" s="1"/>
  <c r="N987" i="28"/>
  <c r="L988" i="28"/>
  <c r="J981" i="23"/>
  <c r="C983" i="23"/>
  <c r="E983" i="23" s="1"/>
  <c r="P980" i="23"/>
  <c r="N981" i="23"/>
  <c r="L982" i="23"/>
  <c r="I982" i="23" s="1"/>
  <c r="D982" i="23"/>
  <c r="F982" i="23" s="1"/>
  <c r="D987" i="28" l="1"/>
  <c r="F987" i="28" s="1"/>
  <c r="J987" i="28" s="1"/>
  <c r="P987" i="28" s="1"/>
  <c r="B988" i="28"/>
  <c r="A989" i="28"/>
  <c r="C988" i="28"/>
  <c r="E988" i="28" s="1"/>
  <c r="I988" i="28" s="1"/>
  <c r="N988" i="28"/>
  <c r="L989" i="28"/>
  <c r="J982" i="23"/>
  <c r="C984" i="23"/>
  <c r="E984" i="23" s="1"/>
  <c r="P981" i="23"/>
  <c r="N982" i="23"/>
  <c r="L983" i="23"/>
  <c r="I983" i="23" s="1"/>
  <c r="D983" i="23"/>
  <c r="F983" i="23" s="1"/>
  <c r="B989" i="28" l="1"/>
  <c r="D988" i="28"/>
  <c r="F988" i="28" s="1"/>
  <c r="J988" i="28" s="1"/>
  <c r="P988" i="28" s="1"/>
  <c r="A990" i="28"/>
  <c r="C989" i="28"/>
  <c r="E989" i="28" s="1"/>
  <c r="I989" i="28" s="1"/>
  <c r="N989" i="28"/>
  <c r="L990" i="28"/>
  <c r="J983" i="23"/>
  <c r="C985" i="23"/>
  <c r="E985" i="23" s="1"/>
  <c r="P982" i="23"/>
  <c r="N983" i="23"/>
  <c r="L984" i="23"/>
  <c r="I984" i="23" s="1"/>
  <c r="D984" i="23"/>
  <c r="F984" i="23" s="1"/>
  <c r="B990" i="28" l="1"/>
  <c r="D989" i="28"/>
  <c r="F989" i="28" s="1"/>
  <c r="J989" i="28" s="1"/>
  <c r="P989" i="28" s="1"/>
  <c r="A991" i="28"/>
  <c r="C990" i="28"/>
  <c r="E990" i="28" s="1"/>
  <c r="I990" i="28" s="1"/>
  <c r="N990" i="28"/>
  <c r="L991" i="28"/>
  <c r="J984" i="23"/>
  <c r="C986" i="23"/>
  <c r="E986" i="23" s="1"/>
  <c r="P983" i="23"/>
  <c r="N984" i="23"/>
  <c r="L985" i="23"/>
  <c r="I985" i="23" s="1"/>
  <c r="D985" i="23"/>
  <c r="F985" i="23" s="1"/>
  <c r="B991" i="28" l="1"/>
  <c r="D990" i="28"/>
  <c r="F990" i="28" s="1"/>
  <c r="J990" i="28" s="1"/>
  <c r="P990" i="28" s="1"/>
  <c r="A992" i="28"/>
  <c r="C991" i="28"/>
  <c r="E991" i="28" s="1"/>
  <c r="I991" i="28" s="1"/>
  <c r="N991" i="28"/>
  <c r="L992" i="28"/>
  <c r="J985" i="23"/>
  <c r="C987" i="23"/>
  <c r="E987" i="23" s="1"/>
  <c r="P984" i="23"/>
  <c r="N985" i="23"/>
  <c r="L986" i="23"/>
  <c r="I986" i="23" s="1"/>
  <c r="D986" i="23"/>
  <c r="F986" i="23" s="1"/>
  <c r="D991" i="28" l="1"/>
  <c r="F991" i="28" s="1"/>
  <c r="J991" i="28" s="1"/>
  <c r="P991" i="28" s="1"/>
  <c r="B992" i="28"/>
  <c r="A993" i="28"/>
  <c r="C992" i="28"/>
  <c r="E992" i="28" s="1"/>
  <c r="I992" i="28" s="1"/>
  <c r="N992" i="28"/>
  <c r="L993" i="28"/>
  <c r="J986" i="23"/>
  <c r="C988" i="23"/>
  <c r="E988" i="23" s="1"/>
  <c r="P985" i="23"/>
  <c r="N986" i="23"/>
  <c r="L987" i="23"/>
  <c r="I987" i="23" s="1"/>
  <c r="D987" i="23"/>
  <c r="F987" i="23" s="1"/>
  <c r="B993" i="28" l="1"/>
  <c r="D992" i="28"/>
  <c r="F992" i="28" s="1"/>
  <c r="J992" i="28" s="1"/>
  <c r="P992" i="28" s="1"/>
  <c r="A994" i="28"/>
  <c r="C993" i="28"/>
  <c r="E993" i="28" s="1"/>
  <c r="I993" i="28" s="1"/>
  <c r="L994" i="28"/>
  <c r="N993" i="28"/>
  <c r="J987" i="23"/>
  <c r="C989" i="23"/>
  <c r="E989" i="23" s="1"/>
  <c r="P986" i="23"/>
  <c r="N987" i="23"/>
  <c r="L988" i="23"/>
  <c r="I988" i="23" s="1"/>
  <c r="D988" i="23"/>
  <c r="F988" i="23" s="1"/>
  <c r="B994" i="28" l="1"/>
  <c r="D993" i="28"/>
  <c r="F993" i="28" s="1"/>
  <c r="J993" i="28" s="1"/>
  <c r="P993" i="28" s="1"/>
  <c r="A995" i="28"/>
  <c r="C994" i="28"/>
  <c r="E994" i="28" s="1"/>
  <c r="I994" i="28" s="1"/>
  <c r="N994" i="28"/>
  <c r="L995" i="28"/>
  <c r="J988" i="23"/>
  <c r="C990" i="23"/>
  <c r="E990" i="23" s="1"/>
  <c r="P987" i="23"/>
  <c r="N988" i="23"/>
  <c r="L989" i="23"/>
  <c r="I989" i="23" s="1"/>
  <c r="D989" i="23"/>
  <c r="F989" i="23" s="1"/>
  <c r="B995" i="28" l="1"/>
  <c r="D994" i="28"/>
  <c r="F994" i="28" s="1"/>
  <c r="J994" i="28" s="1"/>
  <c r="P994" i="28" s="1"/>
  <c r="A996" i="28"/>
  <c r="C995" i="28"/>
  <c r="E995" i="28" s="1"/>
  <c r="I995" i="28" s="1"/>
  <c r="N995" i="28"/>
  <c r="L996" i="28"/>
  <c r="J989" i="23"/>
  <c r="C991" i="23"/>
  <c r="E991" i="23" s="1"/>
  <c r="P988" i="23"/>
  <c r="N989" i="23"/>
  <c r="L990" i="23"/>
  <c r="I990" i="23" s="1"/>
  <c r="D990" i="23"/>
  <c r="F990" i="23" s="1"/>
  <c r="D995" i="28" l="1"/>
  <c r="F995" i="28" s="1"/>
  <c r="J995" i="28" s="1"/>
  <c r="P995" i="28" s="1"/>
  <c r="B996" i="28"/>
  <c r="A997" i="28"/>
  <c r="C996" i="28"/>
  <c r="E996" i="28" s="1"/>
  <c r="I996" i="28" s="1"/>
  <c r="L997" i="28"/>
  <c r="N996" i="28"/>
  <c r="J990" i="23"/>
  <c r="C992" i="23"/>
  <c r="E992" i="23" s="1"/>
  <c r="P989" i="23"/>
  <c r="N990" i="23"/>
  <c r="L991" i="23"/>
  <c r="I991" i="23" s="1"/>
  <c r="D991" i="23"/>
  <c r="F991" i="23" s="1"/>
  <c r="B997" i="28" l="1"/>
  <c r="D996" i="28"/>
  <c r="F996" i="28" s="1"/>
  <c r="J996" i="28" s="1"/>
  <c r="P996" i="28" s="1"/>
  <c r="A998" i="28"/>
  <c r="C997" i="28"/>
  <c r="E997" i="28" s="1"/>
  <c r="I997" i="28" s="1"/>
  <c r="L998" i="28"/>
  <c r="N997" i="28"/>
  <c r="J991" i="23"/>
  <c r="C993" i="23"/>
  <c r="E993" i="23" s="1"/>
  <c r="P990" i="23"/>
  <c r="N991" i="23"/>
  <c r="L992" i="23"/>
  <c r="I992" i="23" s="1"/>
  <c r="D992" i="23"/>
  <c r="F992" i="23" s="1"/>
  <c r="D997" i="28" l="1"/>
  <c r="F997" i="28" s="1"/>
  <c r="J997" i="28" s="1"/>
  <c r="P997" i="28" s="1"/>
  <c r="B998" i="28"/>
  <c r="A999" i="28"/>
  <c r="C998" i="28"/>
  <c r="E998" i="28" s="1"/>
  <c r="I998" i="28" s="1"/>
  <c r="N998" i="28"/>
  <c r="L999" i="28"/>
  <c r="J992" i="23"/>
  <c r="C994" i="23"/>
  <c r="E994" i="23" s="1"/>
  <c r="P991" i="23"/>
  <c r="N992" i="23"/>
  <c r="L993" i="23"/>
  <c r="I993" i="23" s="1"/>
  <c r="D993" i="23"/>
  <c r="F993" i="23" s="1"/>
  <c r="B999" i="28" l="1"/>
  <c r="D998" i="28"/>
  <c r="F998" i="28" s="1"/>
  <c r="J998" i="28" s="1"/>
  <c r="P998" i="28" s="1"/>
  <c r="A1000" i="28"/>
  <c r="C999" i="28"/>
  <c r="E999" i="28" s="1"/>
  <c r="I999" i="28" s="1"/>
  <c r="N999" i="28"/>
  <c r="L1000" i="28"/>
  <c r="J993" i="23"/>
  <c r="C995" i="23"/>
  <c r="E995" i="23" s="1"/>
  <c r="P992" i="23"/>
  <c r="N993" i="23"/>
  <c r="L994" i="23"/>
  <c r="I994" i="23" s="1"/>
  <c r="D994" i="23"/>
  <c r="F994" i="23" s="1"/>
  <c r="D999" i="28" l="1"/>
  <c r="F999" i="28" s="1"/>
  <c r="J999" i="28" s="1"/>
  <c r="P999" i="28" s="1"/>
  <c r="B1000" i="28"/>
  <c r="A1001" i="28"/>
  <c r="C1000" i="28"/>
  <c r="E1000" i="28" s="1"/>
  <c r="I1000" i="28" s="1"/>
  <c r="L1001" i="28"/>
  <c r="N1000" i="28"/>
  <c r="J994" i="23"/>
  <c r="C996" i="23"/>
  <c r="E996" i="23" s="1"/>
  <c r="P993" i="23"/>
  <c r="N994" i="23"/>
  <c r="L995" i="23"/>
  <c r="I995" i="23" s="1"/>
  <c r="D995" i="23"/>
  <c r="F995" i="23" s="1"/>
  <c r="B1001" i="28" l="1"/>
  <c r="D1000" i="28"/>
  <c r="F1000" i="28" s="1"/>
  <c r="J1000" i="28" s="1"/>
  <c r="P1000" i="28" s="1"/>
  <c r="A1002" i="28"/>
  <c r="C1001" i="28"/>
  <c r="E1001" i="28" s="1"/>
  <c r="I1001" i="28" s="1"/>
  <c r="N1001" i="28"/>
  <c r="L1002" i="28"/>
  <c r="J995" i="23"/>
  <c r="C997" i="23"/>
  <c r="E997" i="23" s="1"/>
  <c r="P994" i="23"/>
  <c r="N995" i="23"/>
  <c r="L996" i="23"/>
  <c r="I996" i="23" s="1"/>
  <c r="D996" i="23"/>
  <c r="F996" i="23" s="1"/>
  <c r="D1001" i="28" l="1"/>
  <c r="F1001" i="28" s="1"/>
  <c r="J1001" i="28" s="1"/>
  <c r="P1001" i="28" s="1"/>
  <c r="B1002" i="28"/>
  <c r="A1003" i="28"/>
  <c r="C1002" i="28"/>
  <c r="E1002" i="28" s="1"/>
  <c r="I1002" i="28" s="1"/>
  <c r="N1002" i="28"/>
  <c r="L1003" i="28"/>
  <c r="J996" i="23"/>
  <c r="C998" i="23"/>
  <c r="E998" i="23" s="1"/>
  <c r="P995" i="23"/>
  <c r="N996" i="23"/>
  <c r="L997" i="23"/>
  <c r="I997" i="23" s="1"/>
  <c r="D997" i="23"/>
  <c r="F997" i="23" s="1"/>
  <c r="D1002" i="28" l="1"/>
  <c r="F1002" i="28" s="1"/>
  <c r="J1002" i="28" s="1"/>
  <c r="P1002" i="28" s="1"/>
  <c r="B1003" i="28"/>
  <c r="A1004" i="28"/>
  <c r="C1004" i="28" s="1"/>
  <c r="C1003" i="28"/>
  <c r="E1003" i="28" s="1"/>
  <c r="I1003" i="28" s="1"/>
  <c r="L1004" i="28"/>
  <c r="N1004" i="28" s="1"/>
  <c r="N1003" i="28"/>
  <c r="J997" i="23"/>
  <c r="C999" i="23"/>
  <c r="E999" i="23" s="1"/>
  <c r="P996" i="23"/>
  <c r="N997" i="23"/>
  <c r="L998" i="23"/>
  <c r="I998" i="23" s="1"/>
  <c r="D998" i="23"/>
  <c r="F998" i="23" s="1"/>
  <c r="B1004" i="28" l="1"/>
  <c r="D1004" i="28" s="1"/>
  <c r="F1004" i="28" s="1"/>
  <c r="J1004" i="28" s="1"/>
  <c r="D1003" i="28"/>
  <c r="F1003" i="28" s="1"/>
  <c r="J1003" i="28" s="1"/>
  <c r="P1003" i="28" s="1"/>
  <c r="E1004" i="28"/>
  <c r="I1004" i="28" s="1"/>
  <c r="J998" i="23"/>
  <c r="C1000" i="23"/>
  <c r="E1000" i="23" s="1"/>
  <c r="P997" i="23"/>
  <c r="N998" i="23"/>
  <c r="L999" i="23"/>
  <c r="I999" i="23" s="1"/>
  <c r="D999" i="23"/>
  <c r="F999" i="23" s="1"/>
  <c r="P1004" i="28" l="1"/>
  <c r="V8" i="28" s="1"/>
  <c r="J999" i="23"/>
  <c r="C1001" i="23"/>
  <c r="E1001" i="23" s="1"/>
  <c r="P998" i="23"/>
  <c r="N999" i="23"/>
  <c r="L1000" i="23"/>
  <c r="I1000" i="23" s="1"/>
  <c r="D1000" i="23"/>
  <c r="F1000" i="23" s="1"/>
  <c r="V10" i="28" l="1" a="1"/>
  <c r="V10" i="28" s="1"/>
  <c r="V11" i="28" s="1"/>
  <c r="V9" i="28"/>
  <c r="V7" i="28"/>
  <c r="V13" i="28"/>
  <c r="J1000" i="23"/>
  <c r="C1002" i="23"/>
  <c r="E1002" i="23" s="1"/>
  <c r="P999" i="23"/>
  <c r="N1000" i="23"/>
  <c r="L1001" i="23"/>
  <c r="I1001" i="23" s="1"/>
  <c r="D1001" i="23"/>
  <c r="F1001" i="23" s="1"/>
  <c r="V14" i="28" l="1"/>
  <c r="V12" i="28"/>
  <c r="J1001" i="23"/>
  <c r="C1003" i="23"/>
  <c r="E1003" i="23" s="1"/>
  <c r="P1000" i="23"/>
  <c r="N1001" i="23"/>
  <c r="L1002" i="23"/>
  <c r="I1002" i="23" s="1"/>
  <c r="D1002" i="23"/>
  <c r="F1002" i="23" s="1"/>
  <c r="J1002" i="23" l="1"/>
  <c r="C1004" i="23"/>
  <c r="E1004" i="23" s="1"/>
  <c r="P1001" i="23"/>
  <c r="N1002" i="23"/>
  <c r="L1003" i="23"/>
  <c r="I1003" i="23" s="1"/>
  <c r="D1003" i="23"/>
  <c r="F1003" i="23" s="1"/>
  <c r="J1003" i="23" l="1"/>
  <c r="P1002" i="23"/>
  <c r="N1003" i="23"/>
  <c r="L1004" i="23"/>
  <c r="I1004" i="23" s="1"/>
  <c r="D1004" i="23"/>
  <c r="F1004" i="23" s="1"/>
  <c r="J1004" i="23" l="1"/>
  <c r="P1003" i="23"/>
  <c r="N1004" i="23"/>
  <c r="P1004" i="23" l="1"/>
  <c r="V13" i="23" s="1"/>
  <c r="O17" i="22" a="1"/>
  <c r="O17" i="22" s="1"/>
  <c r="O16" i="22" a="1"/>
  <c r="O16" i="22" s="1"/>
  <c r="O15" i="22" a="1"/>
  <c r="O15" i="22" s="1"/>
  <c r="O14" i="22" a="1"/>
  <c r="O14" i="22" s="1"/>
  <c r="O13" i="22" a="1"/>
  <c r="O13" i="22" s="1"/>
  <c r="O12" i="22" a="1"/>
  <c r="O12" i="22" s="1"/>
  <c r="M23" i="17"/>
  <c r="N23" i="17" s="1"/>
  <c r="J70" i="9"/>
  <c r="O18" i="17" a="1"/>
  <c r="O18" i="17" s="1"/>
  <c r="O17" i="17" a="1"/>
  <c r="O17" i="17" s="1"/>
  <c r="O16" i="17" a="1"/>
  <c r="O16" i="17" s="1"/>
  <c r="O15" i="17" a="1"/>
  <c r="O15" i="17" s="1"/>
  <c r="O14" i="17" a="1"/>
  <c r="O14" i="17" s="1"/>
  <c r="O13" i="17" a="1"/>
  <c r="O13" i="17" s="1"/>
  <c r="N13" i="17" s="1"/>
  <c r="O63" i="16" a="1"/>
  <c r="O63" i="16" s="1"/>
  <c r="O62" i="16" a="1"/>
  <c r="O62" i="16" s="1"/>
  <c r="O61" i="16" a="1"/>
  <c r="O61" i="16" s="1"/>
  <c r="O60" i="16" a="1"/>
  <c r="O60" i="16" s="1"/>
  <c r="O59" i="16" a="1"/>
  <c r="O59" i="16" s="1"/>
  <c r="O58" i="16" a="1"/>
  <c r="O58" i="16" s="1"/>
  <c r="N58" i="16" s="1"/>
  <c r="O16" i="15" a="1"/>
  <c r="O16" i="15" s="1"/>
  <c r="O17" i="15" a="1"/>
  <c r="O17" i="15" s="1"/>
  <c r="O18" i="15" a="1"/>
  <c r="O18" i="15" s="1"/>
  <c r="O15" i="15" a="1"/>
  <c r="O15" i="15" s="1"/>
  <c r="O14" i="15" a="1"/>
  <c r="O14" i="15" s="1"/>
  <c r="O13" i="15" a="1"/>
  <c r="O13" i="15" s="1"/>
  <c r="N13" i="15" s="1"/>
  <c r="N16" i="22" l="1"/>
  <c r="N17" i="22"/>
  <c r="V10" i="23" a="1"/>
  <c r="V10" i="23" s="1"/>
  <c r="V7" i="23"/>
  <c r="V14" i="23" s="1"/>
  <c r="V8" i="23"/>
  <c r="V9" i="23"/>
  <c r="N15" i="22"/>
  <c r="N13" i="22"/>
  <c r="N12" i="22"/>
  <c r="N14" i="22"/>
  <c r="Q23" i="17"/>
  <c r="N15" i="17"/>
  <c r="N17" i="17"/>
  <c r="N14" i="17"/>
  <c r="N16" i="17"/>
  <c r="N18" i="17"/>
  <c r="N60" i="16"/>
  <c r="N63" i="16"/>
  <c r="N61" i="16"/>
  <c r="N59" i="16"/>
  <c r="N62" i="16"/>
  <c r="N18" i="15"/>
  <c r="N17" i="15"/>
  <c r="N16" i="15"/>
  <c r="N14" i="15"/>
  <c r="N15" i="15"/>
  <c r="D57" i="9" a="1"/>
  <c r="D57" i="9" s="1"/>
  <c r="E57" i="9" a="1"/>
  <c r="E57" i="9" s="1"/>
  <c r="D58" i="9" a="1"/>
  <c r="D58" i="9" s="1"/>
  <c r="E58" i="9" a="1"/>
  <c r="E58" i="9" s="1"/>
  <c r="D59" i="9" a="1"/>
  <c r="D59" i="9" s="1"/>
  <c r="E59" i="9" a="1"/>
  <c r="E59" i="9" s="1"/>
  <c r="D60" i="9" a="1"/>
  <c r="D60" i="9" s="1"/>
  <c r="E60" i="9" a="1"/>
  <c r="E60" i="9" s="1"/>
  <c r="D61" i="9" a="1"/>
  <c r="D61" i="9" s="1"/>
  <c r="E61" i="9" a="1"/>
  <c r="E61" i="9" s="1"/>
  <c r="C57" i="9" a="1"/>
  <c r="C57" i="9" s="1"/>
  <c r="C58" i="9" a="1"/>
  <c r="C58" i="9" s="1"/>
  <c r="C59" i="9" a="1"/>
  <c r="C59" i="9" s="1"/>
  <c r="C60" i="9" a="1"/>
  <c r="C60" i="9" s="1"/>
  <c r="C61" i="9" a="1"/>
  <c r="C61" i="9" s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V12" i="23" l="1"/>
  <c r="V11" i="23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G59" i="9" l="1" a="1"/>
  <c r="G59" i="9" s="1"/>
  <c r="G58" i="9" a="1"/>
  <c r="G58" i="9" s="1"/>
  <c r="G60" i="9" a="1"/>
  <c r="G60" i="9" s="1"/>
  <c r="G57" i="9" a="1"/>
  <c r="G57" i="9" s="1"/>
  <c r="G61" i="9" a="1"/>
  <c r="G61" i="9" s="1"/>
  <c r="F57" i="9" a="1"/>
  <c r="F57" i="9" s="1"/>
  <c r="F61" i="9" a="1"/>
  <c r="F61" i="9" s="1"/>
  <c r="F58" i="9" a="1"/>
  <c r="F58" i="9" s="1"/>
  <c r="F60" i="9" a="1"/>
  <c r="F60" i="9" s="1"/>
  <c r="F59" i="9" a="1"/>
  <c r="F59" i="9" s="1"/>
  <c r="D74" i="9" l="1" a="1"/>
  <c r="D74" i="9" s="1"/>
  <c r="E99" i="9" a="1"/>
  <c r="E99" i="9" s="1"/>
  <c r="E89" i="9" a="1"/>
  <c r="E89" i="9" s="1"/>
  <c r="E73" i="9" a="1"/>
  <c r="E73" i="9" s="1"/>
  <c r="E93" i="9" a="1"/>
  <c r="E93" i="9" s="1"/>
  <c r="E77" i="9" a="1"/>
  <c r="E77" i="9" s="1"/>
  <c r="E69" i="9" a="1"/>
  <c r="E69" i="9" s="1"/>
  <c r="E102" i="9" a="1"/>
  <c r="E102" i="9" s="1"/>
  <c r="E92" i="9" a="1"/>
  <c r="E92" i="9" s="1"/>
  <c r="E76" i="9" a="1"/>
  <c r="E76" i="9" s="1"/>
  <c r="E64" i="9" a="1"/>
  <c r="E64" i="9" s="1"/>
  <c r="E105" i="9" a="1"/>
  <c r="E105" i="9" s="1"/>
  <c r="E104" i="9" a="1"/>
  <c r="E104" i="9" s="1"/>
  <c r="E83" i="9" a="1"/>
  <c r="E83" i="9" s="1"/>
  <c r="E113" i="9" a="1"/>
  <c r="E113" i="9" s="1"/>
  <c r="E86" i="9" a="1"/>
  <c r="E86" i="9" s="1"/>
  <c r="E101" i="9" a="1"/>
  <c r="E101" i="9" s="1"/>
  <c r="E75" i="9" a="1"/>
  <c r="E75" i="9" s="1"/>
  <c r="E109" i="9" a="1"/>
  <c r="E109" i="9" s="1"/>
  <c r="E94" i="9" a="1"/>
  <c r="E94" i="9" s="1"/>
  <c r="E67" i="9" a="1"/>
  <c r="E67" i="9" s="1"/>
  <c r="E80" i="9" a="1"/>
  <c r="E80" i="9" s="1"/>
  <c r="E65" i="9" a="1"/>
  <c r="E65" i="9" s="1"/>
  <c r="E108" i="9" a="1"/>
  <c r="E108" i="9" s="1"/>
  <c r="E112" i="9" a="1"/>
  <c r="E112" i="9" s="1"/>
  <c r="E84" i="9" a="1"/>
  <c r="E84" i="9" s="1"/>
  <c r="E91" i="9" a="1"/>
  <c r="E91" i="9" s="1"/>
  <c r="E74" i="9" a="1"/>
  <c r="E74" i="9" s="1"/>
  <c r="E103" i="9" a="1"/>
  <c r="E103" i="9" s="1"/>
  <c r="E81" i="9" a="1"/>
  <c r="E81" i="9" s="1"/>
  <c r="E98" i="9" a="1"/>
  <c r="E98" i="9" s="1"/>
  <c r="E110" i="9" a="1"/>
  <c r="E110" i="9" s="1"/>
  <c r="E82" i="9" a="1"/>
  <c r="E82" i="9" s="1"/>
  <c r="E107" i="9" a="1"/>
  <c r="E107" i="9" s="1"/>
  <c r="E106" i="9" a="1"/>
  <c r="E106" i="9" s="1"/>
  <c r="E71" i="9" a="1"/>
  <c r="E71" i="9" s="1"/>
  <c r="E90" i="9" a="1"/>
  <c r="E90" i="9" s="1"/>
  <c r="E72" i="9" a="1"/>
  <c r="E72" i="9" s="1"/>
  <c r="E97" i="9" a="1"/>
  <c r="E97" i="9" s="1"/>
  <c r="E79" i="9" a="1"/>
  <c r="E79" i="9" s="1"/>
  <c r="E85" i="9" a="1"/>
  <c r="E85" i="9" s="1"/>
  <c r="E96" i="9" a="1"/>
  <c r="E96" i="9" s="1"/>
  <c r="E66" i="9" a="1"/>
  <c r="E66" i="9" s="1"/>
  <c r="E100" i="9" a="1"/>
  <c r="E100" i="9" s="1"/>
  <c r="E87" i="9" a="1"/>
  <c r="E87" i="9" s="1"/>
  <c r="E70" i="9" a="1"/>
  <c r="E70" i="9" s="1"/>
  <c r="E88" i="9" a="1"/>
  <c r="E88" i="9" s="1"/>
  <c r="E68" i="9" a="1"/>
  <c r="E68" i="9" s="1"/>
  <c r="E95" i="9" a="1"/>
  <c r="E95" i="9" s="1"/>
  <c r="E78" i="9" a="1"/>
  <c r="E78" i="9" s="1"/>
  <c r="E111" i="9" a="1"/>
  <c r="E111" i="9" s="1"/>
  <c r="C112" i="9" a="1"/>
  <c r="C112" i="9" s="1"/>
  <c r="C97" i="9" a="1"/>
  <c r="C97" i="9" s="1"/>
  <c r="C81" i="9" a="1"/>
  <c r="C81" i="9" s="1"/>
  <c r="C68" i="9" a="1"/>
  <c r="C68" i="9" s="1"/>
  <c r="C96" i="9" a="1"/>
  <c r="C96" i="9" s="1"/>
  <c r="C79" i="9" a="1"/>
  <c r="C79" i="9" s="1"/>
  <c r="C99" i="9" a="1"/>
  <c r="C99" i="9" s="1"/>
  <c r="C82" i="9" a="1"/>
  <c r="C82" i="9" s="1"/>
  <c r="C106" i="9" a="1"/>
  <c r="C106" i="9" s="1"/>
  <c r="C87" i="9" a="1"/>
  <c r="C87" i="9" s="1"/>
  <c r="C108" i="9" a="1"/>
  <c r="C108" i="9" s="1"/>
  <c r="C76" i="9" a="1"/>
  <c r="C76" i="9" s="1"/>
  <c r="C111" i="9" a="1"/>
  <c r="C111" i="9" s="1"/>
  <c r="C93" i="9" a="1"/>
  <c r="C93" i="9" s="1"/>
  <c r="C77" i="9" a="1"/>
  <c r="C77" i="9" s="1"/>
  <c r="C66" i="9" a="1"/>
  <c r="C66" i="9" s="1"/>
  <c r="C95" i="9" a="1"/>
  <c r="C95" i="9" s="1"/>
  <c r="C78" i="9" a="1"/>
  <c r="C78" i="9" s="1"/>
  <c r="C98" i="9" a="1"/>
  <c r="C98" i="9" s="1"/>
  <c r="C65" i="9" a="1"/>
  <c r="C65" i="9" s="1"/>
  <c r="C101" i="9" a="1"/>
  <c r="C101" i="9" s="1"/>
  <c r="C86" i="9" a="1"/>
  <c r="C86" i="9" s="1"/>
  <c r="C90" i="9" a="1"/>
  <c r="C90" i="9" s="1"/>
  <c r="C92" i="9" a="1"/>
  <c r="C92" i="9" s="1"/>
  <c r="C74" i="9" a="1"/>
  <c r="C74" i="9" s="1"/>
  <c r="C104" i="9" a="1"/>
  <c r="C104" i="9" s="1"/>
  <c r="C89" i="9" a="1"/>
  <c r="C89" i="9" s="1"/>
  <c r="C73" i="9" a="1"/>
  <c r="C73" i="9" s="1"/>
  <c r="C64" i="9" a="1"/>
  <c r="C64" i="9" s="1"/>
  <c r="C94" i="9" a="1"/>
  <c r="C94" i="9" s="1"/>
  <c r="C67" i="9" a="1"/>
  <c r="C67" i="9" s="1"/>
  <c r="C84" i="9" a="1"/>
  <c r="C84" i="9" s="1"/>
  <c r="C113" i="9" a="1"/>
  <c r="C113" i="9" s="1"/>
  <c r="C100" i="9" a="1"/>
  <c r="C100" i="9" s="1"/>
  <c r="C72" i="9" a="1"/>
  <c r="C72" i="9" s="1"/>
  <c r="C69" i="9" a="1"/>
  <c r="C69" i="9" s="1"/>
  <c r="C75" i="9" a="1"/>
  <c r="C75" i="9" s="1"/>
  <c r="C103" i="9" a="1"/>
  <c r="C103" i="9" s="1"/>
  <c r="C80" i="9" a="1"/>
  <c r="C80" i="9" s="1"/>
  <c r="C88" i="9" a="1"/>
  <c r="C88" i="9" s="1"/>
  <c r="C91" i="9" a="1"/>
  <c r="C91" i="9" s="1"/>
  <c r="C85" i="9" a="1"/>
  <c r="C85" i="9" s="1"/>
  <c r="C105" i="9" a="1"/>
  <c r="C105" i="9" s="1"/>
  <c r="C71" i="9" a="1"/>
  <c r="C71" i="9" s="1"/>
  <c r="C70" i="9" a="1"/>
  <c r="C70" i="9" s="1"/>
  <c r="C83" i="9" a="1"/>
  <c r="C83" i="9" s="1"/>
  <c r="C102" i="9" a="1"/>
  <c r="C102" i="9" s="1"/>
  <c r="C110" i="9" a="1"/>
  <c r="C110" i="9" s="1"/>
  <c r="C107" i="9" a="1"/>
  <c r="C107" i="9" s="1"/>
  <c r="C109" i="9" a="1"/>
  <c r="C109" i="9" s="1"/>
  <c r="F104" i="9" a="1"/>
  <c r="F104" i="9" s="1"/>
  <c r="F85" i="9" a="1"/>
  <c r="F85" i="9" s="1"/>
  <c r="F70" i="9" a="1"/>
  <c r="F70" i="9" s="1"/>
  <c r="F108" i="9" a="1"/>
  <c r="F108" i="9" s="1"/>
  <c r="F92" i="9" a="1"/>
  <c r="F92" i="9" s="1"/>
  <c r="F75" i="9" a="1"/>
  <c r="F75" i="9" s="1"/>
  <c r="F109" i="9" a="1"/>
  <c r="F109" i="9" s="1"/>
  <c r="F94" i="9" a="1"/>
  <c r="F94" i="9" s="1"/>
  <c r="F67" i="9" a="1"/>
  <c r="F67" i="9" s="1"/>
  <c r="F83" i="9" a="1"/>
  <c r="F83" i="9" s="1"/>
  <c r="F88" i="9" a="1"/>
  <c r="F88" i="9" s="1"/>
  <c r="F87" i="9" a="1"/>
  <c r="F87" i="9" s="1"/>
  <c r="F113" i="9" a="1"/>
  <c r="F113" i="9" s="1"/>
  <c r="F97" i="9" a="1"/>
  <c r="F97" i="9" s="1"/>
  <c r="F81" i="9" a="1"/>
  <c r="F81" i="9" s="1"/>
  <c r="F68" i="9" a="1"/>
  <c r="F68" i="9" s="1"/>
  <c r="F107" i="9" a="1"/>
  <c r="F107" i="9" s="1"/>
  <c r="F91" i="9" a="1"/>
  <c r="F91" i="9" s="1"/>
  <c r="F74" i="9" a="1"/>
  <c r="F74" i="9" s="1"/>
  <c r="F103" i="9" a="1"/>
  <c r="F103" i="9" s="1"/>
  <c r="F80" i="9" a="1"/>
  <c r="F80" i="9" s="1"/>
  <c r="F111" i="9" a="1"/>
  <c r="F111" i="9" s="1"/>
  <c r="F89" i="9" a="1"/>
  <c r="F89" i="9" s="1"/>
  <c r="F64" i="9" a="1"/>
  <c r="F64" i="9" s="1"/>
  <c r="F76" i="9" a="1"/>
  <c r="F76" i="9" s="1"/>
  <c r="F95" i="9" a="1"/>
  <c r="F95" i="9" s="1"/>
  <c r="F84" i="9" a="1"/>
  <c r="F84" i="9" s="1"/>
  <c r="F71" i="9" a="1"/>
  <c r="F71" i="9" s="1"/>
  <c r="F86" i="9" a="1"/>
  <c r="F86" i="9" s="1"/>
  <c r="F112" i="9" a="1"/>
  <c r="F112" i="9" s="1"/>
  <c r="F77" i="9" a="1"/>
  <c r="F77" i="9" s="1"/>
  <c r="F102" i="9" a="1"/>
  <c r="F102" i="9" s="1"/>
  <c r="F69" i="9" a="1"/>
  <c r="F69" i="9" s="1"/>
  <c r="F79" i="9" a="1"/>
  <c r="F79" i="9" s="1"/>
  <c r="F82" i="9" a="1"/>
  <c r="F82" i="9" s="1"/>
  <c r="F65" i="9" a="1"/>
  <c r="F65" i="9" s="1"/>
  <c r="F105" i="9" a="1"/>
  <c r="F105" i="9" s="1"/>
  <c r="F73" i="9" a="1"/>
  <c r="F73" i="9" s="1"/>
  <c r="F101" i="9" a="1"/>
  <c r="F101" i="9" s="1"/>
  <c r="F110" i="9" a="1"/>
  <c r="F110" i="9" s="1"/>
  <c r="F78" i="9" a="1"/>
  <c r="F78" i="9" s="1"/>
  <c r="F72" i="9" a="1"/>
  <c r="F72" i="9" s="1"/>
  <c r="F100" i="9" a="1"/>
  <c r="F100" i="9" s="1"/>
  <c r="F93" i="9" a="1"/>
  <c r="F93" i="9" s="1"/>
  <c r="F66" i="9" a="1"/>
  <c r="F66" i="9" s="1"/>
  <c r="F90" i="9" a="1"/>
  <c r="F90" i="9" s="1"/>
  <c r="F96" i="9" a="1"/>
  <c r="F96" i="9" s="1"/>
  <c r="F98" i="9" a="1"/>
  <c r="F98" i="9" s="1"/>
  <c r="F106" i="9" a="1"/>
  <c r="F106" i="9" s="1"/>
  <c r="F99" i="9" a="1"/>
  <c r="F99" i="9" s="1"/>
  <c r="D109" i="9" a="1"/>
  <c r="D109" i="9" s="1"/>
  <c r="D95" i="9" a="1"/>
  <c r="D95" i="9" s="1"/>
  <c r="D87" i="9" a="1"/>
  <c r="D87" i="9" s="1"/>
  <c r="D79" i="9" a="1"/>
  <c r="D79" i="9" s="1"/>
  <c r="D111" i="9" a="1"/>
  <c r="D111" i="9" s="1"/>
  <c r="D98" i="9" a="1"/>
  <c r="D98" i="9" s="1"/>
  <c r="D65" i="9" a="1"/>
  <c r="D65" i="9" s="1"/>
  <c r="D106" i="9" a="1"/>
  <c r="D106" i="9" s="1"/>
  <c r="D73" i="9" a="1"/>
  <c r="D73" i="9" s="1"/>
  <c r="D93" i="9" a="1"/>
  <c r="D93" i="9" s="1"/>
  <c r="D70" i="9" a="1"/>
  <c r="D70" i="9" s="1"/>
  <c r="D81" i="9" a="1"/>
  <c r="D81" i="9" s="1"/>
  <c r="D78" i="9" a="1"/>
  <c r="D78" i="9" s="1"/>
  <c r="D102" i="9" a="1"/>
  <c r="D102" i="9" s="1"/>
  <c r="D91" i="9" a="1"/>
  <c r="D91" i="9" s="1"/>
  <c r="D80" i="9" a="1"/>
  <c r="D80" i="9" s="1"/>
  <c r="D105" i="9" a="1"/>
  <c r="D105" i="9" s="1"/>
  <c r="D82" i="9" a="1"/>
  <c r="D82" i="9" s="1"/>
  <c r="D107" i="9" a="1"/>
  <c r="D107" i="9" s="1"/>
  <c r="D71" i="9" a="1"/>
  <c r="D71" i="9" s="1"/>
  <c r="D77" i="9" a="1"/>
  <c r="D77" i="9" s="1"/>
  <c r="D94" i="9" a="1"/>
  <c r="D94" i="9" s="1"/>
  <c r="D101" i="9" a="1"/>
  <c r="D101" i="9" s="1"/>
  <c r="D88" i="9" a="1"/>
  <c r="D88" i="9" s="1"/>
  <c r="D76" i="9" a="1"/>
  <c r="D76" i="9" s="1"/>
  <c r="D104" i="9" a="1"/>
  <c r="D104" i="9" s="1"/>
  <c r="D66" i="9" a="1"/>
  <c r="D66" i="9" s="1"/>
  <c r="D100" i="9" a="1"/>
  <c r="D100" i="9" s="1"/>
  <c r="D64" i="9" a="1"/>
  <c r="D64" i="9" s="1"/>
  <c r="D97" i="9" a="1"/>
  <c r="D97" i="9" s="1"/>
  <c r="D96" i="9" a="1"/>
  <c r="D96" i="9" s="1"/>
  <c r="D84" i="9" a="1"/>
  <c r="D84" i="9" s="1"/>
  <c r="D75" i="9" a="1"/>
  <c r="D75" i="9" s="1"/>
  <c r="D99" i="9" a="1"/>
  <c r="D99" i="9" s="1"/>
  <c r="D113" i="9" a="1"/>
  <c r="D113" i="9" s="1"/>
  <c r="D89" i="9" a="1"/>
  <c r="D89" i="9" s="1"/>
  <c r="D108" i="9" a="1"/>
  <c r="D108" i="9" s="1"/>
  <c r="D69" i="9" a="1"/>
  <c r="D69" i="9" s="1"/>
  <c r="D68" i="9" a="1"/>
  <c r="D68" i="9" s="1"/>
  <c r="D110" i="9" a="1"/>
  <c r="D110" i="9" s="1"/>
  <c r="D92" i="9" a="1"/>
  <c r="D92" i="9" s="1"/>
  <c r="D83" i="9" a="1"/>
  <c r="D83" i="9" s="1"/>
  <c r="D72" i="9" a="1"/>
  <c r="D72" i="9" s="1"/>
  <c r="D85" i="9" a="1"/>
  <c r="D85" i="9" s="1"/>
  <c r="D112" i="9" a="1"/>
  <c r="D112" i="9" s="1"/>
  <c r="D86" i="9" a="1"/>
  <c r="D86" i="9" s="1"/>
  <c r="D90" i="9" a="1"/>
  <c r="D90" i="9" s="1"/>
  <c r="D103" i="9" a="1"/>
  <c r="D103" i="9" s="1"/>
  <c r="D67" i="9" a="1"/>
  <c r="D67" i="9" s="1"/>
  <c r="B73" i="9" a="1"/>
  <c r="B73" i="9" s="1"/>
  <c r="B81" i="9" a="1"/>
  <c r="B81" i="9" s="1"/>
  <c r="B89" i="9" a="1"/>
  <c r="B89" i="9" s="1"/>
  <c r="B97" i="9" a="1"/>
  <c r="B97" i="9" s="1"/>
  <c r="B113" i="9" a="1"/>
  <c r="B113" i="9" s="1"/>
  <c r="B80" i="9" a="1"/>
  <c r="B80" i="9" s="1"/>
  <c r="B103" i="9" a="1"/>
  <c r="B103" i="9" s="1"/>
  <c r="B78" i="9" a="1"/>
  <c r="B78" i="9" s="1"/>
  <c r="B107" i="9" a="1"/>
  <c r="B107" i="9" s="1"/>
  <c r="B90" i="9" a="1"/>
  <c r="B90" i="9" s="1"/>
  <c r="B76" i="9" a="1"/>
  <c r="B76" i="9" s="1"/>
  <c r="B82" i="9" a="1"/>
  <c r="B82" i="9" s="1"/>
  <c r="B102" i="9" a="1"/>
  <c r="B102" i="9" s="1"/>
  <c r="B72" i="9" a="1"/>
  <c r="B72" i="9" s="1"/>
  <c r="B71" i="9" a="1"/>
  <c r="B71" i="9" s="1"/>
  <c r="B83" i="9" a="1"/>
  <c r="B83" i="9" s="1"/>
  <c r="B93" i="9" a="1"/>
  <c r="B93" i="9" s="1"/>
  <c r="B108" i="9" a="1"/>
  <c r="B108" i="9" s="1"/>
  <c r="B88" i="9" a="1"/>
  <c r="B88" i="9" s="1"/>
  <c r="B64" i="9" a="1"/>
  <c r="B64" i="9" s="1"/>
  <c r="B104" i="9" a="1"/>
  <c r="B104" i="9" s="1"/>
  <c r="B109" i="9" a="1"/>
  <c r="B109" i="9" s="1"/>
  <c r="B98" i="9" a="1"/>
  <c r="B98" i="9" s="1"/>
  <c r="B101" i="9" a="1"/>
  <c r="B101" i="9" s="1"/>
  <c r="B75" i="9" a="1"/>
  <c r="B75" i="9" s="1"/>
  <c r="B85" i="9" a="1"/>
  <c r="B85" i="9" s="1"/>
  <c r="B95" i="9" a="1"/>
  <c r="B95" i="9" s="1"/>
  <c r="B66" i="9" a="1"/>
  <c r="B66" i="9" s="1"/>
  <c r="B96" i="9" a="1"/>
  <c r="B96" i="9" s="1"/>
  <c r="B67" i="9" a="1"/>
  <c r="B67" i="9" s="1"/>
  <c r="B111" i="9" a="1"/>
  <c r="B111" i="9" s="1"/>
  <c r="B65" i="9" a="1"/>
  <c r="B65" i="9" s="1"/>
  <c r="B112" i="9" a="1"/>
  <c r="B112" i="9" s="1"/>
  <c r="B77" i="9" a="1"/>
  <c r="B77" i="9" s="1"/>
  <c r="B87" i="9" a="1"/>
  <c r="B87" i="9" s="1"/>
  <c r="B100" i="9" a="1"/>
  <c r="B100" i="9" s="1"/>
  <c r="B69" i="9" a="1"/>
  <c r="B69" i="9" s="1"/>
  <c r="B99" i="9" a="1"/>
  <c r="B99" i="9" s="1"/>
  <c r="B86" i="9" a="1"/>
  <c r="B86" i="9" s="1"/>
  <c r="B68" i="9" a="1"/>
  <c r="B68" i="9" s="1"/>
  <c r="B70" i="9" a="1"/>
  <c r="B70" i="9" s="1"/>
  <c r="B106" i="9" a="1"/>
  <c r="B106" i="9" s="1"/>
  <c r="B79" i="9" a="1"/>
  <c r="B79" i="9" s="1"/>
  <c r="B91" i="9" a="1"/>
  <c r="B91" i="9" s="1"/>
  <c r="B105" i="9" a="1"/>
  <c r="B105" i="9" s="1"/>
  <c r="B110" i="9" a="1"/>
  <c r="B110" i="9" s="1"/>
  <c r="B94" i="9" a="1"/>
  <c r="B94" i="9" s="1"/>
  <c r="B74" i="9" a="1"/>
  <c r="B74" i="9" s="1"/>
  <c r="B92" i="9" a="1"/>
  <c r="B92" i="9" s="1"/>
  <c r="B84" i="9" a="1"/>
  <c r="B84" i="9" s="1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O4" i="5"/>
  <c r="P4" i="5"/>
  <c r="G115" i="5" a="1"/>
  <c r="G115" i="5" s="1"/>
  <c r="G114" i="5" a="1"/>
  <c r="G114" i="5" s="1"/>
  <c r="G113" i="5" a="1"/>
  <c r="G113" i="5" s="1"/>
  <c r="G112" i="5" a="1"/>
  <c r="G112" i="5" s="1"/>
  <c r="C113" i="5" a="1"/>
  <c r="C113" i="5" s="1"/>
  <c r="D113" i="5" a="1"/>
  <c r="D113" i="5" s="1"/>
  <c r="H113" i="5" a="1"/>
  <c r="H113" i="5" s="1"/>
  <c r="E113" i="5" a="1"/>
  <c r="E113" i="5" s="1"/>
  <c r="F113" i="5" a="1"/>
  <c r="F113" i="5" s="1"/>
  <c r="C114" i="5" a="1"/>
  <c r="C114" i="5" s="1"/>
  <c r="D114" i="5" a="1"/>
  <c r="D114" i="5" s="1"/>
  <c r="H114" i="5" a="1"/>
  <c r="H114" i="5" s="1"/>
  <c r="E114" i="5" a="1"/>
  <c r="E114" i="5" s="1"/>
  <c r="F114" i="5" a="1"/>
  <c r="F114" i="5" s="1"/>
  <c r="C115" i="5" a="1"/>
  <c r="C115" i="5" s="1"/>
  <c r="D115" i="5" a="1"/>
  <c r="D115" i="5" s="1"/>
  <c r="H115" i="5" a="1"/>
  <c r="H115" i="5" s="1"/>
  <c r="E115" i="5" a="1"/>
  <c r="E115" i="5" s="1"/>
  <c r="F115" i="5" a="1"/>
  <c r="F115" i="5" s="1"/>
  <c r="D112" i="5" a="1"/>
  <c r="D112" i="5" s="1"/>
  <c r="H112" i="5" a="1"/>
  <c r="H112" i="5" s="1"/>
  <c r="E112" i="5" a="1"/>
  <c r="E112" i="5" s="1"/>
  <c r="F112" i="5" a="1"/>
  <c r="F112" i="5" s="1"/>
  <c r="C112" i="5" a="1"/>
  <c r="C112" i="5" s="1"/>
  <c r="H56" i="5"/>
  <c r="G1" i="5"/>
  <c r="E159" i="5" l="1" a="1"/>
  <c r="E159" i="5" s="1"/>
  <c r="E128" i="5" a="1"/>
  <c r="E128" i="5" s="1"/>
  <c r="D153" i="5" a="1"/>
  <c r="D153" i="5" s="1"/>
  <c r="B156" i="5" a="1"/>
  <c r="B156" i="5" s="1"/>
  <c r="B152" i="5" a="1"/>
  <c r="B152" i="5" s="1"/>
  <c r="B148" i="5" a="1"/>
  <c r="B148" i="5" s="1"/>
  <c r="B164" i="5" a="1"/>
  <c r="B164" i="5" s="1"/>
  <c r="B160" i="5" a="1"/>
  <c r="B160" i="5" s="1"/>
  <c r="B144" i="5" a="1"/>
  <c r="B144" i="5" s="1"/>
  <c r="C167" i="5" a="1"/>
  <c r="C167" i="5" s="1"/>
  <c r="C163" i="5" a="1"/>
  <c r="C163" i="5" s="1"/>
  <c r="C159" i="5" a="1"/>
  <c r="C159" i="5" s="1"/>
  <c r="C143" i="5" a="1"/>
  <c r="C143" i="5" s="1"/>
  <c r="C155" i="5" a="1"/>
  <c r="C155" i="5" s="1"/>
  <c r="C151" i="5" a="1"/>
  <c r="C151" i="5" s="1"/>
  <c r="C147" i="5" a="1"/>
  <c r="C147" i="5" s="1"/>
  <c r="C118" i="5" a="1"/>
  <c r="C118" i="5" s="1"/>
  <c r="C127" i="5" a="1"/>
  <c r="C127" i="5" s="1"/>
  <c r="D130" i="5" a="1"/>
  <c r="D130" i="5" s="1"/>
  <c r="B132" i="5" a="1"/>
  <c r="B132" i="5" s="1"/>
  <c r="C135" i="5" a="1"/>
  <c r="C135" i="5" s="1"/>
  <c r="E136" i="5" a="1"/>
  <c r="E136" i="5" s="1"/>
  <c r="D138" i="5" a="1"/>
  <c r="D138" i="5" s="1"/>
  <c r="B140" i="5" a="1"/>
  <c r="B140" i="5" s="1"/>
  <c r="C142" i="5" a="1"/>
  <c r="C142" i="5" s="1"/>
  <c r="D145" i="5" a="1"/>
  <c r="D145" i="5" s="1"/>
  <c r="E151" i="5" a="1"/>
  <c r="E151" i="5" s="1"/>
  <c r="B155" i="5" a="1"/>
  <c r="B155" i="5" s="1"/>
  <c r="C158" i="5" a="1"/>
  <c r="C158" i="5" s="1"/>
  <c r="D161" i="5" a="1"/>
  <c r="D161" i="5" s="1"/>
  <c r="C165" i="5" a="1"/>
  <c r="C165" i="5" s="1"/>
  <c r="B119" i="5" a="1"/>
  <c r="B119" i="5" s="1"/>
  <c r="B120" i="5" a="1"/>
  <c r="B120" i="5" s="1"/>
  <c r="B121" i="5" a="1"/>
  <c r="B121" i="5" s="1"/>
  <c r="B122" i="5" a="1"/>
  <c r="B122" i="5" s="1"/>
  <c r="B123" i="5" a="1"/>
  <c r="B123" i="5" s="1"/>
  <c r="B124" i="5" a="1"/>
  <c r="B124" i="5" s="1"/>
  <c r="B125" i="5" a="1"/>
  <c r="B125" i="5" s="1"/>
  <c r="C126" i="5" a="1"/>
  <c r="C126" i="5" s="1"/>
  <c r="E127" i="5" a="1"/>
  <c r="E127" i="5" s="1"/>
  <c r="D129" i="5" a="1"/>
  <c r="D129" i="5" s="1"/>
  <c r="B131" i="5" a="1"/>
  <c r="B131" i="5" s="1"/>
  <c r="C134" i="5" a="1"/>
  <c r="C134" i="5" s="1"/>
  <c r="E135" i="5" a="1"/>
  <c r="E135" i="5" s="1"/>
  <c r="D137" i="5" a="1"/>
  <c r="D137" i="5" s="1"/>
  <c r="B139" i="5" a="1"/>
  <c r="B139" i="5" s="1"/>
  <c r="B143" i="5" a="1"/>
  <c r="B143" i="5" s="1"/>
  <c r="C146" i="5" a="1"/>
  <c r="C146" i="5" s="1"/>
  <c r="D149" i="5" a="1"/>
  <c r="D149" i="5" s="1"/>
  <c r="E155" i="5" a="1"/>
  <c r="E155" i="5" s="1"/>
  <c r="B159" i="5" a="1"/>
  <c r="B159" i="5" s="1"/>
  <c r="C162" i="5" a="1"/>
  <c r="C162" i="5" s="1"/>
  <c r="D165" i="5" a="1"/>
  <c r="D165" i="5" s="1"/>
  <c r="B166" i="5" a="1"/>
  <c r="B166" i="5" s="1"/>
  <c r="D126" i="5" a="1"/>
  <c r="D126" i="5" s="1"/>
  <c r="B128" i="5" a="1"/>
  <c r="B128" i="5" s="1"/>
  <c r="C131" i="5" a="1"/>
  <c r="C131" i="5" s="1"/>
  <c r="E132" i="5" a="1"/>
  <c r="E132" i="5" s="1"/>
  <c r="D134" i="5" a="1"/>
  <c r="D134" i="5" s="1"/>
  <c r="B136" i="5" a="1"/>
  <c r="B136" i="5" s="1"/>
  <c r="C139" i="5" a="1"/>
  <c r="C139" i="5" s="1"/>
  <c r="E140" i="5" a="1"/>
  <c r="E140" i="5" s="1"/>
  <c r="E143" i="5" a="1"/>
  <c r="E143" i="5" s="1"/>
  <c r="B147" i="5" a="1"/>
  <c r="B147" i="5" s="1"/>
  <c r="C150" i="5" a="1"/>
  <c r="C150" i="5" s="1"/>
  <c r="B163" i="5" a="1"/>
  <c r="B163" i="5" s="1"/>
  <c r="C166" i="5" a="1"/>
  <c r="C166" i="5" s="1"/>
  <c r="D164" i="5" a="1"/>
  <c r="D164" i="5" s="1"/>
  <c r="D160" i="5" a="1"/>
  <c r="D160" i="5" s="1"/>
  <c r="D156" i="5" a="1"/>
  <c r="D156" i="5" s="1"/>
  <c r="D152" i="5" a="1"/>
  <c r="D152" i="5" s="1"/>
  <c r="D148" i="5" a="1"/>
  <c r="D148" i="5" s="1"/>
  <c r="D144" i="5" a="1"/>
  <c r="D144" i="5" s="1"/>
  <c r="D140" i="5" a="1"/>
  <c r="D140" i="5" s="1"/>
  <c r="D136" i="5" a="1"/>
  <c r="D136" i="5" s="1"/>
  <c r="D132" i="5" a="1"/>
  <c r="D132" i="5" s="1"/>
  <c r="D128" i="5" a="1"/>
  <c r="D128" i="5" s="1"/>
  <c r="D166" i="5" a="1"/>
  <c r="D166" i="5" s="1"/>
  <c r="D158" i="5" a="1"/>
  <c r="D158" i="5" s="1"/>
  <c r="D154" i="5" a="1"/>
  <c r="D154" i="5" s="1"/>
  <c r="D150" i="5" a="1"/>
  <c r="D150" i="5" s="1"/>
  <c r="D146" i="5" a="1"/>
  <c r="D146" i="5" s="1"/>
  <c r="D167" i="5" a="1"/>
  <c r="D167" i="5" s="1"/>
  <c r="D163" i="5" a="1"/>
  <c r="D163" i="5" s="1"/>
  <c r="D159" i="5" a="1"/>
  <c r="D159" i="5" s="1"/>
  <c r="D155" i="5" a="1"/>
  <c r="D155" i="5" s="1"/>
  <c r="D151" i="5" a="1"/>
  <c r="D151" i="5" s="1"/>
  <c r="D147" i="5" a="1"/>
  <c r="D147" i="5" s="1"/>
  <c r="D143" i="5" a="1"/>
  <c r="D143" i="5" s="1"/>
  <c r="D139" i="5" a="1"/>
  <c r="D139" i="5" s="1"/>
  <c r="D135" i="5" a="1"/>
  <c r="D135" i="5" s="1"/>
  <c r="D131" i="5" a="1"/>
  <c r="D131" i="5" s="1"/>
  <c r="D127" i="5" a="1"/>
  <c r="D127" i="5" s="1"/>
  <c r="D118" i="5" a="1"/>
  <c r="D118" i="5" s="1"/>
  <c r="D162" i="5" a="1"/>
  <c r="D162" i="5" s="1"/>
  <c r="D142" i="5" a="1"/>
  <c r="D142" i="5" s="1"/>
  <c r="E167" i="5" a="1"/>
  <c r="E167" i="5" s="1"/>
  <c r="E166" i="5" a="1"/>
  <c r="E166" i="5" s="1"/>
  <c r="E162" i="5" a="1"/>
  <c r="E162" i="5" s="1"/>
  <c r="E158" i="5" a="1"/>
  <c r="E158" i="5" s="1"/>
  <c r="E154" i="5" a="1"/>
  <c r="E154" i="5" s="1"/>
  <c r="E150" i="5" a="1"/>
  <c r="E150" i="5" s="1"/>
  <c r="E146" i="5" a="1"/>
  <c r="E146" i="5" s="1"/>
  <c r="E142" i="5" a="1"/>
  <c r="E142" i="5" s="1"/>
  <c r="E138" i="5" a="1"/>
  <c r="E138" i="5" s="1"/>
  <c r="E134" i="5" a="1"/>
  <c r="E134" i="5" s="1"/>
  <c r="E130" i="5" a="1"/>
  <c r="E130" i="5" s="1"/>
  <c r="E126" i="5" a="1"/>
  <c r="E126" i="5" s="1"/>
  <c r="E118" i="5" a="1"/>
  <c r="E118" i="5" s="1"/>
  <c r="E164" i="5" a="1"/>
  <c r="E164" i="5" s="1"/>
  <c r="E160" i="5" a="1"/>
  <c r="E160" i="5" s="1"/>
  <c r="E144" i="5" a="1"/>
  <c r="E144" i="5" s="1"/>
  <c r="E165" i="5" a="1"/>
  <c r="E165" i="5" s="1"/>
  <c r="E161" i="5" a="1"/>
  <c r="E161" i="5" s="1"/>
  <c r="E157" i="5" a="1"/>
  <c r="E157" i="5" s="1"/>
  <c r="E153" i="5" a="1"/>
  <c r="E153" i="5" s="1"/>
  <c r="E149" i="5" a="1"/>
  <c r="E149" i="5" s="1"/>
  <c r="E145" i="5" a="1"/>
  <c r="E145" i="5" s="1"/>
  <c r="E141" i="5" a="1"/>
  <c r="E141" i="5" s="1"/>
  <c r="E137" i="5" a="1"/>
  <c r="E137" i="5" s="1"/>
  <c r="E133" i="5" a="1"/>
  <c r="E133" i="5" s="1"/>
  <c r="E129" i="5" a="1"/>
  <c r="E129" i="5" s="1"/>
  <c r="E125" i="5" a="1"/>
  <c r="E125" i="5" s="1"/>
  <c r="E124" i="5" a="1"/>
  <c r="E124" i="5" s="1"/>
  <c r="E123" i="5" a="1"/>
  <c r="E123" i="5" s="1"/>
  <c r="E122" i="5" a="1"/>
  <c r="E122" i="5" s="1"/>
  <c r="E121" i="5" a="1"/>
  <c r="E121" i="5" s="1"/>
  <c r="E120" i="5" a="1"/>
  <c r="E120" i="5" s="1"/>
  <c r="E119" i="5" a="1"/>
  <c r="E119" i="5" s="1"/>
  <c r="E156" i="5" a="1"/>
  <c r="E156" i="5" s="1"/>
  <c r="E152" i="5" a="1"/>
  <c r="E152" i="5" s="1"/>
  <c r="E148" i="5" a="1"/>
  <c r="E148" i="5" s="1"/>
  <c r="B118" i="5" a="1"/>
  <c r="B118" i="5" s="1"/>
  <c r="D119" i="5" a="1"/>
  <c r="D119" i="5" s="1"/>
  <c r="D120" i="5" a="1"/>
  <c r="D120" i="5" s="1"/>
  <c r="D121" i="5" a="1"/>
  <c r="D121" i="5" s="1"/>
  <c r="D122" i="5" a="1"/>
  <c r="D122" i="5" s="1"/>
  <c r="D123" i="5" a="1"/>
  <c r="D123" i="5" s="1"/>
  <c r="D124" i="5" a="1"/>
  <c r="D124" i="5" s="1"/>
  <c r="D125" i="5" a="1"/>
  <c r="D125" i="5" s="1"/>
  <c r="B127" i="5" a="1"/>
  <c r="B127" i="5" s="1"/>
  <c r="C130" i="5" a="1"/>
  <c r="C130" i="5" s="1"/>
  <c r="E131" i="5" a="1"/>
  <c r="E131" i="5" s="1"/>
  <c r="D133" i="5" a="1"/>
  <c r="D133" i="5" s="1"/>
  <c r="B135" i="5" a="1"/>
  <c r="B135" i="5" s="1"/>
  <c r="C138" i="5" a="1"/>
  <c r="C138" i="5" s="1"/>
  <c r="E139" i="5" a="1"/>
  <c r="E139" i="5" s="1"/>
  <c r="D141" i="5" a="1"/>
  <c r="D141" i="5" s="1"/>
  <c r="E147" i="5" a="1"/>
  <c r="E147" i="5" s="1"/>
  <c r="B151" i="5" a="1"/>
  <c r="B151" i="5" s="1"/>
  <c r="C154" i="5" a="1"/>
  <c r="C154" i="5" s="1"/>
  <c r="D157" i="5" a="1"/>
  <c r="D157" i="5" s="1"/>
  <c r="E163" i="5" a="1"/>
  <c r="E163" i="5" s="1"/>
  <c r="B167" i="5" a="1"/>
  <c r="B167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8" i="5" a="1"/>
  <c r="C128" i="5" s="1"/>
  <c r="B129" i="5" a="1"/>
  <c r="B129" i="5" s="1"/>
  <c r="C132" i="5" a="1"/>
  <c r="C132" i="5" s="1"/>
  <c r="B133" i="5" a="1"/>
  <c r="B133" i="5" s="1"/>
  <c r="C136" i="5" a="1"/>
  <c r="C136" i="5" s="1"/>
  <c r="B137" i="5" a="1"/>
  <c r="B137" i="5" s="1"/>
  <c r="C140" i="5" a="1"/>
  <c r="C140" i="5" s="1"/>
  <c r="B141" i="5" a="1"/>
  <c r="B141" i="5" s="1"/>
  <c r="C144" i="5" a="1"/>
  <c r="C144" i="5" s="1"/>
  <c r="B145" i="5" a="1"/>
  <c r="B145" i="5" s="1"/>
  <c r="C148" i="5" a="1"/>
  <c r="C148" i="5" s="1"/>
  <c r="B149" i="5" a="1"/>
  <c r="B149" i="5" s="1"/>
  <c r="C152" i="5" a="1"/>
  <c r="C152" i="5" s="1"/>
  <c r="B153" i="5" a="1"/>
  <c r="B153" i="5" s="1"/>
  <c r="C156" i="5" a="1"/>
  <c r="C156" i="5" s="1"/>
  <c r="B157" i="5" a="1"/>
  <c r="B157" i="5" s="1"/>
  <c r="C160" i="5" a="1"/>
  <c r="C160" i="5" s="1"/>
  <c r="B161" i="5" a="1"/>
  <c r="B161" i="5" s="1"/>
  <c r="C164" i="5" a="1"/>
  <c r="C164" i="5" s="1"/>
  <c r="B165" i="5" a="1"/>
  <c r="B165" i="5" s="1"/>
  <c r="B126" i="5" a="1"/>
  <c r="B126" i="5" s="1"/>
  <c r="C129" i="5" a="1"/>
  <c r="C129" i="5" s="1"/>
  <c r="B130" i="5" a="1"/>
  <c r="B130" i="5" s="1"/>
  <c r="C133" i="5" a="1"/>
  <c r="C133" i="5" s="1"/>
  <c r="B134" i="5" a="1"/>
  <c r="B134" i="5" s="1"/>
  <c r="C137" i="5" a="1"/>
  <c r="C137" i="5" s="1"/>
  <c r="B138" i="5" a="1"/>
  <c r="B138" i="5" s="1"/>
  <c r="C141" i="5" a="1"/>
  <c r="C141" i="5" s="1"/>
  <c r="B142" i="5" a="1"/>
  <c r="B142" i="5" s="1"/>
  <c r="C145" i="5" a="1"/>
  <c r="C145" i="5" s="1"/>
  <c r="B146" i="5" a="1"/>
  <c r="B146" i="5" s="1"/>
  <c r="C149" i="5" a="1"/>
  <c r="C149" i="5" s="1"/>
  <c r="B150" i="5" a="1"/>
  <c r="B150" i="5" s="1"/>
  <c r="C153" i="5" a="1"/>
  <c r="C153" i="5" s="1"/>
  <c r="B154" i="5" a="1"/>
  <c r="B154" i="5" s="1"/>
  <c r="C157" i="5" a="1"/>
  <c r="C157" i="5" s="1"/>
  <c r="B158" i="5" a="1"/>
  <c r="B158" i="5" s="1"/>
  <c r="C161" i="5" a="1"/>
  <c r="C161" i="5" s="1"/>
  <c r="B162" i="5" a="1"/>
  <c r="B162" i="5" s="1"/>
  <c r="G64" i="9" l="1"/>
  <c r="H64" i="9" s="1"/>
  <c r="P3" i="1" s="1"/>
  <c r="G66" i="9"/>
  <c r="H66" i="9" s="1"/>
  <c r="G65" i="9"/>
  <c r="H65" i="9" s="1"/>
  <c r="G67" i="9"/>
  <c r="G72" i="9"/>
  <c r="H72" i="9" s="1"/>
  <c r="G99" i="9"/>
  <c r="G98" i="9"/>
  <c r="G74" i="9"/>
  <c r="G93" i="9"/>
  <c r="G76" i="9"/>
  <c r="G75" i="9"/>
  <c r="G107" i="9"/>
  <c r="G95" i="9"/>
  <c r="G89" i="9"/>
  <c r="G108" i="9"/>
  <c r="G102" i="9"/>
  <c r="G103" i="9"/>
  <c r="G90" i="9"/>
  <c r="G79" i="9"/>
  <c r="G111" i="9"/>
  <c r="G112" i="9"/>
  <c r="G94" i="9"/>
  <c r="G86" i="9"/>
  <c r="G68" i="9"/>
  <c r="G73" i="9"/>
  <c r="G71" i="9"/>
  <c r="G104" i="9"/>
  <c r="G85" i="9"/>
  <c r="G77" i="9"/>
  <c r="G81" i="9"/>
  <c r="G87" i="9"/>
  <c r="G88" i="9"/>
  <c r="G97" i="9"/>
  <c r="G69" i="9"/>
  <c r="G83" i="9"/>
  <c r="G91" i="9"/>
  <c r="G92" i="9"/>
  <c r="G101" i="9"/>
  <c r="G106" i="9"/>
  <c r="G80" i="9"/>
  <c r="G96" i="9"/>
  <c r="G105" i="9"/>
  <c r="G110" i="9"/>
  <c r="G84" i="9"/>
  <c r="G82" i="9"/>
  <c r="G100" i="9"/>
  <c r="G109" i="9"/>
  <c r="G78" i="9"/>
  <c r="G113" i="9"/>
  <c r="G70" i="9"/>
  <c r="F167" i="5"/>
  <c r="G167" i="5" s="1"/>
  <c r="F127" i="5"/>
  <c r="G127" i="5" s="1"/>
  <c r="F129" i="5"/>
  <c r="G129" i="5" s="1"/>
  <c r="F130" i="5"/>
  <c r="G130" i="5" s="1"/>
  <c r="F128" i="5"/>
  <c r="G128" i="5" s="1"/>
  <c r="F163" i="5"/>
  <c r="G163" i="5" s="1"/>
  <c r="F155" i="5"/>
  <c r="G155" i="5" s="1"/>
  <c r="F147" i="5"/>
  <c r="G147" i="5" s="1"/>
  <c r="F143" i="5"/>
  <c r="G143" i="5" s="1"/>
  <c r="F164" i="5"/>
  <c r="G164" i="5" s="1"/>
  <c r="F156" i="5"/>
  <c r="G156" i="5" s="1"/>
  <c r="F152" i="5"/>
  <c r="G152" i="5" s="1"/>
  <c r="F140" i="5"/>
  <c r="G140" i="5" s="1"/>
  <c r="F125" i="5"/>
  <c r="G125" i="5" s="1"/>
  <c r="F118" i="5"/>
  <c r="G118" i="5" s="1"/>
  <c r="F149" i="5"/>
  <c r="G149" i="5" s="1"/>
  <c r="F133" i="5"/>
  <c r="G133" i="5" s="1"/>
  <c r="F165" i="5"/>
  <c r="G165" i="5" s="1"/>
  <c r="F161" i="5"/>
  <c r="G161" i="5" s="1"/>
  <c r="F120" i="5"/>
  <c r="G120" i="5" s="1"/>
  <c r="F126" i="5"/>
  <c r="G126" i="5" s="1"/>
  <c r="F122" i="5"/>
  <c r="G122" i="5" s="1"/>
  <c r="F146" i="5"/>
  <c r="G146" i="5" s="1"/>
  <c r="F154" i="5"/>
  <c r="G154" i="5" s="1"/>
  <c r="F134" i="5"/>
  <c r="G134" i="5" s="1"/>
  <c r="F123" i="5"/>
  <c r="G123" i="5" s="1"/>
  <c r="F151" i="5"/>
  <c r="G151" i="5" s="1"/>
  <c r="F150" i="5"/>
  <c r="G150" i="5" s="1"/>
  <c r="F158" i="5"/>
  <c r="G158" i="5" s="1"/>
  <c r="F138" i="5"/>
  <c r="G138" i="5" s="1"/>
  <c r="F135" i="5"/>
  <c r="G135" i="5" s="1"/>
  <c r="F142" i="5"/>
  <c r="G142" i="5" s="1"/>
  <c r="F166" i="5"/>
  <c r="G166" i="5" s="1"/>
  <c r="F137" i="5"/>
  <c r="G137" i="5" s="1"/>
  <c r="F157" i="5"/>
  <c r="G157" i="5" s="1"/>
  <c r="F119" i="5"/>
  <c r="G119" i="5" s="1"/>
  <c r="F159" i="5"/>
  <c r="G159" i="5" s="1"/>
  <c r="F148" i="5"/>
  <c r="G148" i="5" s="1"/>
  <c r="F124" i="5"/>
  <c r="G124" i="5" s="1"/>
  <c r="F136" i="5"/>
  <c r="G136" i="5" s="1"/>
  <c r="F121" i="5"/>
  <c r="G121" i="5" s="1"/>
  <c r="F132" i="5"/>
  <c r="G132" i="5" s="1"/>
  <c r="F139" i="5"/>
  <c r="G139" i="5" s="1"/>
  <c r="F145" i="5"/>
  <c r="G145" i="5" s="1"/>
  <c r="F131" i="5"/>
  <c r="G131" i="5" s="1"/>
  <c r="F141" i="5"/>
  <c r="G141" i="5" s="1"/>
  <c r="F162" i="5"/>
  <c r="G162" i="5" s="1"/>
  <c r="F144" i="5"/>
  <c r="G144" i="5" s="1"/>
  <c r="F153" i="5"/>
  <c r="G153" i="5" s="1"/>
  <c r="F160" i="5"/>
  <c r="G160" i="5" s="1"/>
  <c r="H100" i="9" l="1"/>
  <c r="H87" i="9"/>
  <c r="H93" i="9"/>
  <c r="H101" i="9"/>
  <c r="H108" i="9"/>
  <c r="H82" i="9"/>
  <c r="H77" i="9"/>
  <c r="H105" i="9"/>
  <c r="H104" i="9"/>
  <c r="H78" i="9"/>
  <c r="H96" i="9"/>
  <c r="H97" i="9"/>
  <c r="H71" i="9"/>
  <c r="H90" i="9"/>
  <c r="H75" i="9"/>
  <c r="H106" i="9"/>
  <c r="H68" i="9"/>
  <c r="H102" i="9"/>
  <c r="H67" i="9"/>
  <c r="H81" i="9"/>
  <c r="H86" i="9"/>
  <c r="H74" i="9"/>
  <c r="H92" i="9"/>
  <c r="H94" i="9"/>
  <c r="H89" i="9"/>
  <c r="H98" i="9"/>
  <c r="H70" i="9"/>
  <c r="H84" i="9"/>
  <c r="H91" i="9"/>
  <c r="H85" i="9"/>
  <c r="H112" i="9"/>
  <c r="H99" i="9"/>
  <c r="H110" i="9"/>
  <c r="H83" i="9"/>
  <c r="H111" i="9"/>
  <c r="H95" i="9"/>
  <c r="H113" i="9"/>
  <c r="H69" i="9"/>
  <c r="H79" i="9"/>
  <c r="H107" i="9"/>
  <c r="H109" i="9"/>
  <c r="H80" i="9"/>
  <c r="H88" i="9"/>
  <c r="H73" i="9"/>
  <c r="H103" i="9"/>
  <c r="H76" i="9"/>
  <c r="I65" i="9"/>
  <c r="K4" i="5"/>
  <c r="F170" i="5"/>
  <c r="H117" i="5" s="1"/>
  <c r="K53" i="5" l="1"/>
  <c r="P52" i="1"/>
  <c r="K13" i="5"/>
  <c r="P12" i="1"/>
  <c r="K28" i="5"/>
  <c r="P27" i="1"/>
  <c r="K51" i="5"/>
  <c r="P50" i="1"/>
  <c r="K31" i="5"/>
  <c r="P30" i="1"/>
  <c r="K26" i="5"/>
  <c r="P25" i="1"/>
  <c r="K11" i="5"/>
  <c r="P10" i="1"/>
  <c r="K22" i="5"/>
  <c r="P21" i="1"/>
  <c r="K32" i="5"/>
  <c r="P31" i="1"/>
  <c r="K14" i="5"/>
  <c r="P13" i="1"/>
  <c r="K20" i="5"/>
  <c r="P19" i="1"/>
  <c r="K23" i="5"/>
  <c r="P22" i="1"/>
  <c r="K24" i="5"/>
  <c r="P23" i="1"/>
  <c r="K21" i="5"/>
  <c r="P20" i="1"/>
  <c r="K37" i="5"/>
  <c r="P36" i="1"/>
  <c r="K48" i="5"/>
  <c r="P47" i="1"/>
  <c r="K12" i="5"/>
  <c r="P11" i="1"/>
  <c r="K17" i="5"/>
  <c r="P16" i="1"/>
  <c r="K49" i="5"/>
  <c r="P48" i="1"/>
  <c r="K50" i="5"/>
  <c r="P49" i="1"/>
  <c r="K10" i="5"/>
  <c r="P9" i="1"/>
  <c r="K7" i="5"/>
  <c r="P6" i="1"/>
  <c r="K36" i="5"/>
  <c r="P35" i="1"/>
  <c r="K41" i="5"/>
  <c r="P40" i="1"/>
  <c r="K43" i="5"/>
  <c r="P42" i="1"/>
  <c r="K25" i="5"/>
  <c r="P24" i="1"/>
  <c r="K47" i="5"/>
  <c r="P46" i="1"/>
  <c r="K6" i="5"/>
  <c r="P5" i="1"/>
  <c r="K38" i="5"/>
  <c r="P37" i="1"/>
  <c r="K42" i="5"/>
  <c r="P41" i="1"/>
  <c r="K18" i="5"/>
  <c r="P17" i="1"/>
  <c r="K33" i="5"/>
  <c r="P32" i="1"/>
  <c r="K15" i="5"/>
  <c r="P14" i="1"/>
  <c r="K35" i="5"/>
  <c r="P34" i="1"/>
  <c r="K19" i="5"/>
  <c r="P18" i="1"/>
  <c r="K39" i="5"/>
  <c r="P38" i="1"/>
  <c r="K29" i="5"/>
  <c r="P28" i="1"/>
  <c r="K8" i="5"/>
  <c r="P7" i="1"/>
  <c r="K44" i="5"/>
  <c r="P43" i="1"/>
  <c r="K27" i="5"/>
  <c r="P26" i="1"/>
  <c r="K52" i="5"/>
  <c r="P51" i="1"/>
  <c r="K30" i="5"/>
  <c r="P29" i="1"/>
  <c r="K16" i="5"/>
  <c r="P15" i="1"/>
  <c r="K9" i="5"/>
  <c r="P8" i="1"/>
  <c r="K5" i="5"/>
  <c r="P4" i="1"/>
  <c r="K34" i="5"/>
  <c r="P33" i="1"/>
  <c r="K46" i="5"/>
  <c r="P45" i="1"/>
  <c r="K45" i="5"/>
  <c r="P44" i="1"/>
  <c r="K40" i="5"/>
  <c r="P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<sst xmlns="http://schemas.openxmlformats.org/spreadsheetml/2006/main" count="2109" uniqueCount="273">
  <si>
    <t>O conteúdo deste tutorial é interessante para você?</t>
  </si>
  <si>
    <t>Escolha por favor o tópico do tutorial que mais lhe interessaria aprender</t>
  </si>
  <si>
    <t>Qual dos formatos abaixo você preferiria para aprender o assunto?</t>
  </si>
  <si>
    <t>Supondo que lhe fosse oferecido o conteúdo no formato E Book  e que ele custasse R$ 80,00. Você compraria?</t>
  </si>
  <si>
    <t>Se o E Book custasse R$ 100,00 você compraria?</t>
  </si>
  <si>
    <t>Se o E Book custasse R$ 50,00 você compraria?</t>
  </si>
  <si>
    <t>Se o E Book custasse R$ 30,00 você compraria?</t>
  </si>
  <si>
    <t>Se o E Book custasse R$ 120,00 você compraria?</t>
  </si>
  <si>
    <t>Quais são as razões fazem o produto lhe ser pouco atraente?</t>
  </si>
  <si>
    <t>Sexo</t>
  </si>
  <si>
    <t>Idade</t>
  </si>
  <si>
    <t>Região</t>
  </si>
  <si>
    <t>Classe Social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</si>
  <si>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</si>
  <si>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</si>
  <si>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</si>
  <si>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</si>
  <si>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</si>
  <si>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</si>
  <si>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</si>
  <si>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</si>
  <si>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</si>
  <si>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Sim</t>
  </si>
  <si>
    <t>Trabalhar com a ferramenta de otimização do Excel (Solver) para calcular quanto investir em cada ativo para maximizar a relação retorno/risco da carte</t>
  </si>
  <si>
    <t>Vídeo Aulas</t>
  </si>
  <si>
    <t>Não</t>
  </si>
  <si>
    <t>Outros: Acho vídeo aula mais interessante</t>
  </si>
  <si>
    <t>Masculino</t>
  </si>
  <si>
    <t>35</t>
  </si>
  <si>
    <t>Sudeste</t>
  </si>
  <si>
    <t>B</t>
  </si>
  <si>
    <t>Aplicar técnicas de estimação do retorno esperado dos ativos, especialmente, algorítimo de aprendizagem de máquina (regressão) em Excel</t>
  </si>
  <si>
    <t>Conteúdo me parece muito técnico.</t>
  </si>
  <si>
    <t>37</t>
  </si>
  <si>
    <t>Sul</t>
  </si>
  <si>
    <t>A</t>
  </si>
  <si>
    <t>Curso à distância</t>
  </si>
  <si>
    <t>Outros: Não disponível fisicamente</t>
  </si>
  <si>
    <t>34</t>
  </si>
  <si>
    <t>Nordeste</t>
  </si>
  <si>
    <t>Talvez</t>
  </si>
  <si>
    <t>Trabalhar com ambiente Home Broker, plataforma de negociação das corretoras de valores</t>
  </si>
  <si>
    <t>Apostila PDF</t>
  </si>
  <si>
    <t>Não me interesso no momento por investimentos.</t>
  </si>
  <si>
    <t>27</t>
  </si>
  <si>
    <t>39</t>
  </si>
  <si>
    <t>42</t>
  </si>
  <si>
    <t>Automatizar a rotina de atualização e de preparação dos dados, que estarão sempre prontos a cada inclusão de novos dados do site fonte</t>
  </si>
  <si>
    <t>Outros: Prefiro vídeo aulas</t>
  </si>
  <si>
    <t>29</t>
  </si>
  <si>
    <t>33</t>
  </si>
  <si>
    <t>Outros: Sou assessor de investimentos</t>
  </si>
  <si>
    <t>Centro-Oeste</t>
  </si>
  <si>
    <t>45</t>
  </si>
  <si>
    <t>Utilizar ferramentas do Excel para obter dados históricos de ações e quaisquer outros ativos  disponíveis gratuitamente na internet</t>
  </si>
  <si>
    <t>50</t>
  </si>
  <si>
    <t>46</t>
  </si>
  <si>
    <t>Usar o Excel para calcular o risco da carteira levando em conta a correlação dos ativos escolhidos, aspecto fundamental para uma boa diversificação de</t>
  </si>
  <si>
    <t>Curso presencial com computadores individualizados</t>
  </si>
  <si>
    <t>44</t>
  </si>
  <si>
    <t>Utilizo consultor financeiro.</t>
  </si>
  <si>
    <t>64</t>
  </si>
  <si>
    <t>Outros: Prefiro materiais em vídeo.</t>
  </si>
  <si>
    <t>53</t>
  </si>
  <si>
    <t>36</t>
  </si>
  <si>
    <t>Norte</t>
  </si>
  <si>
    <t>69</t>
  </si>
  <si>
    <t>E-Book</t>
  </si>
  <si>
    <t>51</t>
  </si>
  <si>
    <t>62</t>
  </si>
  <si>
    <t>Feminino</t>
  </si>
  <si>
    <t>54</t>
  </si>
  <si>
    <t>Outros: custo</t>
  </si>
  <si>
    <t>43</t>
  </si>
  <si>
    <t>47</t>
  </si>
  <si>
    <t>31</t>
  </si>
  <si>
    <t>Confio nas recomendações de meu gerente de banco.</t>
  </si>
  <si>
    <t>77</t>
  </si>
  <si>
    <t>70</t>
  </si>
  <si>
    <t>25</t>
  </si>
  <si>
    <t>60</t>
  </si>
  <si>
    <t>32</t>
  </si>
  <si>
    <t>52</t>
  </si>
  <si>
    <t>1</t>
  </si>
  <si>
    <t>5</t>
  </si>
  <si>
    <t>4</t>
  </si>
  <si>
    <t>2</t>
  </si>
  <si>
    <t>Acho vídeo aula mais interessante</t>
  </si>
  <si>
    <t>3</t>
  </si>
  <si>
    <t>Não disponível fisicamente</t>
  </si>
  <si>
    <t>6</t>
  </si>
  <si>
    <t>Prefiro vídeo aulas</t>
  </si>
  <si>
    <t>Sou assessor de investimentos</t>
  </si>
  <si>
    <t>Prefiro materiais em vídeo.</t>
  </si>
  <si>
    <t>custo</t>
  </si>
  <si>
    <t>Variável</t>
  </si>
  <si>
    <t>Tipo</t>
  </si>
  <si>
    <t>Título</t>
  </si>
  <si>
    <t>Categorias</t>
  </si>
  <si>
    <t>Perguntas</t>
  </si>
  <si>
    <t>Código</t>
  </si>
  <si>
    <t>Resposta Única</t>
  </si>
  <si>
    <t>Sim ; Não ; Talvez</t>
  </si>
  <si>
    <t>Utilizar ferramentas do Excel para obter dados históricos de ações e quaisquer outros ativos  disponíveis gratuitamente na internet ; Automatizar a rotina de atualização e de preparação dos dados, que estarão sempre prontos a cada inclusão de novos dados do site fonte ; Aplicar técnicas de estimação do retorno esperado dos ativos, especialmente, algorítimo de aprendizagem de máquina (regressão) em Excel ; Usar o Excel para calcular o risco da carteira levando em conta a correlação dos ativos escolhidos, aspecto fundamental para uma boa diversificação de ; Trabalhar com a ferramenta de otimização do Excel (Solver) para calcular quanto investir em cada ativo para maximizar a relação retorno/risco da carte ; Trabalhar com ambiente Home Broker, plataforma de negociação das corretoras de valores</t>
  </si>
  <si>
    <t>E-Book ; Curso presencial com computadores individualizados ; Apostila PDF ; Vídeo Aulas ; Curso à distância</t>
  </si>
  <si>
    <t>Sim ; Não</t>
  </si>
  <si>
    <t>Resposta Múltipla</t>
  </si>
  <si>
    <t>Utilizo consultor financeiro. ; Confio nas recomendações de meu gerente de banco. ; Conteúdo me parece muito técnico. ; Não me interesso no momento por investimentos.</t>
  </si>
  <si>
    <t>O conteúdo deste tutorial é interessante para você? *</t>
  </si>
  <si>
    <t>11</t>
  </si>
  <si>
    <t>22,00%</t>
  </si>
  <si>
    <t>10,00%</t>
  </si>
  <si>
    <t>68,00%</t>
  </si>
  <si>
    <t>Escolha por favor o tópico do tutorial que mais lhe interessaria aprender *</t>
  </si>
  <si>
    <t>7</t>
  </si>
  <si>
    <t>15,56%</t>
  </si>
  <si>
    <t>14</t>
  </si>
  <si>
    <t>31,11%</t>
  </si>
  <si>
    <t>8,89%</t>
  </si>
  <si>
    <t>4,44%</t>
  </si>
  <si>
    <t>9</t>
  </si>
  <si>
    <t>20,00%</t>
  </si>
  <si>
    <t>Qual dos formatos abaixo você preferiria para aprender o assunto? *</t>
  </si>
  <si>
    <t>18</t>
  </si>
  <si>
    <t>40,00%</t>
  </si>
  <si>
    <t>13,33%</t>
  </si>
  <si>
    <t>Supondo que lhe fosse oferecido o conteúdo no formato E Book  e que ele custasse R$ 80,00. Você compraria? *</t>
  </si>
  <si>
    <t>20</t>
  </si>
  <si>
    <t>44,44%</t>
  </si>
  <si>
    <t>55,56%</t>
  </si>
  <si>
    <t>Se o E Book custasse R$ 100,00 você compraria? *</t>
  </si>
  <si>
    <t>15</t>
  </si>
  <si>
    <t>60,00%</t>
  </si>
  <si>
    <t>10</t>
  </si>
  <si>
    <t>Se o E Book custasse R$ 50,00 você compraria? *</t>
  </si>
  <si>
    <t>17</t>
  </si>
  <si>
    <t>85,00%</t>
  </si>
  <si>
    <t>15,00%</t>
  </si>
  <si>
    <t>Se o E Book custasse R$ 30,00 você compraria? *</t>
  </si>
  <si>
    <t>13</t>
  </si>
  <si>
    <t>76,47%</t>
  </si>
  <si>
    <t>23,53%</t>
  </si>
  <si>
    <t>Se o E Book custasse R$ 120,00 você compraria? *</t>
  </si>
  <si>
    <t>50,00%</t>
  </si>
  <si>
    <t>Quais são as razões fazem o produto lhe ser pouco atraente? *</t>
  </si>
  <si>
    <t>Outros</t>
  </si>
  <si>
    <t>33,33%</t>
  </si>
  <si>
    <t>27,78%</t>
  </si>
  <si>
    <t>5,56%</t>
  </si>
  <si>
    <t>WTP Máx</t>
  </si>
  <si>
    <t>DADOS CODIFICADOS</t>
  </si>
  <si>
    <t>DADOS CODIFICADOS NORMALIZADOS</t>
  </si>
  <si>
    <t>Item</t>
  </si>
  <si>
    <t>Grupo</t>
  </si>
  <si>
    <t>CALCULO DAS DISTÂNCIAS</t>
  </si>
  <si>
    <t>Distância p/ grupo 1</t>
  </si>
  <si>
    <t>Distância p/ grupo 2</t>
  </si>
  <si>
    <t>Distância p/ grupo 3</t>
  </si>
  <si>
    <t>Distância p/ grupo 4</t>
  </si>
  <si>
    <t>Total Geral</t>
  </si>
  <si>
    <t>(Tudo)</t>
  </si>
  <si>
    <t>Valores</t>
  </si>
  <si>
    <t>Média de WTP Máx</t>
  </si>
  <si>
    <t>Contagem de Item</t>
  </si>
  <si>
    <t>homens</t>
  </si>
  <si>
    <t>mulheres</t>
  </si>
  <si>
    <t>filtro</t>
  </si>
  <si>
    <t>filtro 2</t>
  </si>
  <si>
    <t>Distância Mínima</t>
  </si>
  <si>
    <t>Total das Distâncias Mínimas</t>
  </si>
  <si>
    <t>Número do Grupo</t>
  </si>
  <si>
    <t>Distância p/ grupo 5</t>
  </si>
  <si>
    <t>WTP Cód</t>
  </si>
  <si>
    <t>Idade Categórica</t>
  </si>
  <si>
    <t>até 35 anos</t>
  </si>
  <si>
    <t>entre 36 e 40 anos</t>
  </si>
  <si>
    <t>entre 40 e  50 anos</t>
  </si>
  <si>
    <t>maior do que 50 anos</t>
  </si>
  <si>
    <t>Idade Código</t>
  </si>
  <si>
    <t>WTP Código</t>
  </si>
  <si>
    <t>Preço</t>
  </si>
  <si>
    <t>Quantidade</t>
  </si>
  <si>
    <t>custo variável unitário</t>
  </si>
  <si>
    <t>custo fixo</t>
  </si>
  <si>
    <t>lucro</t>
  </si>
  <si>
    <t>RESULTADOS DA PESQUISA CODIFICADOS, COM INCLUSÃO DO PREÇO MÁXIMO PAGO POR ENTREVISTAOS E TRANSFORMAÇÃO DA IDADE EM DADOS CATEGÓRICOS.</t>
  </si>
  <si>
    <t>VARIÁVEIS DEFINIDAS PARA AGRUPAMENTO</t>
  </si>
  <si>
    <t>GRUPOS INICIAIS DO NÚMERO DE CULSTERS ESTIPULADO</t>
  </si>
  <si>
    <t>sexo</t>
  </si>
  <si>
    <t>classe</t>
  </si>
  <si>
    <t>região</t>
  </si>
  <si>
    <t>centro-oeste</t>
  </si>
  <si>
    <t>idade</t>
  </si>
  <si>
    <t>WTP</t>
  </si>
  <si>
    <t>preço A</t>
  </si>
  <si>
    <t>preço B</t>
  </si>
  <si>
    <t>quantidade A</t>
  </si>
  <si>
    <t>quantidade B</t>
  </si>
  <si>
    <t>,</t>
  </si>
  <si>
    <t>Fórmulas aplicadas à SMC</t>
  </si>
  <si>
    <t>custo por visita ao site</t>
  </si>
  <si>
    <t>Custo total em divulgação nas mídias sociais</t>
  </si>
  <si>
    <t>custo varíavel por unidade</t>
  </si>
  <si>
    <t>Média Lucro</t>
  </si>
  <si>
    <t>Máximo Lucro</t>
  </si>
  <si>
    <t>Mínimo Lucro</t>
  </si>
  <si>
    <t>Cenários positivos</t>
  </si>
  <si>
    <t>Cenários negativos</t>
  </si>
  <si>
    <t>Probabilidade de Lucro</t>
  </si>
  <si>
    <t>Preço Grupo 2</t>
  </si>
  <si>
    <t>Preço Grupo 3</t>
  </si>
  <si>
    <t>Propensão à compra 2</t>
  </si>
  <si>
    <t>Propensão à compra 3</t>
  </si>
  <si>
    <t>volatilidade da propensão à  compra 2</t>
  </si>
  <si>
    <t>RESUMO DOS RESULTADOS</t>
  </si>
  <si>
    <t>Estatística de regressão</t>
  </si>
  <si>
    <t>R múltiplo</t>
  </si>
  <si>
    <t>R-Quadrado</t>
  </si>
  <si>
    <t>R-quadrado ajustado</t>
  </si>
  <si>
    <t>Erro padrão</t>
  </si>
  <si>
    <t>Observações</t>
  </si>
  <si>
    <t>ANOVA</t>
  </si>
  <si>
    <t>Regressão</t>
  </si>
  <si>
    <t>Resíduo</t>
  </si>
  <si>
    <t>Total</t>
  </si>
  <si>
    <t>Interseção</t>
  </si>
  <si>
    <t>gl</t>
  </si>
  <si>
    <t>SQ</t>
  </si>
  <si>
    <t>MQ</t>
  </si>
  <si>
    <t>F</t>
  </si>
  <si>
    <t>F de significação</t>
  </si>
  <si>
    <t>Coeficientes</t>
  </si>
  <si>
    <t>Stat t</t>
  </si>
  <si>
    <t>valor-P</t>
  </si>
  <si>
    <t>95% inferiores</t>
  </si>
  <si>
    <t>95% superiores</t>
  </si>
  <si>
    <t>Inferior 95,0%</t>
  </si>
  <si>
    <t>Superior 95,0%</t>
  </si>
  <si>
    <t>quantidade vendida 2</t>
  </si>
  <si>
    <t>quantidade vendida 3</t>
  </si>
  <si>
    <t>Visitas as Site 2</t>
  </si>
  <si>
    <t>Visitas ao Site 3</t>
  </si>
  <si>
    <t>volatilidade da propensão à  compra 3</t>
  </si>
  <si>
    <t>Taxa de  conversão em venda efetiva grupo 2</t>
  </si>
  <si>
    <t>Taxa de  conversão em venda efetiva grupo 3</t>
  </si>
  <si>
    <t>entre 0 e 20000</t>
  </si>
  <si>
    <t>DesvPad</t>
  </si>
  <si>
    <t>Lucro / Risco (desvpad)</t>
  </si>
  <si>
    <t>aleatório 2</t>
  </si>
  <si>
    <t>Objetivo</t>
  </si>
  <si>
    <t>Número de Clicks 2</t>
  </si>
  <si>
    <t>Número de Clicks 3</t>
  </si>
  <si>
    <t>Preço 2</t>
  </si>
  <si>
    <t>Preço 3</t>
  </si>
  <si>
    <t>GRG Não Linear</t>
  </si>
  <si>
    <t>Algoritmo</t>
  </si>
  <si>
    <t>Maximizar Retorno/Risco do Segmento 2</t>
  </si>
  <si>
    <t>Maximizar Retorno/Risco do Segmento 3</t>
  </si>
  <si>
    <t>Maximizar Retorno/Risco do Segmento Ambos os Segmentos Combinados</t>
  </si>
  <si>
    <t>Praticar preço médio de mercado de R$ 50,00 no segmento 2</t>
  </si>
  <si>
    <t>Praticar preço médio de mercado de R$ 50,00 no segmento 3</t>
  </si>
  <si>
    <t xml:space="preserve">Preço </t>
  </si>
  <si>
    <t xml:space="preserve">Taxa de  conversão em venda efetiva </t>
  </si>
  <si>
    <t>Propensão à compra</t>
  </si>
  <si>
    <t>volatilidade da propensão à  compra</t>
  </si>
  <si>
    <t>quantidade vendida</t>
  </si>
  <si>
    <t>Visitas as Site</t>
  </si>
  <si>
    <t>Praticar preço médio de mercado de R$ 50,00 Base  Completa</t>
  </si>
  <si>
    <t>Maximizar Risco/Retorno Base Completa</t>
  </si>
  <si>
    <t>Maximizar Lucro Base Completa</t>
  </si>
  <si>
    <t>Maximizar Lucro de Ambos os Segmentos Combinados</t>
  </si>
  <si>
    <t>Lucro / Risco (DesvPad)</t>
  </si>
  <si>
    <t>Combinações possíveis de 50 elementos combinados 5 a 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</si>
</sst>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#,##0.00_ ;\-#,##0.00\ "/>
    <numFmt numFmtId="167" formatCode="#,##0_ ;\-#,##0\ "/>
  </numFmts>
  <fonts count="13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4" fillId="0" borderId="0" xfId="0" applyFont="1"/>
    <xf numFmtId="0" fontId="4" fillId="0" borderId="0" xfId="0" applyFont="1" applyAlignment="1">
      <alignment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pivotButton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9" fontId="0" fillId="0" borderId="0" xfId="1" applyFont="1"/>
    <xf numFmtId="43" fontId="0" fillId="0" borderId="0" xfId="2" applyFont="1"/>
    <xf numFmtId="0" fontId="8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43" fontId="0" fillId="0" borderId="0" xfId="2" applyFont="1" applyAlignment="1">
      <alignment horizontal="center" vertical="center" wrapText="1"/>
    </xf>
    <xf numFmtId="3" fontId="0" fillId="0" borderId="0" xfId="0" applyNumberFormat="1"/>
    <xf numFmtId="0" fontId="9" fillId="0" borderId="0" xfId="0" applyFont="1" applyAlignment="1">
      <alignment horizontal="center" vertical="center" wrapText="1"/>
    </xf>
    <xf numFmtId="0" fontId="8" fillId="0" borderId="0" xfId="0" applyFont="1"/>
    <xf numFmtId="164" fontId="0" fillId="0" borderId="0" xfId="2" applyNumberFormat="1" applyFont="1"/>
    <xf numFmtId="0" fontId="5" fillId="3" borderId="0" xfId="0" applyFont="1" applyFill="1"/>
    <xf numFmtId="0" fontId="5" fillId="3" borderId="0" xfId="0" applyFont="1" applyFill="1" applyAlignment="1">
      <alignment horizontal="center" vertical="center" wrapText="1"/>
    </xf>
    <xf numFmtId="164" fontId="5" fillId="3" borderId="0" xfId="2" applyNumberFormat="1" applyFont="1" applyFill="1"/>
    <xf numFmtId="43" fontId="0" fillId="0" borderId="0" xfId="0" applyNumberFormat="1"/>
    <xf numFmtId="0" fontId="8" fillId="0" borderId="0" xfId="0" applyFont="1" applyAlignment="1">
      <alignment horizontal="center"/>
    </xf>
    <xf numFmtId="0" fontId="0" fillId="2" borderId="0" xfId="0" applyFill="1"/>
    <xf numFmtId="0" fontId="4" fillId="2" borderId="0" xfId="0" applyFont="1" applyFill="1"/>
    <xf numFmtId="0" fontId="9" fillId="2" borderId="0" xfId="0" applyFont="1" applyFill="1" applyAlignment="1">
      <alignment horizontal="center" vertical="center" wrapText="1"/>
    </xf>
    <xf numFmtId="164" fontId="0" fillId="2" borderId="0" xfId="2" applyNumberFormat="1" applyFont="1" applyFill="1"/>
    <xf numFmtId="0" fontId="0" fillId="0" borderId="2" xfId="0" applyBorder="1"/>
    <xf numFmtId="0" fontId="11" fillId="0" borderId="3" xfId="0" applyFont="1" applyBorder="1" applyAlignment="1">
      <alignment horizontal="center"/>
    </xf>
    <xf numFmtId="0" fontId="11" fillId="0" borderId="3" xfId="0" applyFont="1" applyBorder="1" applyAlignment="1">
      <alignment horizontal="centerContinuous"/>
    </xf>
    <xf numFmtId="0" fontId="2" fillId="0" borderId="1" xfId="3" applyBorder="1" applyAlignment="1">
      <alignment horizontal="center" vertical="center"/>
    </xf>
    <xf numFmtId="0" fontId="2" fillId="0" borderId="0" xfId="3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 wrapText="1"/>
    </xf>
    <xf numFmtId="9" fontId="0" fillId="0" borderId="0" xfId="5" applyFont="1" applyBorder="1" applyAlignment="1">
      <alignment horizontal="center" vertical="center"/>
    </xf>
    <xf numFmtId="43" fontId="0" fillId="0" borderId="0" xfId="4" applyFont="1" applyBorder="1" applyAlignment="1">
      <alignment horizontal="center" vertical="center"/>
    </xf>
    <xf numFmtId="165" fontId="0" fillId="0" borderId="0" xfId="5" applyNumberFormat="1" applyFont="1" applyBorder="1" applyAlignment="1">
      <alignment horizontal="center" vertical="center"/>
    </xf>
    <xf numFmtId="43" fontId="2" fillId="0" borderId="0" xfId="3" applyNumberFormat="1" applyAlignment="1">
      <alignment horizontal="center" vertical="center"/>
    </xf>
    <xf numFmtId="43" fontId="10" fillId="0" borderId="0" xfId="4" applyFont="1" applyBorder="1" applyAlignment="1">
      <alignment horizontal="center" vertical="center" wrapText="1"/>
    </xf>
    <xf numFmtId="0" fontId="2" fillId="0" borderId="0" xfId="3" applyAlignment="1">
      <alignment horizontal="center"/>
    </xf>
    <xf numFmtId="10" fontId="0" fillId="0" borderId="0" xfId="5" applyNumberFormat="1" applyFont="1" applyBorder="1" applyAlignment="1">
      <alignment horizontal="center"/>
    </xf>
    <xf numFmtId="166" fontId="2" fillId="0" borderId="0" xfId="3" applyNumberFormat="1" applyAlignment="1">
      <alignment horizontal="center"/>
    </xf>
    <xf numFmtId="167" fontId="2" fillId="0" borderId="0" xfId="3" applyNumberFormat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0" fontId="1" fillId="0" borderId="0" xfId="3" applyFont="1" applyAlignment="1">
      <alignment horizontal="center" vertical="center"/>
    </xf>
    <xf numFmtId="43" fontId="1" fillId="0" borderId="0" xfId="3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66" fontId="2" fillId="0" borderId="1" xfId="3" applyNumberFormat="1" applyBorder="1" applyAlignment="1">
      <alignment horizontal="center"/>
    </xf>
    <xf numFmtId="167" fontId="0" fillId="0" borderId="1" xfId="4" applyNumberFormat="1" applyFont="1" applyBorder="1" applyAlignment="1">
      <alignment horizontal="center"/>
    </xf>
    <xf numFmtId="167" fontId="2" fillId="0" borderId="1" xfId="3" applyNumberFormat="1" applyBorder="1" applyAlignment="1">
      <alignment horizontal="center"/>
    </xf>
    <xf numFmtId="10" fontId="0" fillId="0" borderId="1" xfId="5" applyNumberFormat="1" applyFont="1" applyBorder="1" applyAlignment="1">
      <alignment horizontal="center"/>
    </xf>
    <xf numFmtId="0" fontId="1" fillId="0" borderId="1" xfId="3" applyFont="1" applyBorder="1" applyAlignment="1">
      <alignment horizontal="center" vertical="center"/>
    </xf>
    <xf numFmtId="43" fontId="1" fillId="0" borderId="1" xfId="3" applyNumberFormat="1" applyFont="1" applyBorder="1" applyAlignment="1">
      <alignment horizontal="center" vertical="center"/>
    </xf>
    <xf numFmtId="0" fontId="12" fillId="3" borderId="1" xfId="3" applyFont="1" applyFill="1" applyBorder="1" applyAlignment="1">
      <alignment horizontal="center" vertical="center"/>
    </xf>
    <xf numFmtId="166" fontId="12" fillId="3" borderId="1" xfId="3" applyNumberFormat="1" applyFont="1" applyFill="1" applyBorder="1" applyAlignment="1">
      <alignment horizontal="center"/>
    </xf>
    <xf numFmtId="0" fontId="4" fillId="0" borderId="0" xfId="0" applyFont="1" applyAlignment="1">
      <alignment horizontal="left" vertical="center"/>
    </xf>
  </cellXfs>
  <cellStyles count="6">
    <cellStyle name="Normal" xfId="0" builtinId="0"/>
    <cellStyle name="Normal 2" xfId="3" xr:uid="{5F400B68-C22B-4ACE-8E4F-D81F588B337D}"/>
    <cellStyle name="Porcentagem" xfId="1" builtinId="5"/>
    <cellStyle name="Porcentagem 2" xfId="5" xr:uid="{DF2013B3-6703-4556-9FB8-182264506359}"/>
    <cellStyle name="Vírgula" xfId="2" builtinId="3"/>
    <cellStyle name="Vírgula 2" xfId="4" xr:uid="{0A308AB5-A50C-471A-B734-35CE5405ACBF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1" defaultTableStyle="TableStyleMedium9">
    <tableStyle name="Invisible" pivot="0" table="0" count="0" xr9:uid="{D1DB86E5-0BE0-41D9-9450-A06BD0828A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'Curva Dem. Base Completa'!$N$57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33222419072615922"/>
                  <c:y val="2.78692767570720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643022747156607"/>
                  <c:y val="-1.69294983960338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8604131005363462"/>
                  <c:y val="-0.124127296587926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'Curva Dem. Base Completa'!$M$58:$M$63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50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'Curva Dem. Base Completa'!$N$58:$N$63</c:f>
              <c:numCache>
                <c:formatCode>0%</c:formatCode>
                <c:ptCount val="6"/>
                <c:pt idx="0">
                  <c:v>1</c:v>
                </c:pt>
                <c:pt idx="1">
                  <c:v>0.64</c:v>
                </c:pt>
                <c:pt idx="2">
                  <c:v>0.56000000000000005</c:v>
                </c:pt>
                <c:pt idx="3">
                  <c:v>0.5</c:v>
                </c:pt>
                <c:pt idx="4">
                  <c:v>0.2</c:v>
                </c:pt>
                <c:pt idx="5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4B-4685-88FA-720646312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3856"/>
        <c:axId val="1080263440"/>
      </c:scatterChart>
      <c:valAx>
        <c:axId val="10802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Preço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440"/>
        <c:crosses val="autoZero"/>
        <c:crossBetween val="midCat"/>
      </c:valAx>
      <c:valAx>
        <c:axId val="10802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'Curva Demanda Grupo 2'!$N$11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33222419072615922"/>
                  <c:y val="2.78692767570720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643022747156607"/>
                  <c:y val="-1.69294983960338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2287964004499436"/>
                  <c:y val="-3.345134929651467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'Curva Demanda Grupo 2'!$M$12:$M$17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50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'Curva Demanda Grupo 2'!$N$12:$N$17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0.25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B2-4F7E-9EA6-CF612213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3856"/>
        <c:axId val="1080263440"/>
      </c:scatterChart>
      <c:valAx>
        <c:axId val="10802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Preço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440"/>
        <c:crosses val="autoZero"/>
        <c:crossBetween val="midCat"/>
      </c:valAx>
      <c:valAx>
        <c:axId val="10802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'Curva Demanda Grupo 3'!$N$12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33222419072615922"/>
                  <c:y val="2.78692767570720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643022747156607"/>
                  <c:y val="-1.69294983960338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6872488063816707"/>
                  <c:y val="-3.54480169145523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'Curva Demanda Grupo 3'!$M$13:$M$18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50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'Curva Demanda Grupo 3'!$N$13:$N$18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10-44D1-B2F4-95D2ABF8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3856"/>
        <c:axId val="1080263440"/>
      </c:scatterChart>
      <c:valAx>
        <c:axId val="10802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Preço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440"/>
        <c:crosses val="autoZero"/>
        <c:crossBetween val="midCat"/>
      </c:valAx>
      <c:valAx>
        <c:axId val="10802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'Demanda Grupo 3 - Preço Segment'!$N$12</c:f>
              <c:strCache>
                <c:ptCount val="1"/>
                <c:pt idx="0">
                  <c:v>Quantidade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33222419072615922"/>
                  <c:y val="2.78692767570720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643022747156607"/>
                  <c:y val="-1.69294983960338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'Demanda Grupo 3 - Preço Segment'!$M$13:$M$18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50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</c:numCache>
            </c:numRef>
          </c:xVal>
          <c:yVal>
            <c:numRef>
              <c:f>'Demanda Grupo 3 - Preço Segment'!$N$13:$N$18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99-4E10-B90E-D7BE93CD6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263856"/>
        <c:axId val="1080263440"/>
      </c:scatterChart>
      <c:valAx>
        <c:axId val="108026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440"/>
        <c:crosses val="autoZero"/>
        <c:crossBetween val="midCat"/>
      </c:valAx>
      <c:valAx>
        <c:axId val="10802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026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Distribuição do Lucro - 1000 Cenários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pt-BR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Distribuição do Lucro - 1000 Cenários</a:t>
          </a:r>
        </a:p>
      </cx:txPr>
    </cx:title>
    <cx:plotArea>
      <cx:plotAreaRegion>
        <cx:series layoutId="clusteredColumn" uniqueId="{FFA24528-406E-4976-B9CF-E7F764161A2F}" formatIdx="0">
          <cx:tx>
            <cx:txData>
              <cx:f>_xlchart.v1.0</cx:f>
              <cx:v>lucro</cx:v>
            </cx:txData>
          </cx:tx>
          <cx:spPr>
            <a:solidFill>
              <a:srgbClr val="986F07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/>
                </a:pPr>
                <a:endParaRPr lang="pt-BR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50"/>
            </a:pPr>
            <a:endParaRPr lang="pt-BR" sz="105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 hidden="1">
        <cx:valScaling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Distribuição do Lucro - 1000 Cenários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pt-BR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Distribuição do Lucro - 1000 Cenários</a:t>
          </a:r>
        </a:p>
      </cx:txPr>
    </cx:title>
    <cx:plotArea>
      <cx:plotAreaRegion>
        <cx:series layoutId="clusteredColumn" uniqueId="{FFA24528-406E-4976-B9CF-E7F764161A2F}" formatIdx="0">
          <cx:tx>
            <cx:txData>
              <cx:f>_xlchart.v1.2</cx:f>
              <cx:v>lucro</cx:v>
            </cx:txData>
          </cx:tx>
          <cx:spPr>
            <a:solidFill>
              <a:srgbClr val="986F07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/>
                </a:pPr>
                <a:endParaRPr lang="pt-BR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50"/>
            </a:pPr>
            <a:endParaRPr lang="pt-BR" sz="105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 hidden="1">
        <cx:valScaling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776287</xdr:colOff>
      <xdr:row>63</xdr:row>
      <xdr:rowOff>214313</xdr:rowOff>
    </xdr:from>
    <xdr:to>
      <xdr:col>10</xdr:col>
      <xdr:colOff>1166812</xdr:colOff>
      <xdr:row>66</xdr:row>
      <xdr:rowOff>61913</xdr:rowOff>
    </xdr:to>
    <xdr:sp macro="" textlink="">
      <xdr:nvSpPr>
        <xdr:cNvPr id="2" name="Texto Explicativo: Linha 1">
          <a:extLst>
            <a:ext uri="{FF2B5EF4-FFF2-40B4-BE49-F238E27FC236}">
              <a16:creationId xmlns:a16="http://schemas.microsoft.com/office/drawing/2014/main" id="{00998153-F0B6-AB3A-1234-94C5A8A9C0CC}"/>
            </a:ext>
          </a:extLst>
        </xdr:cNvPr>
        <xdr:cNvSpPr/>
      </xdr:nvSpPr>
      <xdr:spPr>
        <a:xfrm>
          <a:off x="11920537" y="12406313"/>
          <a:ext cx="1628775" cy="609600"/>
        </a:xfrm>
        <a:prstGeom prst="borderCallout1">
          <a:avLst>
            <a:gd name="adj1" fmla="val 18750"/>
            <a:gd name="adj2" fmla="val -8333"/>
            <a:gd name="adj3" fmla="val 40234"/>
            <a:gd name="adj4" fmla="val -412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Valor a ser minimizado pelo Solver/Evolutionary.</a:t>
          </a:r>
        </a:p>
      </xdr:txBody>
    </xdr:sp>
    <xdr:clientData/>
  </xdr:twoCellAnchor>
  <xdr:twoCellAnchor>
    <xdr:from>
      <xdr:col>7</xdr:col>
      <xdr:colOff>166688</xdr:colOff>
      <xdr:row>51</xdr:row>
      <xdr:rowOff>119063</xdr:rowOff>
    </xdr:from>
    <xdr:to>
      <xdr:col>8</xdr:col>
      <xdr:colOff>595313</xdr:colOff>
      <xdr:row>55</xdr:row>
      <xdr:rowOff>100013</xdr:rowOff>
    </xdr:to>
    <xdr:sp macro="" textlink="">
      <xdr:nvSpPr>
        <xdr:cNvPr id="3" name="Texto Explicativo: Linha 2">
          <a:extLst>
            <a:ext uri="{FF2B5EF4-FFF2-40B4-BE49-F238E27FC236}">
              <a16:creationId xmlns:a16="http://schemas.microsoft.com/office/drawing/2014/main" id="{32A16ECB-6D46-4F86-AA60-5509DAA2F62E}"/>
            </a:ext>
          </a:extLst>
        </xdr:cNvPr>
        <xdr:cNvSpPr/>
      </xdr:nvSpPr>
      <xdr:spPr>
        <a:xfrm>
          <a:off x="8834438" y="9834563"/>
          <a:ext cx="1666875" cy="742950"/>
        </a:xfrm>
        <a:prstGeom prst="borderCallout1">
          <a:avLst>
            <a:gd name="adj1" fmla="val 18750"/>
            <a:gd name="adj2" fmla="val -8333"/>
            <a:gd name="adj3" fmla="val 118630"/>
            <a:gd name="adj4" fmla="val -37980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Células variáveis do modelo</a:t>
          </a:r>
          <a:r>
            <a:rPr lang="pt-BR" sz="1100" baseline="0"/>
            <a:t> Solver/Evolutionary</a:t>
          </a:r>
          <a:endParaRPr lang="pt-BR" sz="1100"/>
        </a:p>
      </xdr:txBody>
    </xdr:sp>
    <xdr:clientData/>
  </xdr:twoCellAnchor>
  <xdr:twoCellAnchor>
    <xdr:from>
      <xdr:col>8</xdr:col>
      <xdr:colOff>1107280</xdr:colOff>
      <xdr:row>49</xdr:row>
      <xdr:rowOff>83345</xdr:rowOff>
    </xdr:from>
    <xdr:to>
      <xdr:col>12</xdr:col>
      <xdr:colOff>571499</xdr:colOff>
      <xdr:row>62</xdr:row>
      <xdr:rowOff>226219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10463128-94C8-0B50-E193-814C527E00A0}"/>
            </a:ext>
          </a:extLst>
        </xdr:cNvPr>
        <xdr:cNvSpPr txBox="1"/>
      </xdr:nvSpPr>
      <xdr:spPr>
        <a:xfrm>
          <a:off x="11013280" y="9417845"/>
          <a:ext cx="4417219" cy="26193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Modelo</a:t>
          </a:r>
          <a:r>
            <a:rPr lang="pt-BR" sz="1100" baseline="0"/>
            <a:t> de agrupamento para solução através de otimização por algoritmo genético:  </a:t>
          </a:r>
        </a:p>
        <a:p>
          <a:endParaRPr lang="pt-BR" sz="1100" baseline="0"/>
        </a:p>
        <a:p>
          <a:r>
            <a:rPr lang="pt-BR" sz="1100"/>
            <a:t> - Escolha</a:t>
          </a:r>
          <a:r>
            <a:rPr lang="pt-BR" sz="1100" baseline="0"/>
            <a:t> da  variáveis para aplicação no modelo de agrupamento;</a:t>
          </a:r>
        </a:p>
        <a:p>
          <a:r>
            <a:rPr lang="pt-BR" sz="1100" baseline="0"/>
            <a:t> - Definição do número de grupos;</a:t>
          </a:r>
        </a:p>
        <a:p>
          <a:r>
            <a:rPr lang="pt-BR" sz="1100" baseline="0"/>
            <a:t> - Escolha aleatória de amostras para inclusão do primeiro indivíduo em cada grupo;</a:t>
          </a:r>
        </a:p>
        <a:p>
          <a:r>
            <a:rPr lang="pt-BR" sz="1100" baseline="0"/>
            <a:t> - Cálculo das distâncias entre cada indivíduo e os indivíduos iniciais de cada grupo;</a:t>
          </a:r>
        </a:p>
        <a:p>
          <a:r>
            <a:rPr lang="pt-BR" sz="1100" baseline="0"/>
            <a:t> - Indivíduo é alocado ao grupo para o qual o indivíduo inicial possui a menor distância para com ele;</a:t>
          </a:r>
        </a:p>
        <a:p>
          <a:r>
            <a:rPr lang="pt-BR" sz="1100" baseline="0"/>
            <a:t> - Aplicar algoritmo genético (solver/evolutionary) para selecionar o indivíduo inicial de cada grupo de forma a minimizar a distância total de todas as 50 amostras.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326571</xdr:colOff>
      <xdr:row>21</xdr:row>
      <xdr:rowOff>47623</xdr:rowOff>
    </xdr:from>
    <xdr:to>
      <xdr:col>5</xdr:col>
      <xdr:colOff>1142999</xdr:colOff>
      <xdr:row>40</xdr:row>
      <xdr:rowOff>40821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A1A036-A1C4-413A-B013-B75A47FC9C49}"/>
            </a:ext>
          </a:extLst>
        </xdr:cNvPr>
        <xdr:cNvSpPr txBox="1"/>
      </xdr:nvSpPr>
      <xdr:spPr>
        <a:xfrm>
          <a:off x="326571" y="4048123"/>
          <a:ext cx="7756071" cy="36126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0"/>
            <a:t>O algoritmo</a:t>
          </a:r>
          <a:r>
            <a:rPr lang="pt-BR" sz="1600" b="0" baseline="0"/>
            <a:t> de agrupamento permitiu identifcar padrões de perfil social e geográfico associados ao grau de propensão a pagar.</a:t>
          </a:r>
        </a:p>
        <a:p>
          <a:endParaRPr lang="pt-BR" sz="1600" b="0" baseline="0"/>
        </a:p>
        <a:p>
          <a:r>
            <a:rPr lang="pt-BR" sz="1600" b="0" baseline="0"/>
            <a:t>O grupo 3 sugere ser o mais promissor para o o objetivo de maximização de lucro, escopo deste trabalho.</a:t>
          </a:r>
        </a:p>
        <a:p>
          <a:endParaRPr lang="pt-BR" sz="1600" b="0" baseline="0"/>
        </a:p>
        <a:p>
          <a:r>
            <a:rPr lang="pt-BR" sz="1600" b="0" baseline="0"/>
            <a:t>A curva de demanda será calculada para este segmento e o preço otimizado será comparado com aquele decorrente da curva calculada sobre toda a base de dados, ou seja, sem segmentação.</a:t>
          </a:r>
        </a:p>
        <a:p>
          <a:endParaRPr lang="pt-BR" sz="1600" b="0"/>
        </a:p>
        <a:p>
          <a:r>
            <a:rPr lang="pt-BR" sz="1600" b="0"/>
            <a:t>Mantidos demais parâmetros constantes, este experimento avaliará se o potencial de aumento da</a:t>
          </a:r>
          <a:r>
            <a:rPr lang="pt-BR" sz="1600" b="0" baseline="0"/>
            <a:t> lucratividade esperada do produto a partir da otimização dos preço se verifica ao aplicar a segmentação.</a:t>
          </a:r>
          <a:endParaRPr lang="pt-BR" sz="16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51</xdr:row>
      <xdr:rowOff>100012</xdr:rowOff>
    </xdr:from>
    <xdr:to>
      <xdr:col>22</xdr:col>
      <xdr:colOff>266700</xdr:colOff>
      <xdr:row>65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8B6554D-EF02-4494-8F59-274528EAA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7</xdr:row>
      <xdr:rowOff>4761</xdr:rowOff>
    </xdr:from>
    <xdr:to>
      <xdr:col>19</xdr:col>
      <xdr:colOff>899583</xdr:colOff>
      <xdr:row>22</xdr:row>
      <xdr:rowOff>21166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EAEA4BE-DE8D-408E-87FD-577395C1B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542924</xdr:colOff>
      <xdr:row>6</xdr:row>
      <xdr:rowOff>100011</xdr:rowOff>
    </xdr:from>
    <xdr:to>
      <xdr:col>19</xdr:col>
      <xdr:colOff>931332</xdr:colOff>
      <xdr:row>23</xdr:row>
      <xdr:rowOff>84667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012EE9-6C99-4424-A32D-2434E2FC9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1190625</xdr:colOff>
      <xdr:row>7</xdr:row>
      <xdr:rowOff>111125</xdr:rowOff>
    </xdr:from>
    <xdr:to>
      <xdr:col>27</xdr:col>
      <xdr:colOff>1072131</xdr:colOff>
      <xdr:row>30</xdr:row>
      <xdr:rowOff>125414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8CB35139-3B5F-4C3F-8F7B-27B70BB758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21900" y="1768475"/>
              <a:ext cx="8787381" cy="43957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1190625</xdr:colOff>
      <xdr:row>7</xdr:row>
      <xdr:rowOff>111125</xdr:rowOff>
    </xdr:from>
    <xdr:to>
      <xdr:col>27</xdr:col>
      <xdr:colOff>1072131</xdr:colOff>
      <xdr:row>30</xdr:row>
      <xdr:rowOff>125414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32F7722E-818F-42E6-A888-51F87FE75D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118550" y="1768475"/>
              <a:ext cx="8787381" cy="43957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561975</xdr:colOff>
      <xdr:row>5</xdr:row>
      <xdr:rowOff>176212</xdr:rowOff>
    </xdr:from>
    <xdr:to>
      <xdr:col>22</xdr:col>
      <xdr:colOff>285750</xdr:colOff>
      <xdr:row>20</xdr:row>
      <xdr:rowOff>61912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BFADFB-F40A-42B0-9B11-94330FE52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Amaral" refreshedDate="44953.692716666665" createdVersion="8" refreshedVersion="8" minRefreshableVersion="3" recordCount="50" xr:uid="{9D03B0A3-9B83-4DA1-A300-B2A25E138D6D}">
  <cacheSource type="worksheet">
    <worksheetSource ref="A2:Q52" sheet="Result. Pesq. Campo"/>
  </cacheSource>
  <cacheFields count="17">
    <cacheField name="Item" numFmtId="0">
      <sharedItems containsSemiMixedTypes="0" containsString="0" containsNumber="1" containsInteger="1" minValue="1" maxValue="50"/>
    </cacheField>
    <cacheField name="O conteúdo deste tutorial é interessante para você?" numFmtId="0">
      <sharedItems/>
    </cacheField>
    <cacheField name="Escolha por favor o tópico do tutorial que mais lhe interessaria aprender" numFmtId="0">
      <sharedItems containsBlank="1" count="7">
        <s v="Trabalhar com a ferramenta de otimização do Excel (Solver) para calcular quanto investir em cada ativo para maximizar a relação retorno/risco da carte"/>
        <s v="Aplicar técnicas de estimação do retorno esperado dos ativos, especialmente, algorítimo de aprendizagem de máquina (regressão) em Excel"/>
        <s v="Trabalhar com ambiente Home Broker, plataforma de negociação das corretoras de valores"/>
        <s v="Automatizar a rotina de atualização e de preparação dos dados, que estarão sempre prontos a cada inclusão de novos dados do site fonte"/>
        <m/>
        <s v="Utilizar ferramentas do Excel para obter dados históricos de ações e quaisquer outros ativos  disponíveis gratuitamente na internet"/>
        <s v="Usar o Excel para calcular o risco da carteira levando em conta a correlação dos ativos escolhidos, aspecto fundamental para uma boa diversificação de"/>
      </sharedItems>
    </cacheField>
    <cacheField name="Qual dos formatos abaixo você preferiria para aprender o assunto?" numFmtId="0">
      <sharedItems containsBlank="1"/>
    </cacheField>
    <cacheField name="Supondo que lhe fosse oferecido o conteúdo no formato E Book  e que ele custasse R$ 80,00. Você compraria?" numFmtId="0">
      <sharedItems containsBlank="1"/>
    </cacheField>
    <cacheField name="Se o E Book custasse R$ 100,00 você compraria?" numFmtId="0">
      <sharedItems containsBlank="1"/>
    </cacheField>
    <cacheField name="Se o E Book custasse R$ 50,00 você compraria?" numFmtId="0">
      <sharedItems containsBlank="1"/>
    </cacheField>
    <cacheField name="Se o E Book custasse R$ 30,00 você compraria?" numFmtId="0">
      <sharedItems containsBlank="1"/>
    </cacheField>
    <cacheField name="Se o E Book custasse R$ 120,00 você compraria?" numFmtId="0">
      <sharedItems containsBlank="1"/>
    </cacheField>
    <cacheField name="Quais são as razões fazem o produto lhe ser pouco atraente?" numFmtId="0">
      <sharedItems containsBlank="1"/>
    </cacheField>
    <cacheField name="Sexo" numFmtId="0">
      <sharedItems count="2">
        <s v="Masculino"/>
        <s v="Feminino"/>
      </sharedItems>
    </cacheField>
    <cacheField name="Idade" numFmtId="0">
      <sharedItems containsSemiMixedTypes="0" containsString="0" containsNumber="1" containsInteger="1" minValue="25" maxValue="77"/>
    </cacheField>
    <cacheField name="Região" numFmtId="0">
      <sharedItems count="5">
        <s v="Sudeste"/>
        <s v="Sul"/>
        <s v="Nordeste"/>
        <s v="Centro-Oeste"/>
        <s v="Norte"/>
      </sharedItems>
    </cacheField>
    <cacheField name="Classe Social" numFmtId="0">
      <sharedItems count="2">
        <s v="B"/>
        <s v="A"/>
      </sharedItems>
    </cacheField>
    <cacheField name="WTP Máx" numFmtId="0">
      <sharedItems containsSemiMixedTypes="0" containsString="0" containsNumber="1" containsInteger="1" minValue="0" maxValue="120"/>
    </cacheField>
    <cacheField name="Grupo" numFmtId="0">
      <sharedItems containsSemiMixedTypes="0" containsString="0" containsNumber="1" containsInteger="1" minValue="1" maxValue="5" count="5">
        <n v="5"/>
        <n v="3"/>
        <n v="1"/>
        <n v="4"/>
        <n v="2"/>
      </sharedItems>
    </cacheField>
    <cacheField name="Idade Categórica" numFmtId="0">
      <sharedItems count="4">
        <s v="até 35 anos"/>
        <s v="entre 36 e 40 anos"/>
        <s v="entre 40 e  50 anos"/>
        <s v="maior do que 50 ano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s v="Sim"/>
    <x v="0"/>
    <s v="Vídeo Aulas"/>
    <s v="Não"/>
    <m/>
    <s v="Não"/>
    <s v="Não"/>
    <m/>
    <s v="Outros: Acho vídeo aula mais interessante"/>
    <x v="0"/>
    <n v="35"/>
    <x v="0"/>
    <x v="0"/>
    <n v="0"/>
    <x v="0"/>
    <x v="0"/>
  </r>
  <r>
    <n v="2"/>
    <s v="Sim"/>
    <x v="1"/>
    <s v="Vídeo Aulas"/>
    <s v="Não"/>
    <m/>
    <s v="Não"/>
    <s v="Não"/>
    <m/>
    <s v="Conteúdo me parece muito técnico."/>
    <x v="0"/>
    <n v="37"/>
    <x v="1"/>
    <x v="1"/>
    <n v="0"/>
    <x v="0"/>
    <x v="1"/>
  </r>
  <r>
    <n v="3"/>
    <s v="Sim"/>
    <x v="1"/>
    <s v="Curso à distância"/>
    <s v="Não"/>
    <m/>
    <s v="Não"/>
    <s v="Não"/>
    <m/>
    <s v="Outros: Não disponível fisicamente"/>
    <x v="0"/>
    <n v="34"/>
    <x v="2"/>
    <x v="0"/>
    <n v="0"/>
    <x v="0"/>
    <x v="0"/>
  </r>
  <r>
    <n v="4"/>
    <s v="Talvez"/>
    <x v="2"/>
    <s v="Apostila PDF"/>
    <s v="Não"/>
    <m/>
    <s v="Não"/>
    <s v="Não"/>
    <m/>
    <s v="Não me interesso no momento por investimentos."/>
    <x v="0"/>
    <n v="27"/>
    <x v="0"/>
    <x v="0"/>
    <n v="0"/>
    <x v="0"/>
    <x v="0"/>
  </r>
  <r>
    <n v="5"/>
    <s v="Sim"/>
    <x v="0"/>
    <s v="Vídeo Aulas"/>
    <s v="Sim"/>
    <s v="Sim"/>
    <m/>
    <m/>
    <s v="Não"/>
    <m/>
    <x v="0"/>
    <n v="39"/>
    <x v="0"/>
    <x v="0"/>
    <n v="100"/>
    <x v="1"/>
    <x v="1"/>
  </r>
  <r>
    <n v="6"/>
    <s v="Sim"/>
    <x v="2"/>
    <s v="Curso à distância"/>
    <s v="Sim"/>
    <s v="Não"/>
    <m/>
    <m/>
    <m/>
    <m/>
    <x v="0"/>
    <n v="42"/>
    <x v="0"/>
    <x v="0"/>
    <n v="80"/>
    <x v="1"/>
    <x v="2"/>
  </r>
  <r>
    <n v="7"/>
    <s v="Talvez"/>
    <x v="2"/>
    <s v="Vídeo Aulas"/>
    <s v="Não"/>
    <m/>
    <s v="Sim"/>
    <m/>
    <m/>
    <m/>
    <x v="0"/>
    <n v="34"/>
    <x v="0"/>
    <x v="0"/>
    <n v="50"/>
    <x v="0"/>
    <x v="0"/>
  </r>
  <r>
    <n v="8"/>
    <s v="Sim"/>
    <x v="3"/>
    <s v="Vídeo Aulas"/>
    <s v="Não"/>
    <m/>
    <s v="Não"/>
    <s v="Não"/>
    <m/>
    <s v="Outros: Prefiro vídeo aulas"/>
    <x v="0"/>
    <n v="29"/>
    <x v="1"/>
    <x v="0"/>
    <n v="0"/>
    <x v="0"/>
    <x v="0"/>
  </r>
  <r>
    <n v="9"/>
    <s v="Sim"/>
    <x v="0"/>
    <s v="Vídeo Aulas"/>
    <s v="Sim"/>
    <s v="Não"/>
    <m/>
    <m/>
    <m/>
    <m/>
    <x v="0"/>
    <n v="33"/>
    <x v="0"/>
    <x v="0"/>
    <n v="80"/>
    <x v="1"/>
    <x v="0"/>
  </r>
  <r>
    <n v="10"/>
    <s v="Não"/>
    <x v="4"/>
    <m/>
    <m/>
    <m/>
    <m/>
    <m/>
    <m/>
    <s v="Outros: Sou assessor de investimentos"/>
    <x v="0"/>
    <n v="35"/>
    <x v="3"/>
    <x v="0"/>
    <n v="0"/>
    <x v="0"/>
    <x v="0"/>
  </r>
  <r>
    <n v="11"/>
    <s v="Sim"/>
    <x v="0"/>
    <s v="Vídeo Aulas"/>
    <s v="Sim"/>
    <s v="Sim"/>
    <m/>
    <m/>
    <s v="Não"/>
    <m/>
    <x v="0"/>
    <n v="45"/>
    <x v="0"/>
    <x v="0"/>
    <n v="100"/>
    <x v="1"/>
    <x v="2"/>
  </r>
  <r>
    <n v="12"/>
    <s v="Sim"/>
    <x v="5"/>
    <s v="Apostila PDF"/>
    <s v="Sim"/>
    <s v="Não"/>
    <m/>
    <m/>
    <m/>
    <m/>
    <x v="0"/>
    <n v="50"/>
    <x v="0"/>
    <x v="0"/>
    <n v="80"/>
    <x v="1"/>
    <x v="2"/>
  </r>
  <r>
    <n v="13"/>
    <s v="Sim"/>
    <x v="5"/>
    <s v="Apostila PDF"/>
    <s v="Sim"/>
    <s v="Sim"/>
    <m/>
    <m/>
    <s v="Sim"/>
    <m/>
    <x v="0"/>
    <n v="46"/>
    <x v="0"/>
    <x v="0"/>
    <n v="120"/>
    <x v="1"/>
    <x v="2"/>
  </r>
  <r>
    <n v="14"/>
    <s v="Sim"/>
    <x v="3"/>
    <s v="Vídeo Aulas"/>
    <s v="Sim"/>
    <s v="Não"/>
    <m/>
    <m/>
    <m/>
    <m/>
    <x v="0"/>
    <n v="42"/>
    <x v="2"/>
    <x v="0"/>
    <n v="80"/>
    <x v="1"/>
    <x v="2"/>
  </r>
  <r>
    <n v="15"/>
    <s v="Sim"/>
    <x v="6"/>
    <s v="Curso presencial com computadores individualizados"/>
    <s v="Sim"/>
    <s v="Sim"/>
    <m/>
    <m/>
    <s v="Não"/>
    <m/>
    <x v="0"/>
    <n v="44"/>
    <x v="1"/>
    <x v="0"/>
    <n v="100"/>
    <x v="1"/>
    <x v="2"/>
  </r>
  <r>
    <n v="16"/>
    <s v="Sim"/>
    <x v="5"/>
    <s v="Apostila PDF"/>
    <s v="Não"/>
    <m/>
    <s v="Não"/>
    <s v="Não"/>
    <m/>
    <s v="Utilizo consultor financeiro."/>
    <x v="0"/>
    <n v="64"/>
    <x v="0"/>
    <x v="0"/>
    <n v="0"/>
    <x v="2"/>
    <x v="3"/>
  </r>
  <r>
    <n v="17"/>
    <s v="Sim"/>
    <x v="0"/>
    <s v="Vídeo Aulas"/>
    <s v="Não"/>
    <m/>
    <s v="Não"/>
    <s v="Não"/>
    <m/>
    <s v="Outros: Prefiro materiais em vídeo."/>
    <x v="0"/>
    <n v="29"/>
    <x v="0"/>
    <x v="0"/>
    <n v="0"/>
    <x v="0"/>
    <x v="0"/>
  </r>
  <r>
    <n v="18"/>
    <s v="Sim"/>
    <x v="0"/>
    <s v="Curso à distância"/>
    <s v="Sim"/>
    <s v="Não"/>
    <m/>
    <m/>
    <m/>
    <m/>
    <x v="0"/>
    <n v="53"/>
    <x v="2"/>
    <x v="0"/>
    <n v="80"/>
    <x v="1"/>
    <x v="3"/>
  </r>
  <r>
    <n v="19"/>
    <s v="Sim"/>
    <x v="2"/>
    <s v="Vídeo Aulas"/>
    <s v="Sim"/>
    <s v="Não"/>
    <m/>
    <m/>
    <m/>
    <m/>
    <x v="0"/>
    <n v="36"/>
    <x v="4"/>
    <x v="0"/>
    <n v="80"/>
    <x v="1"/>
    <x v="1"/>
  </r>
  <r>
    <n v="20"/>
    <s v="Talvez"/>
    <x v="0"/>
    <s v="Curso à distância"/>
    <s v="Sim"/>
    <s v="Sim"/>
    <m/>
    <m/>
    <s v="Não"/>
    <m/>
    <x v="0"/>
    <n v="50"/>
    <x v="0"/>
    <x v="0"/>
    <n v="100"/>
    <x v="1"/>
    <x v="2"/>
  </r>
  <r>
    <n v="21"/>
    <s v="Não"/>
    <x v="4"/>
    <m/>
    <m/>
    <m/>
    <m/>
    <m/>
    <m/>
    <s v="Conteúdo me parece muito técnico."/>
    <x v="0"/>
    <n v="69"/>
    <x v="3"/>
    <x v="1"/>
    <n v="0"/>
    <x v="2"/>
    <x v="3"/>
  </r>
  <r>
    <n v="22"/>
    <s v="Sim"/>
    <x v="5"/>
    <s v="E-Book"/>
    <s v="Não"/>
    <m/>
    <s v="Sim"/>
    <m/>
    <m/>
    <m/>
    <x v="0"/>
    <n v="51"/>
    <x v="1"/>
    <x v="1"/>
    <n v="50"/>
    <x v="2"/>
    <x v="3"/>
  </r>
  <r>
    <n v="23"/>
    <s v="Talvez"/>
    <x v="0"/>
    <s v="E-Book"/>
    <s v="Não"/>
    <m/>
    <s v="Não"/>
    <s v="Não"/>
    <m/>
    <s v="Conteúdo me parece muito técnico."/>
    <x v="0"/>
    <n v="62"/>
    <x v="0"/>
    <x v="0"/>
    <n v="0"/>
    <x v="2"/>
    <x v="3"/>
  </r>
  <r>
    <n v="24"/>
    <s v="Sim"/>
    <x v="3"/>
    <s v="Vídeo Aulas"/>
    <s v="Sim"/>
    <s v="Não"/>
    <m/>
    <m/>
    <m/>
    <m/>
    <x v="1"/>
    <n v="39"/>
    <x v="0"/>
    <x v="0"/>
    <n v="80"/>
    <x v="3"/>
    <x v="1"/>
  </r>
  <r>
    <n v="25"/>
    <s v="Sim"/>
    <x v="5"/>
    <s v="Apostila PDF"/>
    <s v="Não"/>
    <m/>
    <s v="Sim"/>
    <m/>
    <m/>
    <m/>
    <x v="1"/>
    <n v="54"/>
    <x v="1"/>
    <x v="0"/>
    <n v="50"/>
    <x v="2"/>
    <x v="3"/>
  </r>
  <r>
    <n v="26"/>
    <s v="Não"/>
    <x v="4"/>
    <m/>
    <m/>
    <m/>
    <m/>
    <m/>
    <m/>
    <s v="Conteúdo me parece muito técnico."/>
    <x v="1"/>
    <n v="29"/>
    <x v="0"/>
    <x v="0"/>
    <n v="0"/>
    <x v="2"/>
    <x v="0"/>
  </r>
  <r>
    <n v="27"/>
    <s v="Sim"/>
    <x v="0"/>
    <s v="Apostila PDF"/>
    <s v="Não"/>
    <m/>
    <s v="Não"/>
    <s v="Não"/>
    <m/>
    <s v="Outros: custo"/>
    <x v="1"/>
    <n v="51"/>
    <x v="0"/>
    <x v="0"/>
    <n v="0"/>
    <x v="2"/>
    <x v="3"/>
  </r>
  <r>
    <n v="28"/>
    <s v="Talvez"/>
    <x v="0"/>
    <s v="Vídeo Aulas"/>
    <s v="Não"/>
    <m/>
    <s v="Não"/>
    <s v="Não"/>
    <m/>
    <s v="Não me interesso no momento por investimentos."/>
    <x v="1"/>
    <n v="33"/>
    <x v="2"/>
    <x v="0"/>
    <n v="0"/>
    <x v="2"/>
    <x v="0"/>
  </r>
  <r>
    <n v="29"/>
    <s v="Sim"/>
    <x v="5"/>
    <s v="Vídeo Aulas"/>
    <s v="Sim"/>
    <s v="Sim"/>
    <m/>
    <m/>
    <s v="Sim"/>
    <m/>
    <x v="1"/>
    <n v="43"/>
    <x v="2"/>
    <x v="0"/>
    <n v="120"/>
    <x v="4"/>
    <x v="2"/>
  </r>
  <r>
    <n v="30"/>
    <s v="Sim"/>
    <x v="5"/>
    <s v="Curso presencial com computadores individualizados"/>
    <s v="Sim"/>
    <s v="Sim"/>
    <m/>
    <m/>
    <s v="Sim"/>
    <m/>
    <x v="1"/>
    <n v="47"/>
    <x v="0"/>
    <x v="0"/>
    <n v="120"/>
    <x v="4"/>
    <x v="2"/>
  </r>
  <r>
    <n v="31"/>
    <s v="Sim"/>
    <x v="5"/>
    <s v="Apostila PDF"/>
    <s v="Não"/>
    <m/>
    <s v="Não"/>
    <s v="Sim"/>
    <m/>
    <m/>
    <x v="1"/>
    <n v="45"/>
    <x v="0"/>
    <x v="1"/>
    <n v="30"/>
    <x v="2"/>
    <x v="2"/>
  </r>
  <r>
    <n v="32"/>
    <s v="Talvez"/>
    <x v="0"/>
    <s v="Curso presencial com computadores individualizados"/>
    <s v="Não"/>
    <m/>
    <s v="Não"/>
    <s v="Não"/>
    <m/>
    <s v="Não me interesso no momento por investimentos."/>
    <x v="1"/>
    <n v="43"/>
    <x v="1"/>
    <x v="0"/>
    <n v="0"/>
    <x v="2"/>
    <x v="2"/>
  </r>
  <r>
    <n v="33"/>
    <s v="Sim"/>
    <x v="3"/>
    <s v="Curso à distância"/>
    <s v="Não"/>
    <m/>
    <s v="Não"/>
    <s v="Sim"/>
    <m/>
    <m/>
    <x v="1"/>
    <n v="33"/>
    <x v="0"/>
    <x v="0"/>
    <n v="30"/>
    <x v="4"/>
    <x v="0"/>
  </r>
  <r>
    <n v="34"/>
    <s v="Talvez"/>
    <x v="5"/>
    <s v="Curso à distância"/>
    <s v="Não"/>
    <m/>
    <s v="Não"/>
    <s v="Não"/>
    <m/>
    <s v="Não me interesso no momento por investimentos."/>
    <x v="1"/>
    <n v="39"/>
    <x v="0"/>
    <x v="0"/>
    <n v="0"/>
    <x v="2"/>
    <x v="1"/>
  </r>
  <r>
    <n v="35"/>
    <s v="Sim"/>
    <x v="6"/>
    <s v="Vídeo Aulas"/>
    <s v="Sim"/>
    <s v="Sim"/>
    <m/>
    <m/>
    <s v="Sim"/>
    <m/>
    <x v="1"/>
    <n v="34"/>
    <x v="0"/>
    <x v="0"/>
    <n v="120"/>
    <x v="4"/>
    <x v="0"/>
  </r>
  <r>
    <n v="36"/>
    <s v="Talvez"/>
    <x v="2"/>
    <s v="E-Book"/>
    <s v="Não"/>
    <m/>
    <s v="Não"/>
    <s v="Sim"/>
    <m/>
    <m/>
    <x v="1"/>
    <n v="31"/>
    <x v="0"/>
    <x v="0"/>
    <n v="30"/>
    <x v="4"/>
    <x v="0"/>
  </r>
  <r>
    <n v="37"/>
    <s v="Sim"/>
    <x v="2"/>
    <s v="Vídeo Aulas"/>
    <s v="Sim"/>
    <s v="Não"/>
    <m/>
    <m/>
    <m/>
    <m/>
    <x v="1"/>
    <n v="37"/>
    <x v="1"/>
    <x v="0"/>
    <n v="80"/>
    <x v="3"/>
    <x v="1"/>
  </r>
  <r>
    <n v="38"/>
    <s v="Não"/>
    <x v="4"/>
    <m/>
    <m/>
    <m/>
    <m/>
    <m/>
    <m/>
    <s v="Conteúdo me parece muito técnico."/>
    <x v="1"/>
    <n v="44"/>
    <x v="0"/>
    <x v="0"/>
    <n v="0"/>
    <x v="2"/>
    <x v="2"/>
  </r>
  <r>
    <n v="39"/>
    <s v="Sim"/>
    <x v="0"/>
    <s v="Vídeo Aulas"/>
    <s v="Não"/>
    <m/>
    <s v="Não"/>
    <s v="Não"/>
    <m/>
    <s v="Confio nas recomendações de meu gerente de banco."/>
    <x v="1"/>
    <n v="77"/>
    <x v="0"/>
    <x v="0"/>
    <n v="0"/>
    <x v="2"/>
    <x v="3"/>
  </r>
  <r>
    <n v="40"/>
    <s v="Sim"/>
    <x v="3"/>
    <s v="E-Book"/>
    <s v="Sim"/>
    <s v="Não"/>
    <m/>
    <m/>
    <m/>
    <m/>
    <x v="1"/>
    <n v="70"/>
    <x v="0"/>
    <x v="0"/>
    <n v="80"/>
    <x v="2"/>
    <x v="3"/>
  </r>
  <r>
    <n v="41"/>
    <s v="Sim"/>
    <x v="3"/>
    <s v="Curso presencial com computadores individualizados"/>
    <s v="Sim"/>
    <s v="Não"/>
    <m/>
    <m/>
    <m/>
    <m/>
    <x v="1"/>
    <n v="25"/>
    <x v="0"/>
    <x v="0"/>
    <n v="80"/>
    <x v="4"/>
    <x v="0"/>
  </r>
  <r>
    <n v="42"/>
    <s v="Sim"/>
    <x v="3"/>
    <s v="Vídeo Aulas"/>
    <s v="Sim"/>
    <s v="Não"/>
    <m/>
    <m/>
    <m/>
    <m/>
    <x v="1"/>
    <n v="25"/>
    <x v="1"/>
    <x v="0"/>
    <n v="80"/>
    <x v="4"/>
    <x v="0"/>
  </r>
  <r>
    <n v="43"/>
    <s v="Talvez"/>
    <x v="6"/>
    <s v="E-Book"/>
    <s v="Sim"/>
    <s v="Não"/>
    <m/>
    <m/>
    <m/>
    <m/>
    <x v="1"/>
    <n v="37"/>
    <x v="3"/>
    <x v="0"/>
    <n v="80"/>
    <x v="3"/>
    <x v="1"/>
  </r>
  <r>
    <n v="44"/>
    <s v="Sim"/>
    <x v="3"/>
    <s v="Vídeo Aulas"/>
    <s v="Sim"/>
    <s v="Não"/>
    <m/>
    <m/>
    <m/>
    <m/>
    <x v="1"/>
    <n v="51"/>
    <x v="2"/>
    <x v="0"/>
    <n v="80"/>
    <x v="2"/>
    <x v="3"/>
  </r>
  <r>
    <n v="45"/>
    <s v="Sim"/>
    <x v="0"/>
    <s v="Curso à distância"/>
    <s v="Sim"/>
    <s v="Sim"/>
    <m/>
    <m/>
    <s v="Não"/>
    <m/>
    <x v="1"/>
    <n v="53"/>
    <x v="0"/>
    <x v="1"/>
    <n v="100"/>
    <x v="2"/>
    <x v="3"/>
  </r>
  <r>
    <n v="46"/>
    <s v="Sim"/>
    <x v="3"/>
    <s v="Curso presencial com computadores individualizados"/>
    <s v="Não"/>
    <m/>
    <s v="Não"/>
    <s v="Sim"/>
    <m/>
    <m/>
    <x v="1"/>
    <n v="60"/>
    <x v="0"/>
    <x v="0"/>
    <n v="30"/>
    <x v="2"/>
    <x v="3"/>
  </r>
  <r>
    <n v="47"/>
    <s v="Talvez"/>
    <x v="2"/>
    <s v="Curso presencial com computadores individualizados"/>
    <s v="Sim"/>
    <s v="Sim"/>
    <m/>
    <m/>
    <s v="Sim"/>
    <m/>
    <x v="1"/>
    <n v="32"/>
    <x v="4"/>
    <x v="0"/>
    <n v="120"/>
    <x v="4"/>
    <x v="0"/>
  </r>
  <r>
    <n v="48"/>
    <s v="Sim"/>
    <x v="6"/>
    <s v="Curso presencial com computadores individualizados"/>
    <s v="Sim"/>
    <s v="Não"/>
    <m/>
    <m/>
    <m/>
    <m/>
    <x v="1"/>
    <n v="52"/>
    <x v="3"/>
    <x v="0"/>
    <n v="80"/>
    <x v="3"/>
    <x v="3"/>
  </r>
  <r>
    <n v="49"/>
    <s v="Não"/>
    <x v="4"/>
    <m/>
    <m/>
    <m/>
    <m/>
    <m/>
    <m/>
    <s v="Não me interesso no momento por investimentos."/>
    <x v="1"/>
    <n v="62"/>
    <x v="3"/>
    <x v="0"/>
    <n v="0"/>
    <x v="2"/>
    <x v="3"/>
  </r>
  <r>
    <n v="50"/>
    <s v="Talvez"/>
    <x v="0"/>
    <s v="E-Book"/>
    <s v="Sim"/>
    <s v="Não"/>
    <m/>
    <m/>
    <m/>
    <m/>
    <x v="1"/>
    <n v="46"/>
    <x v="3"/>
    <x v="0"/>
    <n v="80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47006-E871-4701-99AB-9370F740763D}" name="Tabela dinâmica1" cacheId="0" applyNumberFormats="0" applyBorderFormats="0" applyFontFormats="0" applyPatternFormats="0" applyAlignmentFormats="0" applyWidthHeightFormats="1" dataCaption="Valores" showMissing="0" updatedVersion="8" minRefreshableVersion="3" itemPrintTitles="1" mergeItem="1" createdVersion="8" indent="0" compact="0" compactData="0" gridDropZones="1">
  <location ref="A6:C13" firstHeaderRow="1" firstDataRow="2" firstDataCol="1" rowPageCount="4" colPageCount="1"/>
  <pivotFields count="17">
    <pivotField dataField="1" compact="0" outline="0" showAll="0"/>
    <pivotField compact="0" outline="0" showAll="0"/>
    <pivotField compact="0" outline="0" showAll="0">
      <items count="8">
        <item x="4"/>
        <item x="0"/>
        <item x="1"/>
        <item x="2"/>
        <item x="3"/>
        <item x="5"/>
        <item x="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 defaultSubtotal="0">
      <items count="2">
        <item x="0"/>
        <item x="1"/>
      </items>
    </pivotField>
    <pivotField compact="0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axis="axisPage" compact="0" outline="0" showAll="0" defaultSubtotal="0">
      <items count="2">
        <item x="1"/>
        <item x="0"/>
      </items>
    </pivotField>
    <pivotField dataField="1" compact="0" outline="0" showAll="0"/>
    <pivotField axis="axisRow" compact="0" outline="0" showAll="0" sortType="ascending">
      <items count="6">
        <item x="2"/>
        <item x="4"/>
        <item x="1"/>
        <item x="3"/>
        <item x="0"/>
        <item t="default" sd="0"/>
      </items>
    </pivotField>
    <pivotField axis="axisPage" compact="0" outline="0" showAll="0" defaultSubtotal="0">
      <items count="4">
        <item x="0"/>
        <item x="1"/>
        <item x="2"/>
        <item x="3"/>
      </items>
    </pivotField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4">
    <pageField fld="10" hier="-1"/>
    <pageField fld="13" hier="-1"/>
    <pageField fld="12" hier="-1"/>
    <pageField fld="16" hier="-1"/>
  </pageFields>
  <dataFields count="2">
    <dataField name="Contagem de Item" fld="0" subtotal="count" baseField="12" baseItem="0"/>
    <dataField name="Média de WTP Máx" fld="14" subtotal="average" baseField="10" baseItem="0" numFmtId="3"/>
  </dataFields>
  <formats count="31">
    <format dxfId="34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0"/>
          </reference>
          <reference field="16" count="0"/>
        </references>
      </pivotArea>
    </format>
    <format dxfId="33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2"/>
          </reference>
          <reference field="16" count="2">
            <x v="1"/>
            <x v="2"/>
          </reference>
        </references>
      </pivotArea>
    </format>
    <format dxfId="32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3"/>
          </reference>
          <reference field="16" count="3">
            <x v="0"/>
            <x v="1"/>
            <x v="3"/>
          </reference>
        </references>
      </pivotArea>
    </format>
    <format dxfId="31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4"/>
          </reference>
          <reference field="16" count="2">
            <x v="1"/>
            <x v="2"/>
          </reference>
        </references>
      </pivotArea>
    </format>
    <format dxfId="30">
      <pivotArea type="origin" dataOnly="0" labelOnly="1" outline="0" offset="C1" fieldPosition="0"/>
    </format>
    <format dxfId="29">
      <pivotArea field="16" type="button" dataOnly="0" labelOnly="1" outline="0" axis="axisPage" fieldPosition="3"/>
    </format>
    <format dxfId="28">
      <pivotArea dataOnly="0" labelOnly="1" outline="0" offset="IV256" fieldPosition="0">
        <references count="1">
          <reference field="15" count="1" defaultSubtotal="1">
            <x v="0"/>
          </reference>
        </references>
      </pivotArea>
    </format>
    <format dxfId="27">
      <pivotArea dataOnly="0" labelOnly="1" outline="0" offset="IV256" fieldPosition="0">
        <references count="1">
          <reference field="15" count="1" defaultSubtotal="1">
            <x v="1"/>
          </reference>
        </references>
      </pivotArea>
    </format>
    <format dxfId="26">
      <pivotArea dataOnly="0" labelOnly="1" outline="0" offset="IV256" fieldPosition="0">
        <references count="1">
          <reference field="15" count="1" defaultSubtotal="1">
            <x v="2"/>
          </reference>
        </references>
      </pivotArea>
    </format>
    <format dxfId="25">
      <pivotArea dataOnly="0" labelOnly="1" outline="0" offset="IV256" fieldPosition="0">
        <references count="1">
          <reference field="15" count="1" defaultSubtotal="1">
            <x v="3"/>
          </reference>
        </references>
      </pivotArea>
    </format>
    <format dxfId="24">
      <pivotArea dataOnly="0" labelOnly="1" outline="0" offset="IV256" fieldPosition="0">
        <references count="1">
          <reference field="15" count="1" defaultSubtotal="1">
            <x v="4"/>
          </reference>
        </references>
      </pivotArea>
    </format>
    <format dxfId="23">
      <pivotArea dataOnly="0" labelOnly="1" grandRow="1" outline="0" offset="IV256" fieldPosition="0"/>
    </format>
    <format dxfId="22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0"/>
          </reference>
          <reference field="16" count="2">
            <x v="1"/>
            <x v="3"/>
          </reference>
        </references>
      </pivotArea>
    </format>
    <format dxfId="21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0"/>
          </reference>
          <reference field="16" count="1">
            <x v="3"/>
          </reference>
        </references>
      </pivotArea>
    </format>
    <format dxfId="20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1"/>
          </reference>
          <reference field="16" count="1">
            <x v="0"/>
          </reference>
        </references>
      </pivotArea>
    </format>
    <format dxfId="19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1"/>
          </reference>
          <reference field="16" count="0"/>
        </references>
      </pivotArea>
    </format>
    <format dxfId="18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2"/>
          </reference>
          <reference field="16" count="3">
            <x v="1"/>
            <x v="2"/>
            <x v="3"/>
          </reference>
        </references>
      </pivotArea>
    </format>
    <format dxfId="17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2"/>
          </reference>
          <reference field="16" count="1">
            <x v="2"/>
          </reference>
        </references>
      </pivotArea>
    </format>
    <format dxfId="16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3"/>
          </reference>
          <reference field="16" count="1">
            <x v="3"/>
          </reference>
        </references>
      </pivotArea>
    </format>
    <format dxfId="15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3"/>
          </reference>
          <reference field="16" count="2">
            <x v="2"/>
            <x v="3"/>
          </reference>
        </references>
      </pivotArea>
    </format>
    <format dxfId="14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4"/>
          </reference>
          <reference field="16" count="2">
            <x v="0"/>
            <x v="1"/>
          </reference>
        </references>
      </pivotArea>
    </format>
    <format dxfId="13">
      <pivotArea dataOnly="0" labelOnly="1" outline="0" fieldPosition="0">
        <references count="3">
          <reference field="10" count="1" selected="0">
            <x v="0"/>
          </reference>
          <reference field="15" count="1" selected="0">
            <x v="0"/>
          </reference>
          <reference field="16" count="1">
            <x v="2"/>
          </reference>
        </references>
      </pivotArea>
    </format>
    <format dxfId="12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2"/>
          </reference>
          <reference field="16" count="1">
            <x v="3"/>
          </reference>
        </references>
      </pivotArea>
    </format>
    <format dxfId="11">
      <pivotArea dataOnly="0" labelOnly="1" outline="0" fieldPosition="0">
        <references count="3">
          <reference field="10" count="1" selected="0">
            <x v="1"/>
          </reference>
          <reference field="15" count="1" selected="0">
            <x v="4"/>
          </reference>
          <reference field="16" count="1">
            <x v="0"/>
          </reference>
        </references>
      </pivotArea>
    </format>
    <format dxfId="10">
      <pivotArea outline="0" fieldPosition="0">
        <references count="3">
          <reference field="10" count="1" selected="0">
            <x v="1"/>
          </reference>
          <reference field="15" count="1" selected="0">
            <x v="0"/>
          </reference>
          <reference field="16" count="1" selected="0">
            <x v="3"/>
          </reference>
        </references>
      </pivotArea>
    </format>
    <format dxfId="9">
      <pivotArea outline="0" fieldPosition="0">
        <references count="3">
          <reference field="10" count="1" selected="0">
            <x v="0"/>
          </reference>
          <reference field="15" count="1" selected="0">
            <x v="2"/>
          </reference>
          <reference field="16" count="1" selected="0">
            <x v="2"/>
          </reference>
        </references>
      </pivotArea>
    </format>
    <format dxfId="8">
      <pivotArea outline="0" fieldPosition="0">
        <references count="3">
          <reference field="10" count="1" selected="0">
            <x v="1"/>
          </reference>
          <reference field="15" count="1" selected="0">
            <x v="1"/>
          </reference>
          <reference field="16" count="1" selected="0">
            <x v="0"/>
          </reference>
        </references>
      </pivotArea>
    </format>
    <format dxfId="7">
      <pivotArea outline="0" collapsedLevelsAreSubtotals="1" fieldPosition="0"/>
    </format>
    <format dxfId="6">
      <pivotArea field="-2" type="button" dataOnly="0" labelOnly="1" outline="0" axis="axisCol" fieldPosition="0"/>
    </format>
    <format dxfId="5">
      <pivotArea type="topRight" dataOnly="0" labelOnly="1" outline="0" fieldPosition="0"/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CC8CDE-7CF1-43B8-938E-185906A7D0C2}" name="Tabela362" displayName="Tabela362" ref="A1:Q51" totalsRowShown="0">
  <autoFilter ref="A1:Q51" xr:uid="{0472DDA1-574B-4100-B9A8-02EDA0A112E1}"/>
  <tableColumns count="17">
    <tableColumn id="1" xr3:uid="{631D8E1C-BE37-4DDA-9275-DE9903AD6D0B}" name="Item"/>
    <tableColumn id="2" xr3:uid="{0AA21AD1-909F-4934-BF81-A3299C65A854}" name="O conteúdo deste tutorial é interessante para você?"/>
    <tableColumn id="3" xr3:uid="{1AC0D28B-5620-48E9-90D0-765F6F33F18C}" name="Escolha por favor o tópico do tutorial que mais lhe interessaria aprender"/>
    <tableColumn id="4" xr3:uid="{2F05B96C-B7F4-4AB6-BEA4-B4D67A5F0582}" name="Qual dos formatos abaixo você preferiria para aprender o assunto?"/>
    <tableColumn id="5" xr3:uid="{80DCCF64-6769-4F50-8BC7-9F80329E15A1}" name="Supondo que lhe fosse oferecido o conteúdo no formato E Book  e que ele custasse R$ 80,00. Você compraria?"/>
    <tableColumn id="6" xr3:uid="{CBE7FBA0-5AE3-4A25-9B4E-758974CBF9DB}" name="Se o E Book custasse R$ 100,00 você compraria?"/>
    <tableColumn id="7" xr3:uid="{ABC4C40C-1E27-4BCF-8B15-728FED3EC3A9}" name="Se o E Book custasse R$ 50,00 você compraria?"/>
    <tableColumn id="8" xr3:uid="{5B395419-CC2B-43B6-A62D-E649023DD21C}" name="Se o E Book custasse R$ 30,00 você compraria?"/>
    <tableColumn id="9" xr3:uid="{373FA7CC-87DF-4341-89E8-43A154EB2788}" name="Se o E Book custasse R$ 120,00 você compraria?"/>
    <tableColumn id="10" xr3:uid="{62B424ED-94E7-49BE-93DE-77E4C7F9A8BF}" name="Quais são as razões fazem o produto lhe ser pouco atraente?"/>
    <tableColumn id="11" xr3:uid="{362F7714-ECC6-42F6-8C53-8396A28E5B55}" name="Sexo"/>
    <tableColumn id="12" xr3:uid="{62B0567F-F409-4621-8961-22B62091911A}" name="Idade"/>
    <tableColumn id="13" xr3:uid="{FFC8A95C-1BA0-4920-BE61-77DF9BAB0947}" name="Região"/>
    <tableColumn id="14" xr3:uid="{EE3BF298-2C79-456E-9EEB-B7693AB4294C}" name="Classe Social"/>
    <tableColumn id="15" xr3:uid="{D954AD99-EA47-491C-A751-B5CBC0AD4261}" name="WTP Máx"/>
    <tableColumn id="16" xr3:uid="{B782BAEF-3C06-4F9E-94AE-72058571A70C}" name="Grupo"/>
    <tableColumn id="17" xr3:uid="{A63B45A1-2A02-4082-857F-90769DA457B7}" name="Idade Categóric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460EB3-46F3-4D9D-AF23-40CE41919D5B}" name="Tabela369" displayName="Tabela369" ref="A1:Q5" totalsRowShown="0">
  <autoFilter ref="A1:Q5" xr:uid="{0472DDA1-574B-4100-B9A8-02EDA0A112E1}"/>
  <tableColumns count="17">
    <tableColumn id="1" xr3:uid="{ADB79374-45B4-417C-AF4C-894F276DE2A2}" name="Item"/>
    <tableColumn id="2" xr3:uid="{C40B8866-07DA-4282-B8C8-4B51FA780298}" name="O conteúdo deste tutorial é interessante para você?"/>
    <tableColumn id="3" xr3:uid="{95340D4A-B382-4B89-91A8-9906DBC58C92}" name="Escolha por favor o tópico do tutorial que mais lhe interessaria aprender"/>
    <tableColumn id="4" xr3:uid="{0F7DEFF1-3614-40E9-A716-323E64F599BC}" name="Qual dos formatos abaixo você preferiria para aprender o assunto?"/>
    <tableColumn id="5" xr3:uid="{CDA15272-A05E-4CE6-A80F-E3EEF01BF557}" name="Supondo que lhe fosse oferecido o conteúdo no formato E Book  e que ele custasse R$ 80,00. Você compraria?"/>
    <tableColumn id="6" xr3:uid="{3E78B326-3697-4551-980A-5EA7D44D1D36}" name="Se o E Book custasse R$ 100,00 você compraria?"/>
    <tableColumn id="7" xr3:uid="{2D4FEC84-3B9A-49EA-8506-603088EC2A0D}" name="Se o E Book custasse R$ 50,00 você compraria?"/>
    <tableColumn id="8" xr3:uid="{462D5F6D-C200-4774-984B-FE2312E94CCD}" name="Se o E Book custasse R$ 30,00 você compraria?"/>
    <tableColumn id="9" xr3:uid="{E7F7906C-2EB4-48E6-BD8E-790413A6AC9F}" name="Se o E Book custasse R$ 120,00 você compraria?"/>
    <tableColumn id="10" xr3:uid="{7488B482-585C-4D3C-A1AA-7392C61879C2}" name="Quais são as razões fazem o produto lhe ser pouco atraente?"/>
    <tableColumn id="11" xr3:uid="{0735E3DB-87ED-475D-949A-E81D9262FE38}" name="Sexo"/>
    <tableColumn id="12" xr3:uid="{9AC0F146-9742-41EA-BAC0-5225FC69A774}" name="Idade"/>
    <tableColumn id="13" xr3:uid="{4323171E-2A22-484B-927C-2CA0439A9B48}" name="Região"/>
    <tableColumn id="14" xr3:uid="{D090EDA8-C5C8-49A5-ACB1-9ADC5F35081E}" name="Classe Social"/>
    <tableColumn id="15" xr3:uid="{87CA5D0B-DB49-4D08-82F6-2C77B268ECDB}" name="WTP Máx"/>
    <tableColumn id="16" xr3:uid="{A7793F73-7877-4DA8-BEC9-010154FB5E0C}" name="Grupo"/>
    <tableColumn id="17" xr3:uid="{F6DC506D-7832-4E31-9DD6-896B8CF3296C}" name="Idade Categórica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72DDA1-574B-4100-B9A8-02EDA0A112E1}" name="Tabela36" displayName="Tabela36" ref="A1:Q6" totalsRowShown="0">
  <autoFilter ref="A1:Q6" xr:uid="{0472DDA1-574B-4100-B9A8-02EDA0A112E1}"/>
  <tableColumns count="17">
    <tableColumn id="1" xr3:uid="{5AC3D515-C0E4-48DC-ACAF-9932840DDF14}" name="Item"/>
    <tableColumn id="2" xr3:uid="{25C44445-09F4-41F6-9083-7E2032B5FF0C}" name="O conteúdo deste tutorial é interessante para você?"/>
    <tableColumn id="3" xr3:uid="{31306B4B-3B3F-4574-B78E-D966C49207A0}" name="Escolha por favor o tópico do tutorial que mais lhe interessaria aprender"/>
    <tableColumn id="4" xr3:uid="{5A929A4E-C7A0-4287-8448-F3CD17771C21}" name="Qual dos formatos abaixo você preferiria para aprender o assunto?"/>
    <tableColumn id="5" xr3:uid="{DA3910AD-7E78-43FB-BA20-001F88C7576B}" name="Supondo que lhe fosse oferecido o conteúdo no formato E Book  e que ele custasse R$ 80,00. Você compraria?"/>
    <tableColumn id="6" xr3:uid="{643B4C24-C3E4-426A-86FC-E211CA11D495}" name="Se o E Book custasse R$ 100,00 você compraria?"/>
    <tableColumn id="7" xr3:uid="{99592AF5-7834-4440-B8E4-FC65343AF243}" name="Se o E Book custasse R$ 50,00 você compraria?"/>
    <tableColumn id="8" xr3:uid="{6568B385-8613-4F1F-B6E1-645AB48EAB14}" name="Se o E Book custasse R$ 30,00 você compraria?"/>
    <tableColumn id="9" xr3:uid="{F00214E5-0A35-4D31-B7E6-FF6A475D5B97}" name="Se o E Book custasse R$ 120,00 você compraria?"/>
    <tableColumn id="10" xr3:uid="{F3205482-2423-4A37-BA16-B8DBC2BEEDEC}" name="Quais são as razões fazem o produto lhe ser pouco atraente?"/>
    <tableColumn id="11" xr3:uid="{2E58F056-5C67-4BF0-A01F-0B3768519B9D}" name="Sexo"/>
    <tableColumn id="12" xr3:uid="{C56FFF20-BE93-4222-9778-B263E4009BDB}" name="Idade"/>
    <tableColumn id="13" xr3:uid="{5F73258C-69EE-4B07-9055-C988D31B5B0A}" name="Região"/>
    <tableColumn id="14" xr3:uid="{CBBF6586-3C54-4150-8866-DF9CC85746DE}" name="Classe Social"/>
    <tableColumn id="15" xr3:uid="{1D2EC922-064F-4BFB-8386-F2CDEB2BFD67}" name="WTP Máx"/>
    <tableColumn id="16" xr3:uid="{9A65C23A-5AFC-488C-98B1-3BF8036DAE08}" name="Grupo"/>
    <tableColumn id="17" xr3:uid="{E1A0AABA-CCDC-4B38-A839-ADB8567577F7}" name="Idade Categóric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4FA3F9-E120-42D4-ABF2-B28BF346EFF1}" name="Tabela363" displayName="Tabela363" ref="A1:Q6" totalsRowShown="0">
  <autoFilter ref="A1:Q6" xr:uid="{0472DDA1-574B-4100-B9A8-02EDA0A112E1}"/>
  <tableColumns count="17">
    <tableColumn id="1" xr3:uid="{0E59DE35-3A9A-4A47-B0A8-9D26423B5E1C}" name="Item"/>
    <tableColumn id="2" xr3:uid="{4F53E32F-8ED9-49CB-8A6D-751A9A2FFF19}" name="O conteúdo deste tutorial é interessante para você?"/>
    <tableColumn id="3" xr3:uid="{C0B6D4FC-EBF3-4E77-BADE-36DC4BAB2464}" name="Escolha por favor o tópico do tutorial que mais lhe interessaria aprender"/>
    <tableColumn id="4" xr3:uid="{3D763732-9428-45AD-A3F3-1897D4ECC543}" name="Qual dos formatos abaixo você preferiria para aprender o assunto?"/>
    <tableColumn id="5" xr3:uid="{BD821681-153C-43EA-B899-D8456C976269}" name="Supondo que lhe fosse oferecido o conteúdo no formato E Book  e que ele custasse R$ 80,00. Você compraria?"/>
    <tableColumn id="6" xr3:uid="{D9C5FA6E-F9AA-44A9-B559-762A2829820F}" name="Se o E Book custasse R$ 100,00 você compraria?"/>
    <tableColumn id="7" xr3:uid="{D0F7CA58-C06A-45F8-9E86-532D2800E891}" name="Se o E Book custasse R$ 50,00 você compraria?"/>
    <tableColumn id="8" xr3:uid="{13668088-4217-478F-8D89-27EBC3BA94DD}" name="Se o E Book custasse R$ 30,00 você compraria?"/>
    <tableColumn id="9" xr3:uid="{9EB8B435-27E9-445E-A1E9-33DDD8644020}" name="Se o E Book custasse R$ 120,00 você compraria?"/>
    <tableColumn id="10" xr3:uid="{B3EBF725-9391-4E80-9F88-3D22545368BA}" name="Quais são as razões fazem o produto lhe ser pouco atraente?"/>
    <tableColumn id="11" xr3:uid="{F8F908F3-F829-43FE-9CFA-7910B1A9498B}" name="Sexo"/>
    <tableColumn id="12" xr3:uid="{026F1214-ED4C-4BA4-BEE8-1324F62ED014}" name="Idade"/>
    <tableColumn id="13" xr3:uid="{3792FDDB-4411-44EB-82CE-4BF64E17AB34}" name="Região"/>
    <tableColumn id="14" xr3:uid="{64B98BEF-C646-41F5-AB30-8BDC679C9E34}" name="Classe Social"/>
    <tableColumn id="15" xr3:uid="{90D44B29-6097-403F-A16D-1B61531DFA54}" name="WTP Máx"/>
    <tableColumn id="16" xr3:uid="{D2BC3F82-1866-4736-9F47-72C88F248E0E}" name="Grupo"/>
    <tableColumn id="17" xr3:uid="{E002C077-7396-4E47-896A-DB63030F385A}" name="Idade Categóric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Q52"/>
  <sheetViews>
    <sheetView zoomScale="90" zoomScaleNormal="90" workbookViewId="0">
      <selection activeCell="A2" sqref="A2"/>
    </sheetView>
  </sheetViews>
  <sheetFormatPr defaultColWidth="20.42578125" defaultRowHeight="15" x14ac:dyDescent="0.25"/>
  <cols>
    <col min="1" max="14" width="20.42578125" style="9"/>
    <col min="15" max="17" width="0" style="9" hidden="1" customWidth="1"/>
    <col min="18" max="16384" width="20.42578125" style="9"/>
  </cols>
  <sheetData>
    <row r="2" spans="1:17" ht="90" x14ac:dyDescent="0.25">
      <c r="A2" s="13" t="s">
        <v>152</v>
      </c>
      <c r="B2" s="13" t="s">
        <v>0</v>
      </c>
      <c r="C2" s="13" t="s">
        <v>1</v>
      </c>
      <c r="D2" s="13" t="s">
        <v>2</v>
      </c>
      <c r="E2" s="13" t="s">
        <v>3</v>
      </c>
      <c r="F2" s="13" t="s">
        <v>4</v>
      </c>
      <c r="G2" s="13" t="s">
        <v>5</v>
      </c>
      <c r="H2" s="13" t="s">
        <v>6</v>
      </c>
      <c r="I2" s="13" t="s">
        <v>7</v>
      </c>
      <c r="J2" s="13" t="s">
        <v>8</v>
      </c>
      <c r="K2" s="13" t="s">
        <v>9</v>
      </c>
      <c r="L2" s="13" t="s">
        <v>10</v>
      </c>
      <c r="M2" s="13" t="s">
        <v>11</v>
      </c>
      <c r="N2" s="13" t="s">
        <v>12</v>
      </c>
      <c r="O2" s="13" t="s">
        <v>149</v>
      </c>
      <c r="P2" s="13" t="s">
        <v>153</v>
      </c>
      <c r="Q2" s="13" t="str">
        <f>'Base Codificada'!O3</f>
        <v>Idade Categórica</v>
      </c>
    </row>
    <row r="3" spans="1:17" ht="120" x14ac:dyDescent="0.25">
      <c r="A3" s="9">
        <v>1</v>
      </c>
      <c r="B3" s="9" t="s">
        <v>22</v>
      </c>
      <c r="C3" s="9" t="s">
        <v>23</v>
      </c>
      <c r="D3" s="9" t="s">
        <v>24</v>
      </c>
      <c r="E3" s="9" t="s">
        <v>25</v>
      </c>
      <c r="G3" s="9" t="s">
        <v>25</v>
      </c>
      <c r="H3" s="9" t="s">
        <v>25</v>
      </c>
      <c r="J3" s="9" t="s">
        <v>26</v>
      </c>
      <c r="K3" s="9" t="s">
        <v>27</v>
      </c>
      <c r="L3" s="9">
        <v>35</v>
      </c>
      <c r="M3" s="9" t="s">
        <v>29</v>
      </c>
      <c r="N3" s="9" t="s">
        <v>30</v>
      </c>
      <c r="O3" s="9">
        <f>'Base Codificada'!L4</f>
        <v>0</v>
      </c>
      <c r="P3" s="9">
        <f>'Padronização &amp; Def. Grupos'!H64</f>
        <v>5</v>
      </c>
      <c r="Q3" s="9" t="str">
        <f>'Base Codificada'!O4</f>
        <v>até 35 anos</v>
      </c>
    </row>
    <row r="4" spans="1:17" ht="120" x14ac:dyDescent="0.25">
      <c r="A4" s="9">
        <v>2</v>
      </c>
      <c r="B4" s="9" t="s">
        <v>22</v>
      </c>
      <c r="C4" s="9" t="s">
        <v>31</v>
      </c>
      <c r="D4" s="9" t="s">
        <v>24</v>
      </c>
      <c r="E4" s="9" t="s">
        <v>25</v>
      </c>
      <c r="G4" s="9" t="s">
        <v>25</v>
      </c>
      <c r="H4" s="9" t="s">
        <v>25</v>
      </c>
      <c r="J4" s="9" t="s">
        <v>32</v>
      </c>
      <c r="K4" s="9" t="s">
        <v>27</v>
      </c>
      <c r="L4" s="9">
        <v>37</v>
      </c>
      <c r="M4" s="9" t="s">
        <v>34</v>
      </c>
      <c r="N4" s="9" t="s">
        <v>35</v>
      </c>
      <c r="O4" s="9">
        <f>'Base Codificada'!L5</f>
        <v>0</v>
      </c>
      <c r="P4" s="9">
        <f>'Padronização &amp; Def. Grupos'!H65</f>
        <v>5</v>
      </c>
      <c r="Q4" s="9" t="str">
        <f>'Base Codificada'!O5</f>
        <v>entre 36 e 40 anos</v>
      </c>
    </row>
    <row r="5" spans="1:17" ht="120" x14ac:dyDescent="0.25">
      <c r="A5" s="9">
        <v>3</v>
      </c>
      <c r="B5" s="9" t="s">
        <v>22</v>
      </c>
      <c r="C5" s="9" t="s">
        <v>31</v>
      </c>
      <c r="D5" s="9" t="s">
        <v>36</v>
      </c>
      <c r="E5" s="9" t="s">
        <v>25</v>
      </c>
      <c r="G5" s="9" t="s">
        <v>25</v>
      </c>
      <c r="H5" s="9" t="s">
        <v>25</v>
      </c>
      <c r="J5" s="9" t="s">
        <v>37</v>
      </c>
      <c r="K5" s="9" t="s">
        <v>27</v>
      </c>
      <c r="L5" s="9">
        <v>34</v>
      </c>
      <c r="M5" s="9" t="s">
        <v>39</v>
      </c>
      <c r="N5" s="9" t="s">
        <v>30</v>
      </c>
      <c r="O5" s="9">
        <f>'Base Codificada'!L6</f>
        <v>0</v>
      </c>
      <c r="P5" s="9">
        <f>'Padronização &amp; Def. Grupos'!H66</f>
        <v>5</v>
      </c>
      <c r="Q5" s="9" t="str">
        <f>'Base Codificada'!O6</f>
        <v>até 35 anos</v>
      </c>
    </row>
    <row r="6" spans="1:17" ht="75" x14ac:dyDescent="0.25">
      <c r="A6" s="9">
        <v>4</v>
      </c>
      <c r="B6" s="9" t="s">
        <v>40</v>
      </c>
      <c r="C6" s="9" t="s">
        <v>41</v>
      </c>
      <c r="D6" s="9" t="s">
        <v>42</v>
      </c>
      <c r="E6" s="9" t="s">
        <v>25</v>
      </c>
      <c r="G6" s="9" t="s">
        <v>25</v>
      </c>
      <c r="H6" s="9" t="s">
        <v>25</v>
      </c>
      <c r="J6" s="9" t="s">
        <v>43</v>
      </c>
      <c r="K6" s="9" t="s">
        <v>27</v>
      </c>
      <c r="L6" s="9">
        <v>27</v>
      </c>
      <c r="M6" s="9" t="s">
        <v>29</v>
      </c>
      <c r="N6" s="9" t="s">
        <v>30</v>
      </c>
      <c r="O6" s="9">
        <f>'Base Codificada'!L7</f>
        <v>0</v>
      </c>
      <c r="P6" s="9">
        <f>'Padronização &amp; Def. Grupos'!H67</f>
        <v>5</v>
      </c>
      <c r="Q6" s="9" t="str">
        <f>'Base Codificada'!O7</f>
        <v>até 35 anos</v>
      </c>
    </row>
    <row r="7" spans="1:17" ht="120" x14ac:dyDescent="0.25">
      <c r="A7" s="9">
        <v>5</v>
      </c>
      <c r="B7" s="9" t="s">
        <v>22</v>
      </c>
      <c r="C7" s="9" t="s">
        <v>23</v>
      </c>
      <c r="D7" s="9" t="s">
        <v>24</v>
      </c>
      <c r="E7" s="9" t="s">
        <v>22</v>
      </c>
      <c r="F7" s="9" t="s">
        <v>22</v>
      </c>
      <c r="I7" s="9" t="s">
        <v>25</v>
      </c>
      <c r="K7" s="9" t="s">
        <v>27</v>
      </c>
      <c r="L7" s="9">
        <v>39</v>
      </c>
      <c r="M7" s="9" t="s">
        <v>29</v>
      </c>
      <c r="N7" s="9" t="s">
        <v>30</v>
      </c>
      <c r="O7" s="9">
        <f>'Base Codificada'!L8</f>
        <v>100</v>
      </c>
      <c r="P7" s="9">
        <f>'Padronização &amp; Def. Grupos'!H68</f>
        <v>3</v>
      </c>
      <c r="Q7" s="9" t="str">
        <f>'Base Codificada'!O8</f>
        <v>entre 36 e 40 anos</v>
      </c>
    </row>
    <row r="8" spans="1:17" ht="75" x14ac:dyDescent="0.25">
      <c r="A8" s="9">
        <v>6</v>
      </c>
      <c r="B8" s="9" t="s">
        <v>22</v>
      </c>
      <c r="C8" s="9" t="s">
        <v>41</v>
      </c>
      <c r="D8" s="9" t="s">
        <v>36</v>
      </c>
      <c r="E8" s="9" t="s">
        <v>22</v>
      </c>
      <c r="F8" s="9" t="s">
        <v>25</v>
      </c>
      <c r="K8" s="9" t="s">
        <v>27</v>
      </c>
      <c r="L8" s="9">
        <v>42</v>
      </c>
      <c r="M8" s="9" t="s">
        <v>29</v>
      </c>
      <c r="N8" s="9" t="s">
        <v>30</v>
      </c>
      <c r="O8" s="9">
        <f>'Base Codificada'!L9</f>
        <v>80</v>
      </c>
      <c r="P8" s="9">
        <f>'Padronização &amp; Def. Grupos'!H69</f>
        <v>3</v>
      </c>
      <c r="Q8" s="9" t="str">
        <f>'Base Codificada'!O9</f>
        <v>entre 40 e  50 anos</v>
      </c>
    </row>
    <row r="9" spans="1:17" ht="75" x14ac:dyDescent="0.25">
      <c r="A9" s="9">
        <v>7</v>
      </c>
      <c r="B9" s="9" t="s">
        <v>40</v>
      </c>
      <c r="C9" s="9" t="s">
        <v>41</v>
      </c>
      <c r="D9" s="9" t="s">
        <v>24</v>
      </c>
      <c r="E9" s="9" t="s">
        <v>25</v>
      </c>
      <c r="G9" s="9" t="s">
        <v>22</v>
      </c>
      <c r="K9" s="9" t="s">
        <v>27</v>
      </c>
      <c r="L9" s="9">
        <v>34</v>
      </c>
      <c r="M9" s="9" t="s">
        <v>29</v>
      </c>
      <c r="N9" s="9" t="s">
        <v>30</v>
      </c>
      <c r="O9" s="9">
        <f>'Base Codificada'!L10</f>
        <v>50</v>
      </c>
      <c r="P9" s="9">
        <f>'Padronização &amp; Def. Grupos'!H70</f>
        <v>5</v>
      </c>
      <c r="Q9" s="9" t="str">
        <f>'Base Codificada'!O10</f>
        <v>até 35 anos</v>
      </c>
    </row>
    <row r="10" spans="1:17" ht="120" x14ac:dyDescent="0.25">
      <c r="A10" s="9">
        <v>8</v>
      </c>
      <c r="B10" s="9" t="s">
        <v>22</v>
      </c>
      <c r="C10" s="9" t="s">
        <v>47</v>
      </c>
      <c r="D10" s="9" t="s">
        <v>24</v>
      </c>
      <c r="E10" s="9" t="s">
        <v>25</v>
      </c>
      <c r="G10" s="9" t="s">
        <v>25</v>
      </c>
      <c r="H10" s="9" t="s">
        <v>25</v>
      </c>
      <c r="J10" s="9" t="s">
        <v>48</v>
      </c>
      <c r="K10" s="9" t="s">
        <v>27</v>
      </c>
      <c r="L10" s="9">
        <v>29</v>
      </c>
      <c r="M10" s="9" t="s">
        <v>34</v>
      </c>
      <c r="N10" s="9" t="s">
        <v>30</v>
      </c>
      <c r="O10" s="9">
        <f>'Base Codificada'!L11</f>
        <v>0</v>
      </c>
      <c r="P10" s="9">
        <f>'Padronização &amp; Def. Grupos'!H71</f>
        <v>5</v>
      </c>
      <c r="Q10" s="9" t="str">
        <f>'Base Codificada'!O11</f>
        <v>até 35 anos</v>
      </c>
    </row>
    <row r="11" spans="1:17" ht="120" x14ac:dyDescent="0.25">
      <c r="A11" s="9">
        <v>9</v>
      </c>
      <c r="B11" s="9" t="s">
        <v>22</v>
      </c>
      <c r="C11" s="9" t="s">
        <v>23</v>
      </c>
      <c r="D11" s="9" t="s">
        <v>24</v>
      </c>
      <c r="E11" s="9" t="s">
        <v>22</v>
      </c>
      <c r="F11" s="9" t="s">
        <v>25</v>
      </c>
      <c r="K11" s="9" t="s">
        <v>27</v>
      </c>
      <c r="L11" s="9">
        <v>33</v>
      </c>
      <c r="M11" s="9" t="s">
        <v>29</v>
      </c>
      <c r="N11" s="9" t="s">
        <v>30</v>
      </c>
      <c r="O11" s="9">
        <f>'Base Codificada'!L12</f>
        <v>80</v>
      </c>
      <c r="P11" s="9">
        <f>'Padronização &amp; Def. Grupos'!H72</f>
        <v>3</v>
      </c>
      <c r="Q11" s="9" t="str">
        <f>'Base Codificada'!O12</f>
        <v>até 35 anos</v>
      </c>
    </row>
    <row r="12" spans="1:17" ht="30" x14ac:dyDescent="0.25">
      <c r="A12" s="9">
        <v>10</v>
      </c>
      <c r="B12" s="9" t="s">
        <v>25</v>
      </c>
      <c r="J12" s="9" t="s">
        <v>51</v>
      </c>
      <c r="K12" s="9" t="s">
        <v>27</v>
      </c>
      <c r="L12" s="9">
        <v>35</v>
      </c>
      <c r="M12" s="9" t="s">
        <v>52</v>
      </c>
      <c r="N12" s="9" t="s">
        <v>30</v>
      </c>
      <c r="O12" s="9">
        <f>'Base Codificada'!L13</f>
        <v>0</v>
      </c>
      <c r="P12" s="9">
        <f>'Padronização &amp; Def. Grupos'!H73</f>
        <v>5</v>
      </c>
      <c r="Q12" s="9" t="str">
        <f>'Base Codificada'!O13</f>
        <v>até 35 anos</v>
      </c>
    </row>
    <row r="13" spans="1:17" ht="120" x14ac:dyDescent="0.25">
      <c r="A13" s="9">
        <v>11</v>
      </c>
      <c r="B13" s="9" t="s">
        <v>22</v>
      </c>
      <c r="C13" s="9" t="s">
        <v>23</v>
      </c>
      <c r="D13" s="9" t="s">
        <v>24</v>
      </c>
      <c r="E13" s="9" t="s">
        <v>22</v>
      </c>
      <c r="F13" s="9" t="s">
        <v>22</v>
      </c>
      <c r="I13" s="9" t="s">
        <v>25</v>
      </c>
      <c r="K13" s="9" t="s">
        <v>27</v>
      </c>
      <c r="L13" s="9">
        <v>45</v>
      </c>
      <c r="M13" s="9" t="s">
        <v>29</v>
      </c>
      <c r="N13" s="9" t="s">
        <v>30</v>
      </c>
      <c r="O13" s="9">
        <f>'Base Codificada'!L14</f>
        <v>100</v>
      </c>
      <c r="P13" s="9">
        <f>'Padronização &amp; Def. Grupos'!H74</f>
        <v>3</v>
      </c>
      <c r="Q13" s="9" t="str">
        <f>'Base Codificada'!O14</f>
        <v>entre 40 e  50 anos</v>
      </c>
    </row>
    <row r="14" spans="1:17" ht="120" x14ac:dyDescent="0.25">
      <c r="A14" s="9">
        <v>12</v>
      </c>
      <c r="B14" s="9" t="s">
        <v>22</v>
      </c>
      <c r="C14" s="9" t="s">
        <v>54</v>
      </c>
      <c r="D14" s="9" t="s">
        <v>42</v>
      </c>
      <c r="E14" s="9" t="s">
        <v>22</v>
      </c>
      <c r="F14" s="9" t="s">
        <v>25</v>
      </c>
      <c r="K14" s="9" t="s">
        <v>27</v>
      </c>
      <c r="L14" s="9">
        <v>50</v>
      </c>
      <c r="M14" s="9" t="s">
        <v>29</v>
      </c>
      <c r="N14" s="9" t="s">
        <v>30</v>
      </c>
      <c r="O14" s="9">
        <f>'Base Codificada'!L15</f>
        <v>80</v>
      </c>
      <c r="P14" s="9">
        <f>'Padronização &amp; Def. Grupos'!H75</f>
        <v>3</v>
      </c>
      <c r="Q14" s="9" t="str">
        <f>'Base Codificada'!O15</f>
        <v>entre 40 e  50 anos</v>
      </c>
    </row>
    <row r="15" spans="1:17" ht="120" x14ac:dyDescent="0.25">
      <c r="A15" s="9">
        <v>13</v>
      </c>
      <c r="B15" s="9" t="s">
        <v>22</v>
      </c>
      <c r="C15" s="9" t="s">
        <v>54</v>
      </c>
      <c r="D15" s="9" t="s">
        <v>42</v>
      </c>
      <c r="E15" s="9" t="s">
        <v>22</v>
      </c>
      <c r="F15" s="9" t="s">
        <v>22</v>
      </c>
      <c r="I15" s="9" t="s">
        <v>22</v>
      </c>
      <c r="K15" s="9" t="s">
        <v>27</v>
      </c>
      <c r="L15" s="9">
        <v>46</v>
      </c>
      <c r="M15" s="9" t="s">
        <v>29</v>
      </c>
      <c r="N15" s="9" t="s">
        <v>30</v>
      </c>
      <c r="O15" s="9">
        <f>'Base Codificada'!L16</f>
        <v>120</v>
      </c>
      <c r="P15" s="9">
        <f>'Padronização &amp; Def. Grupos'!H76</f>
        <v>3</v>
      </c>
      <c r="Q15" s="9" t="str">
        <f>'Base Codificada'!O16</f>
        <v>entre 40 e  50 anos</v>
      </c>
    </row>
    <row r="16" spans="1:17" ht="120" x14ac:dyDescent="0.25">
      <c r="A16" s="9">
        <v>14</v>
      </c>
      <c r="B16" s="9" t="s">
        <v>22</v>
      </c>
      <c r="C16" s="9" t="s">
        <v>47</v>
      </c>
      <c r="D16" s="9" t="s">
        <v>24</v>
      </c>
      <c r="E16" s="9" t="s">
        <v>22</v>
      </c>
      <c r="F16" s="9" t="s">
        <v>25</v>
      </c>
      <c r="K16" s="9" t="s">
        <v>27</v>
      </c>
      <c r="L16" s="9">
        <v>42</v>
      </c>
      <c r="M16" s="9" t="s">
        <v>39</v>
      </c>
      <c r="N16" s="9" t="s">
        <v>30</v>
      </c>
      <c r="O16" s="9">
        <f>'Base Codificada'!L17</f>
        <v>80</v>
      </c>
      <c r="P16" s="9">
        <f>'Padronização &amp; Def. Grupos'!H77</f>
        <v>3</v>
      </c>
      <c r="Q16" s="9" t="str">
        <f>'Base Codificada'!O17</f>
        <v>entre 40 e  50 anos</v>
      </c>
    </row>
    <row r="17" spans="1:17" ht="135" x14ac:dyDescent="0.25">
      <c r="A17" s="9">
        <v>15</v>
      </c>
      <c r="B17" s="9" t="s">
        <v>22</v>
      </c>
      <c r="C17" s="9" t="s">
        <v>57</v>
      </c>
      <c r="D17" s="9" t="s">
        <v>58</v>
      </c>
      <c r="E17" s="9" t="s">
        <v>22</v>
      </c>
      <c r="F17" s="9" t="s">
        <v>22</v>
      </c>
      <c r="I17" s="9" t="s">
        <v>25</v>
      </c>
      <c r="K17" s="9" t="s">
        <v>27</v>
      </c>
      <c r="L17" s="9">
        <v>44</v>
      </c>
      <c r="M17" s="9" t="s">
        <v>34</v>
      </c>
      <c r="N17" s="9" t="s">
        <v>30</v>
      </c>
      <c r="O17" s="9">
        <f>'Base Codificada'!L18</f>
        <v>100</v>
      </c>
      <c r="P17" s="9">
        <f>'Padronização &amp; Def. Grupos'!H78</f>
        <v>3</v>
      </c>
      <c r="Q17" s="9" t="str">
        <f>'Base Codificada'!O18</f>
        <v>entre 40 e  50 anos</v>
      </c>
    </row>
    <row r="18" spans="1:17" ht="120" x14ac:dyDescent="0.25">
      <c r="A18" s="9">
        <v>16</v>
      </c>
      <c r="B18" s="9" t="s">
        <v>22</v>
      </c>
      <c r="C18" s="9" t="s">
        <v>54</v>
      </c>
      <c r="D18" s="9" t="s">
        <v>42</v>
      </c>
      <c r="E18" s="9" t="s">
        <v>25</v>
      </c>
      <c r="G18" s="9" t="s">
        <v>25</v>
      </c>
      <c r="H18" s="9" t="s">
        <v>25</v>
      </c>
      <c r="J18" s="9" t="s">
        <v>60</v>
      </c>
      <c r="K18" s="9" t="s">
        <v>27</v>
      </c>
      <c r="L18" s="9">
        <v>64</v>
      </c>
      <c r="M18" s="9" t="s">
        <v>29</v>
      </c>
      <c r="N18" s="9" t="s">
        <v>30</v>
      </c>
      <c r="O18" s="9">
        <f>'Base Codificada'!L19</f>
        <v>0</v>
      </c>
      <c r="P18" s="9">
        <f>'Padronização &amp; Def. Grupos'!H79</f>
        <v>1</v>
      </c>
      <c r="Q18" s="9" t="str">
        <f>'Base Codificada'!O19</f>
        <v>maior do que 50 anos</v>
      </c>
    </row>
    <row r="19" spans="1:17" ht="120" x14ac:dyDescent="0.25">
      <c r="A19" s="9">
        <v>17</v>
      </c>
      <c r="B19" s="9" t="s">
        <v>22</v>
      </c>
      <c r="C19" s="9" t="s">
        <v>23</v>
      </c>
      <c r="D19" s="9" t="s">
        <v>24</v>
      </c>
      <c r="E19" s="9" t="s">
        <v>25</v>
      </c>
      <c r="G19" s="9" t="s">
        <v>25</v>
      </c>
      <c r="H19" s="9" t="s">
        <v>25</v>
      </c>
      <c r="J19" s="9" t="s">
        <v>62</v>
      </c>
      <c r="K19" s="9" t="s">
        <v>27</v>
      </c>
      <c r="L19" s="9">
        <v>29</v>
      </c>
      <c r="M19" s="9" t="s">
        <v>29</v>
      </c>
      <c r="N19" s="9" t="s">
        <v>30</v>
      </c>
      <c r="O19" s="9">
        <f>'Base Codificada'!L20</f>
        <v>0</v>
      </c>
      <c r="P19" s="9">
        <f>'Padronização &amp; Def. Grupos'!H80</f>
        <v>5</v>
      </c>
      <c r="Q19" s="9" t="str">
        <f>'Base Codificada'!O20</f>
        <v>até 35 anos</v>
      </c>
    </row>
    <row r="20" spans="1:17" ht="120" x14ac:dyDescent="0.25">
      <c r="A20" s="9">
        <v>18</v>
      </c>
      <c r="B20" s="9" t="s">
        <v>22</v>
      </c>
      <c r="C20" s="9" t="s">
        <v>23</v>
      </c>
      <c r="D20" s="9" t="s">
        <v>36</v>
      </c>
      <c r="E20" s="9" t="s">
        <v>22</v>
      </c>
      <c r="F20" s="9" t="s">
        <v>25</v>
      </c>
      <c r="K20" s="9" t="s">
        <v>27</v>
      </c>
      <c r="L20" s="9">
        <v>53</v>
      </c>
      <c r="M20" s="9" t="s">
        <v>39</v>
      </c>
      <c r="N20" s="9" t="s">
        <v>30</v>
      </c>
      <c r="O20" s="9">
        <f>'Base Codificada'!L21</f>
        <v>80</v>
      </c>
      <c r="P20" s="9">
        <f>'Padronização &amp; Def. Grupos'!H81</f>
        <v>3</v>
      </c>
      <c r="Q20" s="9" t="str">
        <f>'Base Codificada'!O21</f>
        <v>maior do que 50 anos</v>
      </c>
    </row>
    <row r="21" spans="1:17" ht="75" x14ac:dyDescent="0.25">
      <c r="A21" s="9">
        <v>19</v>
      </c>
      <c r="B21" s="9" t="s">
        <v>22</v>
      </c>
      <c r="C21" s="9" t="s">
        <v>41</v>
      </c>
      <c r="D21" s="9" t="s">
        <v>24</v>
      </c>
      <c r="E21" s="9" t="s">
        <v>22</v>
      </c>
      <c r="F21" s="9" t="s">
        <v>25</v>
      </c>
      <c r="K21" s="9" t="s">
        <v>27</v>
      </c>
      <c r="L21" s="9">
        <v>36</v>
      </c>
      <c r="M21" s="9" t="s">
        <v>65</v>
      </c>
      <c r="N21" s="9" t="s">
        <v>30</v>
      </c>
      <c r="O21" s="9">
        <f>'Base Codificada'!L22</f>
        <v>80</v>
      </c>
      <c r="P21" s="9">
        <f>'Padronização &amp; Def. Grupos'!H82</f>
        <v>3</v>
      </c>
      <c r="Q21" s="9" t="str">
        <f>'Base Codificada'!O22</f>
        <v>entre 36 e 40 anos</v>
      </c>
    </row>
    <row r="22" spans="1:17" ht="120" x14ac:dyDescent="0.25">
      <c r="A22" s="9">
        <v>20</v>
      </c>
      <c r="B22" s="9" t="s">
        <v>40</v>
      </c>
      <c r="C22" s="9" t="s">
        <v>23</v>
      </c>
      <c r="D22" s="9" t="s">
        <v>36</v>
      </c>
      <c r="E22" s="9" t="s">
        <v>22</v>
      </c>
      <c r="F22" s="9" t="s">
        <v>22</v>
      </c>
      <c r="I22" s="9" t="s">
        <v>25</v>
      </c>
      <c r="K22" s="9" t="s">
        <v>27</v>
      </c>
      <c r="L22" s="9">
        <v>50</v>
      </c>
      <c r="M22" s="9" t="s">
        <v>29</v>
      </c>
      <c r="N22" s="9" t="s">
        <v>30</v>
      </c>
      <c r="O22" s="9">
        <f>'Base Codificada'!L23</f>
        <v>100</v>
      </c>
      <c r="P22" s="9">
        <f>'Padronização &amp; Def. Grupos'!H83</f>
        <v>3</v>
      </c>
      <c r="Q22" s="9" t="str">
        <f>'Base Codificada'!O23</f>
        <v>entre 40 e  50 anos</v>
      </c>
    </row>
    <row r="23" spans="1:17" ht="30" x14ac:dyDescent="0.25">
      <c r="A23" s="9">
        <v>21</v>
      </c>
      <c r="B23" s="9" t="s">
        <v>25</v>
      </c>
      <c r="J23" s="9" t="s">
        <v>32</v>
      </c>
      <c r="K23" s="9" t="s">
        <v>27</v>
      </c>
      <c r="L23" s="9">
        <v>69</v>
      </c>
      <c r="M23" s="9" t="s">
        <v>52</v>
      </c>
      <c r="N23" s="9" t="s">
        <v>35</v>
      </c>
      <c r="O23" s="9">
        <f>'Base Codificada'!L24</f>
        <v>0</v>
      </c>
      <c r="P23" s="9">
        <f>'Padronização &amp; Def. Grupos'!H84</f>
        <v>1</v>
      </c>
      <c r="Q23" s="9" t="str">
        <f>'Base Codificada'!O24</f>
        <v>maior do que 50 anos</v>
      </c>
    </row>
    <row r="24" spans="1:17" ht="120" x14ac:dyDescent="0.25">
      <c r="A24" s="9">
        <v>22</v>
      </c>
      <c r="B24" s="9" t="s">
        <v>22</v>
      </c>
      <c r="C24" s="9" t="s">
        <v>54</v>
      </c>
      <c r="D24" s="9" t="s">
        <v>67</v>
      </c>
      <c r="E24" s="9" t="s">
        <v>25</v>
      </c>
      <c r="G24" s="9" t="s">
        <v>22</v>
      </c>
      <c r="K24" s="9" t="s">
        <v>27</v>
      </c>
      <c r="L24" s="9">
        <v>51</v>
      </c>
      <c r="M24" s="9" t="s">
        <v>34</v>
      </c>
      <c r="N24" s="9" t="s">
        <v>35</v>
      </c>
      <c r="O24" s="9">
        <f>'Base Codificada'!L25</f>
        <v>50</v>
      </c>
      <c r="P24" s="9">
        <f>'Padronização &amp; Def. Grupos'!H85</f>
        <v>1</v>
      </c>
      <c r="Q24" s="9" t="str">
        <f>'Base Codificada'!O25</f>
        <v>maior do que 50 anos</v>
      </c>
    </row>
    <row r="25" spans="1:17" ht="120" x14ac:dyDescent="0.25">
      <c r="A25" s="9">
        <v>23</v>
      </c>
      <c r="B25" s="9" t="s">
        <v>40</v>
      </c>
      <c r="C25" s="9" t="s">
        <v>23</v>
      </c>
      <c r="D25" s="9" t="s">
        <v>67</v>
      </c>
      <c r="E25" s="9" t="s">
        <v>25</v>
      </c>
      <c r="G25" s="9" t="s">
        <v>25</v>
      </c>
      <c r="H25" s="9" t="s">
        <v>25</v>
      </c>
      <c r="J25" s="9" t="s">
        <v>32</v>
      </c>
      <c r="K25" s="9" t="s">
        <v>27</v>
      </c>
      <c r="L25" s="9">
        <v>62</v>
      </c>
      <c r="M25" s="9" t="s">
        <v>29</v>
      </c>
      <c r="N25" s="9" t="s">
        <v>30</v>
      </c>
      <c r="O25" s="9">
        <f>'Base Codificada'!L26</f>
        <v>0</v>
      </c>
      <c r="P25" s="9">
        <f>'Padronização &amp; Def. Grupos'!H86</f>
        <v>1</v>
      </c>
      <c r="Q25" s="9" t="str">
        <f>'Base Codificada'!O26</f>
        <v>maior do que 50 anos</v>
      </c>
    </row>
    <row r="26" spans="1:17" ht="120" x14ac:dyDescent="0.25">
      <c r="A26" s="9">
        <v>24</v>
      </c>
      <c r="B26" s="9" t="s">
        <v>22</v>
      </c>
      <c r="C26" s="9" t="s">
        <v>47</v>
      </c>
      <c r="D26" s="9" t="s">
        <v>24</v>
      </c>
      <c r="E26" s="9" t="s">
        <v>22</v>
      </c>
      <c r="F26" s="9" t="s">
        <v>25</v>
      </c>
      <c r="K26" s="9" t="s">
        <v>70</v>
      </c>
      <c r="L26" s="9">
        <v>39</v>
      </c>
      <c r="M26" s="9" t="s">
        <v>29</v>
      </c>
      <c r="N26" s="9" t="s">
        <v>30</v>
      </c>
      <c r="O26" s="9">
        <f>'Base Codificada'!L27</f>
        <v>80</v>
      </c>
      <c r="P26" s="9">
        <f>'Padronização &amp; Def. Grupos'!H87</f>
        <v>4</v>
      </c>
      <c r="Q26" s="9" t="str">
        <f>'Base Codificada'!O27</f>
        <v>entre 36 e 40 anos</v>
      </c>
    </row>
    <row r="27" spans="1:17" ht="120" x14ac:dyDescent="0.25">
      <c r="A27" s="9">
        <v>25</v>
      </c>
      <c r="B27" s="9" t="s">
        <v>22</v>
      </c>
      <c r="C27" s="9" t="s">
        <v>54</v>
      </c>
      <c r="D27" s="9" t="s">
        <v>42</v>
      </c>
      <c r="E27" s="9" t="s">
        <v>25</v>
      </c>
      <c r="G27" s="9" t="s">
        <v>22</v>
      </c>
      <c r="K27" s="9" t="s">
        <v>70</v>
      </c>
      <c r="L27" s="9">
        <v>54</v>
      </c>
      <c r="M27" s="9" t="s">
        <v>34</v>
      </c>
      <c r="N27" s="9" t="s">
        <v>30</v>
      </c>
      <c r="O27" s="9">
        <f>'Base Codificada'!L28</f>
        <v>50</v>
      </c>
      <c r="P27" s="9">
        <f>'Padronização &amp; Def. Grupos'!H88</f>
        <v>1</v>
      </c>
      <c r="Q27" s="9" t="str">
        <f>'Base Codificada'!O28</f>
        <v>maior do que 50 anos</v>
      </c>
    </row>
    <row r="28" spans="1:17" ht="30" x14ac:dyDescent="0.25">
      <c r="A28" s="9">
        <v>26</v>
      </c>
      <c r="B28" s="9" t="s">
        <v>25</v>
      </c>
      <c r="J28" s="9" t="s">
        <v>32</v>
      </c>
      <c r="K28" s="9" t="s">
        <v>70</v>
      </c>
      <c r="L28" s="9">
        <v>29</v>
      </c>
      <c r="M28" s="9" t="s">
        <v>29</v>
      </c>
      <c r="N28" s="9" t="s">
        <v>30</v>
      </c>
      <c r="O28" s="9">
        <f>'Base Codificada'!L29</f>
        <v>0</v>
      </c>
      <c r="P28" s="9">
        <f>'Padronização &amp; Def. Grupos'!H89</f>
        <v>1</v>
      </c>
      <c r="Q28" s="9" t="str">
        <f>'Base Codificada'!O29</f>
        <v>até 35 anos</v>
      </c>
    </row>
    <row r="29" spans="1:17" ht="120" x14ac:dyDescent="0.25">
      <c r="A29" s="9">
        <v>27</v>
      </c>
      <c r="B29" s="9" t="s">
        <v>22</v>
      </c>
      <c r="C29" s="9" t="s">
        <v>23</v>
      </c>
      <c r="D29" s="9" t="s">
        <v>42</v>
      </c>
      <c r="E29" s="9" t="s">
        <v>25</v>
      </c>
      <c r="G29" s="9" t="s">
        <v>25</v>
      </c>
      <c r="H29" s="9" t="s">
        <v>25</v>
      </c>
      <c r="J29" s="9" t="s">
        <v>72</v>
      </c>
      <c r="K29" s="9" t="s">
        <v>70</v>
      </c>
      <c r="L29" s="9">
        <v>51</v>
      </c>
      <c r="M29" s="9" t="s">
        <v>29</v>
      </c>
      <c r="N29" s="9" t="s">
        <v>30</v>
      </c>
      <c r="O29" s="9">
        <f>'Base Codificada'!L30</f>
        <v>0</v>
      </c>
      <c r="P29" s="9">
        <f>'Padronização &amp; Def. Grupos'!H90</f>
        <v>1</v>
      </c>
      <c r="Q29" s="9" t="str">
        <f>'Base Codificada'!O30</f>
        <v>maior do que 50 anos</v>
      </c>
    </row>
    <row r="30" spans="1:17" ht="120" x14ac:dyDescent="0.25">
      <c r="A30" s="9">
        <v>28</v>
      </c>
      <c r="B30" s="9" t="s">
        <v>40</v>
      </c>
      <c r="C30" s="9" t="s">
        <v>23</v>
      </c>
      <c r="D30" s="9" t="s">
        <v>24</v>
      </c>
      <c r="E30" s="9" t="s">
        <v>25</v>
      </c>
      <c r="G30" s="9" t="s">
        <v>25</v>
      </c>
      <c r="H30" s="9" t="s">
        <v>25</v>
      </c>
      <c r="J30" s="9" t="s">
        <v>43</v>
      </c>
      <c r="K30" s="9" t="s">
        <v>70</v>
      </c>
      <c r="L30" s="9">
        <v>33</v>
      </c>
      <c r="M30" s="9" t="s">
        <v>39</v>
      </c>
      <c r="N30" s="9" t="s">
        <v>30</v>
      </c>
      <c r="O30" s="9">
        <f>'Base Codificada'!L31</f>
        <v>0</v>
      </c>
      <c r="P30" s="9">
        <f>'Padronização &amp; Def. Grupos'!H91</f>
        <v>1</v>
      </c>
      <c r="Q30" s="9" t="str">
        <f>'Base Codificada'!O31</f>
        <v>até 35 anos</v>
      </c>
    </row>
    <row r="31" spans="1:17" ht="120" x14ac:dyDescent="0.25">
      <c r="A31" s="9">
        <v>29</v>
      </c>
      <c r="B31" s="9" t="s">
        <v>22</v>
      </c>
      <c r="C31" s="9" t="s">
        <v>54</v>
      </c>
      <c r="D31" s="9" t="s">
        <v>24</v>
      </c>
      <c r="E31" s="9" t="s">
        <v>22</v>
      </c>
      <c r="F31" s="9" t="s">
        <v>22</v>
      </c>
      <c r="I31" s="9" t="s">
        <v>22</v>
      </c>
      <c r="K31" s="9" t="s">
        <v>70</v>
      </c>
      <c r="L31" s="9">
        <v>43</v>
      </c>
      <c r="M31" s="9" t="s">
        <v>39</v>
      </c>
      <c r="N31" s="9" t="s">
        <v>30</v>
      </c>
      <c r="O31" s="9">
        <f>'Base Codificada'!L32</f>
        <v>120</v>
      </c>
      <c r="P31" s="9">
        <f>'Padronização &amp; Def. Grupos'!H92</f>
        <v>2</v>
      </c>
      <c r="Q31" s="9" t="str">
        <f>'Base Codificada'!O32</f>
        <v>entre 40 e  50 anos</v>
      </c>
    </row>
    <row r="32" spans="1:17" ht="120" x14ac:dyDescent="0.25">
      <c r="A32" s="9">
        <v>30</v>
      </c>
      <c r="B32" s="9" t="s">
        <v>22</v>
      </c>
      <c r="C32" s="9" t="s">
        <v>54</v>
      </c>
      <c r="D32" s="9" t="s">
        <v>58</v>
      </c>
      <c r="E32" s="9" t="s">
        <v>22</v>
      </c>
      <c r="F32" s="9" t="s">
        <v>22</v>
      </c>
      <c r="I32" s="9" t="s">
        <v>22</v>
      </c>
      <c r="K32" s="9" t="s">
        <v>70</v>
      </c>
      <c r="L32" s="9">
        <v>47</v>
      </c>
      <c r="M32" s="9" t="s">
        <v>29</v>
      </c>
      <c r="N32" s="9" t="s">
        <v>30</v>
      </c>
      <c r="O32" s="9">
        <f>'Base Codificada'!L33</f>
        <v>120</v>
      </c>
      <c r="P32" s="9">
        <f>'Padronização &amp; Def. Grupos'!H93</f>
        <v>2</v>
      </c>
      <c r="Q32" s="9" t="str">
        <f>'Base Codificada'!O33</f>
        <v>entre 40 e  50 anos</v>
      </c>
    </row>
    <row r="33" spans="1:17" ht="120" x14ac:dyDescent="0.25">
      <c r="A33" s="9">
        <v>31</v>
      </c>
      <c r="B33" s="9" t="s">
        <v>22</v>
      </c>
      <c r="C33" s="9" t="s">
        <v>54</v>
      </c>
      <c r="D33" s="9" t="s">
        <v>42</v>
      </c>
      <c r="E33" s="9" t="s">
        <v>25</v>
      </c>
      <c r="G33" s="9" t="s">
        <v>25</v>
      </c>
      <c r="H33" s="9" t="s">
        <v>22</v>
      </c>
      <c r="K33" s="9" t="s">
        <v>70</v>
      </c>
      <c r="L33" s="9">
        <v>45</v>
      </c>
      <c r="M33" s="9" t="s">
        <v>29</v>
      </c>
      <c r="N33" s="9" t="s">
        <v>35</v>
      </c>
      <c r="O33" s="9">
        <f>'Base Codificada'!L34</f>
        <v>30</v>
      </c>
      <c r="P33" s="9">
        <f>'Padronização &amp; Def. Grupos'!H94</f>
        <v>1</v>
      </c>
      <c r="Q33" s="9" t="str">
        <f>'Base Codificada'!O34</f>
        <v>entre 40 e  50 anos</v>
      </c>
    </row>
    <row r="34" spans="1:17" ht="120" x14ac:dyDescent="0.25">
      <c r="A34" s="9">
        <v>32</v>
      </c>
      <c r="B34" s="9" t="s">
        <v>40</v>
      </c>
      <c r="C34" s="9" t="s">
        <v>23</v>
      </c>
      <c r="D34" s="9" t="s">
        <v>58</v>
      </c>
      <c r="E34" s="9" t="s">
        <v>25</v>
      </c>
      <c r="G34" s="9" t="s">
        <v>25</v>
      </c>
      <c r="H34" s="9" t="s">
        <v>25</v>
      </c>
      <c r="J34" s="9" t="s">
        <v>43</v>
      </c>
      <c r="K34" s="9" t="s">
        <v>70</v>
      </c>
      <c r="L34" s="9">
        <v>43</v>
      </c>
      <c r="M34" s="9" t="s">
        <v>34</v>
      </c>
      <c r="N34" s="9" t="s">
        <v>30</v>
      </c>
      <c r="O34" s="9">
        <f>'Base Codificada'!L35</f>
        <v>0</v>
      </c>
      <c r="P34" s="9">
        <f>'Padronização &amp; Def. Grupos'!H95</f>
        <v>1</v>
      </c>
      <c r="Q34" s="9" t="str">
        <f>'Base Codificada'!O35</f>
        <v>entre 40 e  50 anos</v>
      </c>
    </row>
    <row r="35" spans="1:17" ht="120" x14ac:dyDescent="0.25">
      <c r="A35" s="9">
        <v>33</v>
      </c>
      <c r="B35" s="9" t="s">
        <v>22</v>
      </c>
      <c r="C35" s="9" t="s">
        <v>47</v>
      </c>
      <c r="D35" s="9" t="s">
        <v>36</v>
      </c>
      <c r="E35" s="9" t="s">
        <v>25</v>
      </c>
      <c r="G35" s="9" t="s">
        <v>25</v>
      </c>
      <c r="H35" s="9" t="s">
        <v>22</v>
      </c>
      <c r="K35" s="9" t="s">
        <v>70</v>
      </c>
      <c r="L35" s="9">
        <v>33</v>
      </c>
      <c r="M35" s="9" t="s">
        <v>29</v>
      </c>
      <c r="N35" s="9" t="s">
        <v>30</v>
      </c>
      <c r="O35" s="9">
        <f>'Base Codificada'!L36</f>
        <v>30</v>
      </c>
      <c r="P35" s="9">
        <f>'Padronização &amp; Def. Grupos'!H96</f>
        <v>2</v>
      </c>
      <c r="Q35" s="9" t="str">
        <f>'Base Codificada'!O36</f>
        <v>até 35 anos</v>
      </c>
    </row>
    <row r="36" spans="1:17" ht="120" x14ac:dyDescent="0.25">
      <c r="A36" s="9">
        <v>34</v>
      </c>
      <c r="B36" s="9" t="s">
        <v>40</v>
      </c>
      <c r="C36" s="9" t="s">
        <v>54</v>
      </c>
      <c r="D36" s="9" t="s">
        <v>36</v>
      </c>
      <c r="E36" s="9" t="s">
        <v>25</v>
      </c>
      <c r="G36" s="9" t="s">
        <v>25</v>
      </c>
      <c r="H36" s="9" t="s">
        <v>25</v>
      </c>
      <c r="J36" s="9" t="s">
        <v>43</v>
      </c>
      <c r="K36" s="9" t="s">
        <v>70</v>
      </c>
      <c r="L36" s="9">
        <v>39</v>
      </c>
      <c r="M36" s="9" t="s">
        <v>29</v>
      </c>
      <c r="N36" s="9" t="s">
        <v>30</v>
      </c>
      <c r="O36" s="9">
        <f>'Base Codificada'!L37</f>
        <v>0</v>
      </c>
      <c r="P36" s="9">
        <f>'Padronização &amp; Def. Grupos'!H97</f>
        <v>1</v>
      </c>
      <c r="Q36" s="9" t="str">
        <f>'Base Codificada'!O37</f>
        <v>entre 36 e 40 anos</v>
      </c>
    </row>
    <row r="37" spans="1:17" ht="135" x14ac:dyDescent="0.25">
      <c r="A37" s="9">
        <v>35</v>
      </c>
      <c r="B37" s="9" t="s">
        <v>22</v>
      </c>
      <c r="C37" s="9" t="s">
        <v>57</v>
      </c>
      <c r="D37" s="9" t="s">
        <v>24</v>
      </c>
      <c r="E37" s="9" t="s">
        <v>22</v>
      </c>
      <c r="F37" s="9" t="s">
        <v>22</v>
      </c>
      <c r="I37" s="9" t="s">
        <v>22</v>
      </c>
      <c r="K37" s="9" t="s">
        <v>70</v>
      </c>
      <c r="L37" s="9">
        <v>34</v>
      </c>
      <c r="M37" s="9" t="s">
        <v>29</v>
      </c>
      <c r="N37" s="9" t="s">
        <v>30</v>
      </c>
      <c r="O37" s="9">
        <f>'Base Codificada'!L38</f>
        <v>120</v>
      </c>
      <c r="P37" s="9">
        <f>'Padronização &amp; Def. Grupos'!H98</f>
        <v>2</v>
      </c>
      <c r="Q37" s="9" t="str">
        <f>'Base Codificada'!O38</f>
        <v>até 35 anos</v>
      </c>
    </row>
    <row r="38" spans="1:17" ht="75" x14ac:dyDescent="0.25">
      <c r="A38" s="9">
        <v>36</v>
      </c>
      <c r="B38" s="9" t="s">
        <v>40</v>
      </c>
      <c r="C38" s="9" t="s">
        <v>41</v>
      </c>
      <c r="D38" s="9" t="s">
        <v>67</v>
      </c>
      <c r="E38" s="9" t="s">
        <v>25</v>
      </c>
      <c r="G38" s="9" t="s">
        <v>25</v>
      </c>
      <c r="H38" s="9" t="s">
        <v>22</v>
      </c>
      <c r="K38" s="9" t="s">
        <v>70</v>
      </c>
      <c r="L38" s="9">
        <v>31</v>
      </c>
      <c r="M38" s="9" t="s">
        <v>29</v>
      </c>
      <c r="N38" s="9" t="s">
        <v>30</v>
      </c>
      <c r="O38" s="9">
        <f>'Base Codificada'!L39</f>
        <v>30</v>
      </c>
      <c r="P38" s="9">
        <f>'Padronização &amp; Def. Grupos'!H99</f>
        <v>2</v>
      </c>
      <c r="Q38" s="9" t="str">
        <f>'Base Codificada'!O39</f>
        <v>até 35 anos</v>
      </c>
    </row>
    <row r="39" spans="1:17" ht="75" x14ac:dyDescent="0.25">
      <c r="A39" s="9">
        <v>37</v>
      </c>
      <c r="B39" s="9" t="s">
        <v>22</v>
      </c>
      <c r="C39" s="9" t="s">
        <v>41</v>
      </c>
      <c r="D39" s="9" t="s">
        <v>24</v>
      </c>
      <c r="E39" s="9" t="s">
        <v>22</v>
      </c>
      <c r="F39" s="9" t="s">
        <v>25</v>
      </c>
      <c r="K39" s="9" t="s">
        <v>70</v>
      </c>
      <c r="L39" s="9">
        <v>37</v>
      </c>
      <c r="M39" s="9" t="s">
        <v>34</v>
      </c>
      <c r="N39" s="9" t="s">
        <v>30</v>
      </c>
      <c r="O39" s="9">
        <f>'Base Codificada'!L40</f>
        <v>80</v>
      </c>
      <c r="P39" s="9">
        <f>'Padronização &amp; Def. Grupos'!H100</f>
        <v>4</v>
      </c>
      <c r="Q39" s="9" t="str">
        <f>'Base Codificada'!O40</f>
        <v>entre 36 e 40 anos</v>
      </c>
    </row>
    <row r="40" spans="1:17" ht="30" x14ac:dyDescent="0.25">
      <c r="A40" s="9">
        <v>38</v>
      </c>
      <c r="B40" s="9" t="s">
        <v>25</v>
      </c>
      <c r="J40" s="9" t="s">
        <v>32</v>
      </c>
      <c r="K40" s="9" t="s">
        <v>70</v>
      </c>
      <c r="L40" s="9">
        <v>44</v>
      </c>
      <c r="M40" s="9" t="s">
        <v>29</v>
      </c>
      <c r="N40" s="9" t="s">
        <v>30</v>
      </c>
      <c r="O40" s="9">
        <f>'Base Codificada'!L41</f>
        <v>0</v>
      </c>
      <c r="P40" s="9">
        <f>'Padronização &amp; Def. Grupos'!H101</f>
        <v>1</v>
      </c>
      <c r="Q40" s="9" t="str">
        <f>'Base Codificada'!O41</f>
        <v>entre 40 e  50 anos</v>
      </c>
    </row>
    <row r="41" spans="1:17" ht="120" x14ac:dyDescent="0.25">
      <c r="A41" s="9">
        <v>39</v>
      </c>
      <c r="B41" s="9" t="s">
        <v>22</v>
      </c>
      <c r="C41" s="9" t="s">
        <v>23</v>
      </c>
      <c r="D41" s="9" t="s">
        <v>24</v>
      </c>
      <c r="E41" s="9" t="s">
        <v>25</v>
      </c>
      <c r="G41" s="9" t="s">
        <v>25</v>
      </c>
      <c r="H41" s="9" t="s">
        <v>25</v>
      </c>
      <c r="J41" s="9" t="s">
        <v>76</v>
      </c>
      <c r="K41" s="9" t="s">
        <v>70</v>
      </c>
      <c r="L41" s="9">
        <v>77</v>
      </c>
      <c r="M41" s="9" t="s">
        <v>29</v>
      </c>
      <c r="N41" s="9" t="s">
        <v>30</v>
      </c>
      <c r="O41" s="9">
        <f>'Base Codificada'!L42</f>
        <v>0</v>
      </c>
      <c r="P41" s="9">
        <f>'Padronização &amp; Def. Grupos'!H102</f>
        <v>1</v>
      </c>
      <c r="Q41" s="9" t="str">
        <f>'Base Codificada'!O42</f>
        <v>maior do que 50 anos</v>
      </c>
    </row>
    <row r="42" spans="1:17" ht="120" x14ac:dyDescent="0.25">
      <c r="A42" s="9">
        <v>40</v>
      </c>
      <c r="B42" s="9" t="s">
        <v>22</v>
      </c>
      <c r="C42" s="9" t="s">
        <v>47</v>
      </c>
      <c r="D42" s="9" t="s">
        <v>67</v>
      </c>
      <c r="E42" s="9" t="s">
        <v>22</v>
      </c>
      <c r="F42" s="9" t="s">
        <v>25</v>
      </c>
      <c r="K42" s="9" t="s">
        <v>70</v>
      </c>
      <c r="L42" s="9">
        <v>70</v>
      </c>
      <c r="M42" s="9" t="s">
        <v>29</v>
      </c>
      <c r="N42" s="9" t="s">
        <v>30</v>
      </c>
      <c r="O42" s="9">
        <f>'Base Codificada'!L43</f>
        <v>80</v>
      </c>
      <c r="P42" s="9">
        <f>'Padronização &amp; Def. Grupos'!H103</f>
        <v>1</v>
      </c>
      <c r="Q42" s="9" t="str">
        <f>'Base Codificada'!O43</f>
        <v>maior do que 50 anos</v>
      </c>
    </row>
    <row r="43" spans="1:17" ht="120" x14ac:dyDescent="0.25">
      <c r="A43" s="9">
        <v>41</v>
      </c>
      <c r="B43" s="9" t="s">
        <v>22</v>
      </c>
      <c r="C43" s="9" t="s">
        <v>47</v>
      </c>
      <c r="D43" s="9" t="s">
        <v>58</v>
      </c>
      <c r="E43" s="9" t="s">
        <v>22</v>
      </c>
      <c r="F43" s="9" t="s">
        <v>25</v>
      </c>
      <c r="K43" s="9" t="s">
        <v>70</v>
      </c>
      <c r="L43" s="9">
        <v>25</v>
      </c>
      <c r="M43" s="9" t="s">
        <v>29</v>
      </c>
      <c r="N43" s="9" t="s">
        <v>30</v>
      </c>
      <c r="O43" s="9">
        <f>'Base Codificada'!L44</f>
        <v>80</v>
      </c>
      <c r="P43" s="9">
        <f>'Padronização &amp; Def. Grupos'!H104</f>
        <v>2</v>
      </c>
      <c r="Q43" s="9" t="str">
        <f>'Base Codificada'!O44</f>
        <v>até 35 anos</v>
      </c>
    </row>
    <row r="44" spans="1:17" ht="120" x14ac:dyDescent="0.25">
      <c r="A44" s="9">
        <v>42</v>
      </c>
      <c r="B44" s="9" t="s">
        <v>22</v>
      </c>
      <c r="C44" s="9" t="s">
        <v>47</v>
      </c>
      <c r="D44" s="9" t="s">
        <v>24</v>
      </c>
      <c r="E44" s="9" t="s">
        <v>22</v>
      </c>
      <c r="F44" s="9" t="s">
        <v>25</v>
      </c>
      <c r="K44" s="9" t="s">
        <v>70</v>
      </c>
      <c r="L44" s="9">
        <v>25</v>
      </c>
      <c r="M44" s="9" t="s">
        <v>34</v>
      </c>
      <c r="N44" s="9" t="s">
        <v>30</v>
      </c>
      <c r="O44" s="9">
        <f>'Base Codificada'!L45</f>
        <v>80</v>
      </c>
      <c r="P44" s="9">
        <f>'Padronização &amp; Def. Grupos'!H105</f>
        <v>2</v>
      </c>
      <c r="Q44" s="9" t="str">
        <f>'Base Codificada'!O45</f>
        <v>até 35 anos</v>
      </c>
    </row>
    <row r="45" spans="1:17" ht="135" x14ac:dyDescent="0.25">
      <c r="A45" s="9">
        <v>43</v>
      </c>
      <c r="B45" s="9" t="s">
        <v>40</v>
      </c>
      <c r="C45" s="9" t="s">
        <v>57</v>
      </c>
      <c r="D45" s="9" t="s">
        <v>67</v>
      </c>
      <c r="E45" s="9" t="s">
        <v>22</v>
      </c>
      <c r="F45" s="9" t="s">
        <v>25</v>
      </c>
      <c r="K45" s="9" t="s">
        <v>70</v>
      </c>
      <c r="L45" s="9">
        <v>37</v>
      </c>
      <c r="M45" s="9" t="s">
        <v>52</v>
      </c>
      <c r="N45" s="9" t="s">
        <v>30</v>
      </c>
      <c r="O45" s="9">
        <f>'Base Codificada'!L46</f>
        <v>80</v>
      </c>
      <c r="P45" s="9">
        <f>'Padronização &amp; Def. Grupos'!H106</f>
        <v>4</v>
      </c>
      <c r="Q45" s="9" t="str">
        <f>'Base Codificada'!O46</f>
        <v>entre 36 e 40 anos</v>
      </c>
    </row>
    <row r="46" spans="1:17" ht="120" x14ac:dyDescent="0.25">
      <c r="A46" s="9">
        <v>44</v>
      </c>
      <c r="B46" s="9" t="s">
        <v>22</v>
      </c>
      <c r="C46" s="9" t="s">
        <v>47</v>
      </c>
      <c r="D46" s="9" t="s">
        <v>24</v>
      </c>
      <c r="E46" s="9" t="s">
        <v>22</v>
      </c>
      <c r="F46" s="9" t="s">
        <v>25</v>
      </c>
      <c r="K46" s="9" t="s">
        <v>70</v>
      </c>
      <c r="L46" s="9">
        <v>51</v>
      </c>
      <c r="M46" s="9" t="s">
        <v>39</v>
      </c>
      <c r="N46" s="9" t="s">
        <v>30</v>
      </c>
      <c r="O46" s="9">
        <f>'Base Codificada'!L47</f>
        <v>80</v>
      </c>
      <c r="P46" s="9">
        <f>'Padronização &amp; Def. Grupos'!H107</f>
        <v>1</v>
      </c>
      <c r="Q46" s="9" t="str">
        <f>'Base Codificada'!O47</f>
        <v>maior do que 50 anos</v>
      </c>
    </row>
    <row r="47" spans="1:17" ht="120" x14ac:dyDescent="0.25">
      <c r="A47" s="9">
        <v>45</v>
      </c>
      <c r="B47" s="9" t="s">
        <v>22</v>
      </c>
      <c r="C47" s="9" t="s">
        <v>23</v>
      </c>
      <c r="D47" s="9" t="s">
        <v>36</v>
      </c>
      <c r="E47" s="9" t="s">
        <v>22</v>
      </c>
      <c r="F47" s="9" t="s">
        <v>22</v>
      </c>
      <c r="I47" s="9" t="s">
        <v>25</v>
      </c>
      <c r="K47" s="9" t="s">
        <v>70</v>
      </c>
      <c r="L47" s="9">
        <v>53</v>
      </c>
      <c r="M47" s="9" t="s">
        <v>29</v>
      </c>
      <c r="N47" s="9" t="s">
        <v>35</v>
      </c>
      <c r="O47" s="9">
        <f>'Base Codificada'!L48</f>
        <v>100</v>
      </c>
      <c r="P47" s="9">
        <f>'Padronização &amp; Def. Grupos'!H108</f>
        <v>1</v>
      </c>
      <c r="Q47" s="9" t="str">
        <f>'Base Codificada'!O48</f>
        <v>maior do que 50 anos</v>
      </c>
    </row>
    <row r="48" spans="1:17" ht="120" x14ac:dyDescent="0.25">
      <c r="A48" s="9">
        <v>46</v>
      </c>
      <c r="B48" s="9" t="s">
        <v>22</v>
      </c>
      <c r="C48" s="9" t="s">
        <v>47</v>
      </c>
      <c r="D48" s="9" t="s">
        <v>58</v>
      </c>
      <c r="E48" s="9" t="s">
        <v>25</v>
      </c>
      <c r="G48" s="9" t="s">
        <v>25</v>
      </c>
      <c r="H48" s="9" t="s">
        <v>22</v>
      </c>
      <c r="K48" s="9" t="s">
        <v>70</v>
      </c>
      <c r="L48" s="9">
        <v>60</v>
      </c>
      <c r="M48" s="9" t="s">
        <v>29</v>
      </c>
      <c r="N48" s="9" t="s">
        <v>30</v>
      </c>
      <c r="O48" s="9">
        <f>'Base Codificada'!L49</f>
        <v>30</v>
      </c>
      <c r="P48" s="9">
        <f>'Padronização &amp; Def. Grupos'!H109</f>
        <v>1</v>
      </c>
      <c r="Q48" s="9" t="str">
        <f>'Base Codificada'!O49</f>
        <v>maior do que 50 anos</v>
      </c>
    </row>
    <row r="49" spans="1:17" ht="75" x14ac:dyDescent="0.25">
      <c r="A49" s="9">
        <v>47</v>
      </c>
      <c r="B49" s="9" t="s">
        <v>40</v>
      </c>
      <c r="C49" s="9" t="s">
        <v>41</v>
      </c>
      <c r="D49" s="9" t="s">
        <v>58</v>
      </c>
      <c r="E49" s="9" t="s">
        <v>22</v>
      </c>
      <c r="F49" s="9" t="s">
        <v>22</v>
      </c>
      <c r="I49" s="9" t="s">
        <v>22</v>
      </c>
      <c r="K49" s="9" t="s">
        <v>70</v>
      </c>
      <c r="L49" s="9">
        <v>32</v>
      </c>
      <c r="M49" s="9" t="s">
        <v>65</v>
      </c>
      <c r="N49" s="9" t="s">
        <v>30</v>
      </c>
      <c r="O49" s="9">
        <f>'Base Codificada'!L50</f>
        <v>120</v>
      </c>
      <c r="P49" s="9">
        <f>'Padronização &amp; Def. Grupos'!H110</f>
        <v>2</v>
      </c>
      <c r="Q49" s="9" t="str">
        <f>'Base Codificada'!O50</f>
        <v>até 35 anos</v>
      </c>
    </row>
    <row r="50" spans="1:17" ht="135" x14ac:dyDescent="0.25">
      <c r="A50" s="9">
        <v>48</v>
      </c>
      <c r="B50" s="9" t="s">
        <v>22</v>
      </c>
      <c r="C50" s="9" t="s">
        <v>57</v>
      </c>
      <c r="D50" s="9" t="s">
        <v>58</v>
      </c>
      <c r="E50" s="9" t="s">
        <v>22</v>
      </c>
      <c r="F50" s="9" t="s">
        <v>25</v>
      </c>
      <c r="K50" s="9" t="s">
        <v>70</v>
      </c>
      <c r="L50" s="9">
        <v>52</v>
      </c>
      <c r="M50" s="9" t="s">
        <v>52</v>
      </c>
      <c r="N50" s="9" t="s">
        <v>30</v>
      </c>
      <c r="O50" s="9">
        <f>'Base Codificada'!L51</f>
        <v>80</v>
      </c>
      <c r="P50" s="9">
        <f>'Padronização &amp; Def. Grupos'!H111</f>
        <v>4</v>
      </c>
      <c r="Q50" s="9" t="str">
        <f>'Base Codificada'!O51</f>
        <v>maior do que 50 anos</v>
      </c>
    </row>
    <row r="51" spans="1:17" ht="45" x14ac:dyDescent="0.25">
      <c r="A51" s="9">
        <v>49</v>
      </c>
      <c r="B51" s="9" t="s">
        <v>25</v>
      </c>
      <c r="J51" s="9" t="s">
        <v>43</v>
      </c>
      <c r="K51" s="9" t="s">
        <v>70</v>
      </c>
      <c r="L51" s="9">
        <v>62</v>
      </c>
      <c r="M51" s="9" t="s">
        <v>52</v>
      </c>
      <c r="N51" s="9" t="s">
        <v>30</v>
      </c>
      <c r="O51" s="9">
        <f>'Base Codificada'!L52</f>
        <v>0</v>
      </c>
      <c r="P51" s="9">
        <f>'Padronização &amp; Def. Grupos'!H112</f>
        <v>1</v>
      </c>
      <c r="Q51" s="9" t="str">
        <f>'Base Codificada'!O52</f>
        <v>maior do que 50 anos</v>
      </c>
    </row>
    <row r="52" spans="1:17" ht="120" x14ac:dyDescent="0.25">
      <c r="A52" s="9">
        <v>50</v>
      </c>
      <c r="B52" s="9" t="s">
        <v>40</v>
      </c>
      <c r="C52" s="9" t="s">
        <v>23</v>
      </c>
      <c r="D52" s="9" t="s">
        <v>67</v>
      </c>
      <c r="E52" s="9" t="s">
        <v>22</v>
      </c>
      <c r="F52" s="9" t="s">
        <v>25</v>
      </c>
      <c r="K52" s="9" t="s">
        <v>70</v>
      </c>
      <c r="L52" s="9">
        <v>46</v>
      </c>
      <c r="M52" s="9" t="s">
        <v>52</v>
      </c>
      <c r="N52" s="9" t="s">
        <v>30</v>
      </c>
      <c r="O52" s="9">
        <f>'Base Codificada'!L53</f>
        <v>80</v>
      </c>
      <c r="P52" s="9">
        <f>'Padronização &amp; Def. Grupos'!H113</f>
        <v>4</v>
      </c>
      <c r="Q52" s="9" t="str">
        <f>'Base Codificada'!O53</f>
        <v>entre 40 e  50 anos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52"/>
  <sheetViews>
    <sheetView workbookViewId="0">
      <selection activeCell="I3" sqref="I3"/>
    </sheetView>
  </sheetViews>
  <sheetFormatPr defaultColWidth="18.5703125" defaultRowHeight="15" x14ac:dyDescent="0.25"/>
  <cols>
    <col min="1" max="16384" width="18.5703125" style="1"/>
  </cols>
  <sheetData>
    <row r="1" spans="1:13" ht="10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A2" s="1" t="s">
        <v>13</v>
      </c>
      <c r="B2" s="1" t="s">
        <v>14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13" ht="30" x14ac:dyDescent="0.25">
      <c r="A3" s="1" t="s">
        <v>83</v>
      </c>
      <c r="B3" s="1" t="s">
        <v>84</v>
      </c>
      <c r="C3" s="1" t="s">
        <v>85</v>
      </c>
      <c r="D3" s="1" t="s">
        <v>86</v>
      </c>
      <c r="F3" s="1" t="s">
        <v>86</v>
      </c>
      <c r="G3" s="1" t="s">
        <v>86</v>
      </c>
      <c r="I3" s="1" t="s">
        <v>87</v>
      </c>
      <c r="J3" s="1" t="s">
        <v>83</v>
      </c>
      <c r="K3" s="1" t="s">
        <v>28</v>
      </c>
      <c r="L3" s="1" t="s">
        <v>83</v>
      </c>
      <c r="M3" s="1" t="s">
        <v>86</v>
      </c>
    </row>
    <row r="4" spans="1:13" x14ac:dyDescent="0.25">
      <c r="A4" s="1" t="s">
        <v>83</v>
      </c>
      <c r="B4" s="1" t="s">
        <v>88</v>
      </c>
      <c r="C4" s="1" t="s">
        <v>85</v>
      </c>
      <c r="D4" s="1" t="s">
        <v>86</v>
      </c>
      <c r="F4" s="1" t="s">
        <v>86</v>
      </c>
      <c r="G4" s="1" t="s">
        <v>86</v>
      </c>
      <c r="I4" s="1" t="s">
        <v>88</v>
      </c>
      <c r="J4" s="1" t="s">
        <v>83</v>
      </c>
      <c r="K4" s="1" t="s">
        <v>33</v>
      </c>
      <c r="L4" s="1" t="s">
        <v>86</v>
      </c>
      <c r="M4" s="1" t="s">
        <v>83</v>
      </c>
    </row>
    <row r="5" spans="1:13" ht="30" x14ac:dyDescent="0.25">
      <c r="A5" s="1" t="s">
        <v>83</v>
      </c>
      <c r="B5" s="1" t="s">
        <v>88</v>
      </c>
      <c r="C5" s="1" t="s">
        <v>84</v>
      </c>
      <c r="D5" s="1" t="s">
        <v>86</v>
      </c>
      <c r="F5" s="1" t="s">
        <v>86</v>
      </c>
      <c r="G5" s="1" t="s">
        <v>86</v>
      </c>
      <c r="I5" s="1" t="s">
        <v>89</v>
      </c>
      <c r="J5" s="1" t="s">
        <v>83</v>
      </c>
      <c r="K5" s="1" t="s">
        <v>38</v>
      </c>
      <c r="L5" s="1" t="s">
        <v>85</v>
      </c>
      <c r="M5" s="1" t="s">
        <v>86</v>
      </c>
    </row>
    <row r="6" spans="1:13" x14ac:dyDescent="0.25">
      <c r="A6" s="1" t="s">
        <v>88</v>
      </c>
      <c r="B6" s="1" t="s">
        <v>90</v>
      </c>
      <c r="C6" s="1" t="s">
        <v>88</v>
      </c>
      <c r="D6" s="1" t="s">
        <v>86</v>
      </c>
      <c r="F6" s="1" t="s">
        <v>86</v>
      </c>
      <c r="G6" s="1" t="s">
        <v>86</v>
      </c>
      <c r="I6" s="1" t="s">
        <v>85</v>
      </c>
      <c r="J6" s="1" t="s">
        <v>83</v>
      </c>
      <c r="K6" s="1" t="s">
        <v>44</v>
      </c>
      <c r="L6" s="1" t="s">
        <v>83</v>
      </c>
      <c r="M6" s="1" t="s">
        <v>86</v>
      </c>
    </row>
    <row r="7" spans="1:13" x14ac:dyDescent="0.25">
      <c r="A7" s="1" t="s">
        <v>83</v>
      </c>
      <c r="B7" s="1" t="s">
        <v>84</v>
      </c>
      <c r="C7" s="1" t="s">
        <v>85</v>
      </c>
      <c r="D7" s="1" t="s">
        <v>83</v>
      </c>
      <c r="E7" s="1" t="s">
        <v>83</v>
      </c>
      <c r="H7" s="1" t="s">
        <v>86</v>
      </c>
      <c r="J7" s="1" t="s">
        <v>83</v>
      </c>
      <c r="K7" s="1" t="s">
        <v>45</v>
      </c>
      <c r="L7" s="1" t="s">
        <v>83</v>
      </c>
      <c r="M7" s="1" t="s">
        <v>86</v>
      </c>
    </row>
    <row r="8" spans="1:13" x14ac:dyDescent="0.25">
      <c r="A8" s="1" t="s">
        <v>83</v>
      </c>
      <c r="B8" s="1" t="s">
        <v>90</v>
      </c>
      <c r="C8" s="1" t="s">
        <v>84</v>
      </c>
      <c r="D8" s="1" t="s">
        <v>83</v>
      </c>
      <c r="E8" s="1" t="s">
        <v>86</v>
      </c>
      <c r="J8" s="1" t="s">
        <v>83</v>
      </c>
      <c r="K8" s="1" t="s">
        <v>46</v>
      </c>
      <c r="L8" s="1" t="s">
        <v>83</v>
      </c>
      <c r="M8" s="1" t="s">
        <v>86</v>
      </c>
    </row>
    <row r="9" spans="1:13" x14ac:dyDescent="0.25">
      <c r="A9" s="1" t="s">
        <v>88</v>
      </c>
      <c r="B9" s="1" t="s">
        <v>90</v>
      </c>
      <c r="C9" s="1" t="s">
        <v>85</v>
      </c>
      <c r="D9" s="1" t="s">
        <v>86</v>
      </c>
      <c r="F9" s="1" t="s">
        <v>83</v>
      </c>
      <c r="J9" s="1" t="s">
        <v>83</v>
      </c>
      <c r="K9" s="1" t="s">
        <v>38</v>
      </c>
      <c r="L9" s="1" t="s">
        <v>83</v>
      </c>
      <c r="M9" s="1" t="s">
        <v>86</v>
      </c>
    </row>
    <row r="10" spans="1:13" x14ac:dyDescent="0.25">
      <c r="A10" s="1" t="s">
        <v>83</v>
      </c>
      <c r="B10" s="1" t="s">
        <v>86</v>
      </c>
      <c r="C10" s="1" t="s">
        <v>85</v>
      </c>
      <c r="D10" s="1" t="s">
        <v>86</v>
      </c>
      <c r="F10" s="1" t="s">
        <v>86</v>
      </c>
      <c r="G10" s="1" t="s">
        <v>86</v>
      </c>
      <c r="I10" s="1" t="s">
        <v>91</v>
      </c>
      <c r="J10" s="1" t="s">
        <v>83</v>
      </c>
      <c r="K10" s="1" t="s">
        <v>49</v>
      </c>
      <c r="L10" s="1" t="s">
        <v>86</v>
      </c>
      <c r="M10" s="1" t="s">
        <v>86</v>
      </c>
    </row>
    <row r="11" spans="1:13" x14ac:dyDescent="0.25">
      <c r="A11" s="1" t="s">
        <v>83</v>
      </c>
      <c r="B11" s="1" t="s">
        <v>84</v>
      </c>
      <c r="C11" s="1" t="s">
        <v>85</v>
      </c>
      <c r="D11" s="1" t="s">
        <v>83</v>
      </c>
      <c r="E11" s="1" t="s">
        <v>86</v>
      </c>
      <c r="J11" s="1" t="s">
        <v>83</v>
      </c>
      <c r="K11" s="1" t="s">
        <v>50</v>
      </c>
      <c r="L11" s="1" t="s">
        <v>83</v>
      </c>
      <c r="M11" s="1" t="s">
        <v>86</v>
      </c>
    </row>
    <row r="12" spans="1:13" ht="30" x14ac:dyDescent="0.25">
      <c r="A12" s="1" t="s">
        <v>86</v>
      </c>
      <c r="I12" s="1" t="s">
        <v>92</v>
      </c>
      <c r="J12" s="1" t="s">
        <v>83</v>
      </c>
      <c r="K12" s="1" t="s">
        <v>28</v>
      </c>
      <c r="L12" s="1" t="s">
        <v>88</v>
      </c>
      <c r="M12" s="1" t="s">
        <v>86</v>
      </c>
    </row>
    <row r="13" spans="1:13" x14ac:dyDescent="0.25">
      <c r="A13" s="1" t="s">
        <v>83</v>
      </c>
      <c r="B13" s="1" t="s">
        <v>84</v>
      </c>
      <c r="C13" s="1" t="s">
        <v>85</v>
      </c>
      <c r="D13" s="1" t="s">
        <v>83</v>
      </c>
      <c r="E13" s="1" t="s">
        <v>83</v>
      </c>
      <c r="H13" s="1" t="s">
        <v>86</v>
      </c>
      <c r="J13" s="1" t="s">
        <v>83</v>
      </c>
      <c r="K13" s="1" t="s">
        <v>53</v>
      </c>
      <c r="L13" s="1" t="s">
        <v>83</v>
      </c>
      <c r="M13" s="1" t="s">
        <v>86</v>
      </c>
    </row>
    <row r="14" spans="1:13" x14ac:dyDescent="0.25">
      <c r="A14" s="1" t="s">
        <v>83</v>
      </c>
      <c r="B14" s="1" t="s">
        <v>83</v>
      </c>
      <c r="C14" s="1" t="s">
        <v>88</v>
      </c>
      <c r="D14" s="1" t="s">
        <v>83</v>
      </c>
      <c r="E14" s="1" t="s">
        <v>86</v>
      </c>
      <c r="J14" s="1" t="s">
        <v>83</v>
      </c>
      <c r="K14" s="1" t="s">
        <v>55</v>
      </c>
      <c r="L14" s="1" t="s">
        <v>83</v>
      </c>
      <c r="M14" s="1" t="s">
        <v>86</v>
      </c>
    </row>
    <row r="15" spans="1:13" x14ac:dyDescent="0.25">
      <c r="A15" s="1" t="s">
        <v>83</v>
      </c>
      <c r="B15" s="1" t="s">
        <v>83</v>
      </c>
      <c r="C15" s="1" t="s">
        <v>88</v>
      </c>
      <c r="D15" s="1" t="s">
        <v>83</v>
      </c>
      <c r="E15" s="1" t="s">
        <v>83</v>
      </c>
      <c r="H15" s="1" t="s">
        <v>83</v>
      </c>
      <c r="J15" s="1" t="s">
        <v>83</v>
      </c>
      <c r="K15" s="1" t="s">
        <v>56</v>
      </c>
      <c r="L15" s="1" t="s">
        <v>83</v>
      </c>
      <c r="M15" s="1" t="s">
        <v>86</v>
      </c>
    </row>
    <row r="16" spans="1:13" x14ac:dyDescent="0.25">
      <c r="A16" s="1" t="s">
        <v>83</v>
      </c>
      <c r="B16" s="1" t="s">
        <v>86</v>
      </c>
      <c r="C16" s="1" t="s">
        <v>85</v>
      </c>
      <c r="D16" s="1" t="s">
        <v>83</v>
      </c>
      <c r="E16" s="1" t="s">
        <v>86</v>
      </c>
      <c r="J16" s="1" t="s">
        <v>83</v>
      </c>
      <c r="K16" s="1" t="s">
        <v>46</v>
      </c>
      <c r="L16" s="1" t="s">
        <v>85</v>
      </c>
      <c r="M16" s="1" t="s">
        <v>86</v>
      </c>
    </row>
    <row r="17" spans="1:13" x14ac:dyDescent="0.25">
      <c r="A17" s="1" t="s">
        <v>83</v>
      </c>
      <c r="B17" s="1" t="s">
        <v>85</v>
      </c>
      <c r="C17" s="1" t="s">
        <v>86</v>
      </c>
      <c r="D17" s="1" t="s">
        <v>83</v>
      </c>
      <c r="E17" s="1" t="s">
        <v>83</v>
      </c>
      <c r="H17" s="1" t="s">
        <v>86</v>
      </c>
      <c r="J17" s="1" t="s">
        <v>83</v>
      </c>
      <c r="K17" s="1" t="s">
        <v>59</v>
      </c>
      <c r="L17" s="1" t="s">
        <v>86</v>
      </c>
      <c r="M17" s="1" t="s">
        <v>86</v>
      </c>
    </row>
    <row r="18" spans="1:13" x14ac:dyDescent="0.25">
      <c r="A18" s="1" t="s">
        <v>83</v>
      </c>
      <c r="B18" s="1" t="s">
        <v>83</v>
      </c>
      <c r="C18" s="1" t="s">
        <v>88</v>
      </c>
      <c r="D18" s="1" t="s">
        <v>86</v>
      </c>
      <c r="F18" s="1" t="s">
        <v>86</v>
      </c>
      <c r="G18" s="1" t="s">
        <v>86</v>
      </c>
      <c r="I18" s="1" t="s">
        <v>83</v>
      </c>
      <c r="J18" s="1" t="s">
        <v>83</v>
      </c>
      <c r="K18" s="1" t="s">
        <v>61</v>
      </c>
      <c r="L18" s="1" t="s">
        <v>83</v>
      </c>
      <c r="M18" s="1" t="s">
        <v>86</v>
      </c>
    </row>
    <row r="19" spans="1:13" ht="30" x14ac:dyDescent="0.25">
      <c r="A19" s="1" t="s">
        <v>83</v>
      </c>
      <c r="B19" s="1" t="s">
        <v>84</v>
      </c>
      <c r="C19" s="1" t="s">
        <v>85</v>
      </c>
      <c r="D19" s="1" t="s">
        <v>86</v>
      </c>
      <c r="F19" s="1" t="s">
        <v>86</v>
      </c>
      <c r="G19" s="1" t="s">
        <v>86</v>
      </c>
      <c r="I19" s="1" t="s">
        <v>93</v>
      </c>
      <c r="J19" s="1" t="s">
        <v>83</v>
      </c>
      <c r="K19" s="1" t="s">
        <v>49</v>
      </c>
      <c r="L19" s="1" t="s">
        <v>83</v>
      </c>
      <c r="M19" s="1" t="s">
        <v>86</v>
      </c>
    </row>
    <row r="20" spans="1:13" x14ac:dyDescent="0.25">
      <c r="A20" s="1" t="s">
        <v>83</v>
      </c>
      <c r="B20" s="1" t="s">
        <v>84</v>
      </c>
      <c r="C20" s="1" t="s">
        <v>84</v>
      </c>
      <c r="D20" s="1" t="s">
        <v>83</v>
      </c>
      <c r="E20" s="1" t="s">
        <v>86</v>
      </c>
      <c r="J20" s="1" t="s">
        <v>83</v>
      </c>
      <c r="K20" s="1" t="s">
        <v>63</v>
      </c>
      <c r="L20" s="1" t="s">
        <v>85</v>
      </c>
      <c r="M20" s="1" t="s">
        <v>86</v>
      </c>
    </row>
    <row r="21" spans="1:13" x14ac:dyDescent="0.25">
      <c r="A21" s="1" t="s">
        <v>83</v>
      </c>
      <c r="B21" s="1" t="s">
        <v>90</v>
      </c>
      <c r="C21" s="1" t="s">
        <v>85</v>
      </c>
      <c r="D21" s="1" t="s">
        <v>83</v>
      </c>
      <c r="E21" s="1" t="s">
        <v>86</v>
      </c>
      <c r="J21" s="1" t="s">
        <v>83</v>
      </c>
      <c r="K21" s="1" t="s">
        <v>64</v>
      </c>
      <c r="L21" s="1" t="s">
        <v>84</v>
      </c>
      <c r="M21" s="1" t="s">
        <v>86</v>
      </c>
    </row>
    <row r="22" spans="1:13" x14ac:dyDescent="0.25">
      <c r="A22" s="1" t="s">
        <v>88</v>
      </c>
      <c r="B22" s="1" t="s">
        <v>84</v>
      </c>
      <c r="C22" s="1" t="s">
        <v>84</v>
      </c>
      <c r="D22" s="1" t="s">
        <v>83</v>
      </c>
      <c r="E22" s="1" t="s">
        <v>83</v>
      </c>
      <c r="H22" s="1" t="s">
        <v>86</v>
      </c>
      <c r="J22" s="1" t="s">
        <v>83</v>
      </c>
      <c r="K22" s="1" t="s">
        <v>55</v>
      </c>
      <c r="L22" s="1" t="s">
        <v>83</v>
      </c>
      <c r="M22" s="1" t="s">
        <v>86</v>
      </c>
    </row>
    <row r="23" spans="1:13" x14ac:dyDescent="0.25">
      <c r="A23" s="1" t="s">
        <v>86</v>
      </c>
      <c r="I23" s="1" t="s">
        <v>88</v>
      </c>
      <c r="J23" s="1" t="s">
        <v>83</v>
      </c>
      <c r="K23" s="1" t="s">
        <v>66</v>
      </c>
      <c r="L23" s="1" t="s">
        <v>88</v>
      </c>
      <c r="M23" s="1" t="s">
        <v>83</v>
      </c>
    </row>
    <row r="24" spans="1:13" x14ac:dyDescent="0.25">
      <c r="A24" s="1" t="s">
        <v>83</v>
      </c>
      <c r="B24" s="1" t="s">
        <v>83</v>
      </c>
      <c r="C24" s="1" t="s">
        <v>83</v>
      </c>
      <c r="D24" s="1" t="s">
        <v>86</v>
      </c>
      <c r="F24" s="1" t="s">
        <v>83</v>
      </c>
      <c r="J24" s="1" t="s">
        <v>83</v>
      </c>
      <c r="K24" s="1" t="s">
        <v>68</v>
      </c>
      <c r="L24" s="1" t="s">
        <v>86</v>
      </c>
      <c r="M24" s="1" t="s">
        <v>83</v>
      </c>
    </row>
    <row r="25" spans="1:13" x14ac:dyDescent="0.25">
      <c r="A25" s="1" t="s">
        <v>88</v>
      </c>
      <c r="B25" s="1" t="s">
        <v>84</v>
      </c>
      <c r="C25" s="1" t="s">
        <v>83</v>
      </c>
      <c r="D25" s="1" t="s">
        <v>86</v>
      </c>
      <c r="F25" s="1" t="s">
        <v>86</v>
      </c>
      <c r="G25" s="1" t="s">
        <v>86</v>
      </c>
      <c r="I25" s="1" t="s">
        <v>88</v>
      </c>
      <c r="J25" s="1" t="s">
        <v>83</v>
      </c>
      <c r="K25" s="1" t="s">
        <v>69</v>
      </c>
      <c r="L25" s="1" t="s">
        <v>83</v>
      </c>
      <c r="M25" s="1" t="s">
        <v>86</v>
      </c>
    </row>
    <row r="26" spans="1:13" x14ac:dyDescent="0.25">
      <c r="A26" s="1" t="s">
        <v>83</v>
      </c>
      <c r="B26" s="1" t="s">
        <v>86</v>
      </c>
      <c r="C26" s="1" t="s">
        <v>85</v>
      </c>
      <c r="D26" s="1" t="s">
        <v>83</v>
      </c>
      <c r="E26" s="1" t="s">
        <v>86</v>
      </c>
      <c r="J26" s="1" t="s">
        <v>86</v>
      </c>
      <c r="K26" s="1" t="s">
        <v>45</v>
      </c>
      <c r="L26" s="1" t="s">
        <v>83</v>
      </c>
      <c r="M26" s="1" t="s">
        <v>86</v>
      </c>
    </row>
    <row r="27" spans="1:13" x14ac:dyDescent="0.25">
      <c r="A27" s="1" t="s">
        <v>83</v>
      </c>
      <c r="B27" s="1" t="s">
        <v>83</v>
      </c>
      <c r="C27" s="1" t="s">
        <v>88</v>
      </c>
      <c r="D27" s="1" t="s">
        <v>86</v>
      </c>
      <c r="F27" s="1" t="s">
        <v>83</v>
      </c>
      <c r="J27" s="1" t="s">
        <v>86</v>
      </c>
      <c r="K27" s="1" t="s">
        <v>71</v>
      </c>
      <c r="L27" s="1" t="s">
        <v>86</v>
      </c>
      <c r="M27" s="1" t="s">
        <v>86</v>
      </c>
    </row>
    <row r="28" spans="1:13" x14ac:dyDescent="0.25">
      <c r="A28" s="1" t="s">
        <v>86</v>
      </c>
      <c r="I28" s="1" t="s">
        <v>88</v>
      </c>
      <c r="J28" s="1" t="s">
        <v>86</v>
      </c>
      <c r="K28" s="1" t="s">
        <v>49</v>
      </c>
      <c r="L28" s="1" t="s">
        <v>83</v>
      </c>
      <c r="M28" s="1" t="s">
        <v>86</v>
      </c>
    </row>
    <row r="29" spans="1:13" x14ac:dyDescent="0.25">
      <c r="A29" s="1" t="s">
        <v>83</v>
      </c>
      <c r="B29" s="1" t="s">
        <v>84</v>
      </c>
      <c r="C29" s="1" t="s">
        <v>88</v>
      </c>
      <c r="D29" s="1" t="s">
        <v>86</v>
      </c>
      <c r="F29" s="1" t="s">
        <v>86</v>
      </c>
      <c r="G29" s="1" t="s">
        <v>86</v>
      </c>
      <c r="I29" s="1" t="s">
        <v>94</v>
      </c>
      <c r="J29" s="1" t="s">
        <v>86</v>
      </c>
      <c r="K29" s="1" t="s">
        <v>68</v>
      </c>
      <c r="L29" s="1" t="s">
        <v>83</v>
      </c>
      <c r="M29" s="1" t="s">
        <v>86</v>
      </c>
    </row>
    <row r="30" spans="1:13" x14ac:dyDescent="0.25">
      <c r="A30" s="1" t="s">
        <v>88</v>
      </c>
      <c r="B30" s="1" t="s">
        <v>84</v>
      </c>
      <c r="C30" s="1" t="s">
        <v>85</v>
      </c>
      <c r="D30" s="1" t="s">
        <v>86</v>
      </c>
      <c r="F30" s="1" t="s">
        <v>86</v>
      </c>
      <c r="G30" s="1" t="s">
        <v>86</v>
      </c>
      <c r="I30" s="1" t="s">
        <v>85</v>
      </c>
      <c r="J30" s="1" t="s">
        <v>86</v>
      </c>
      <c r="K30" s="1" t="s">
        <v>50</v>
      </c>
      <c r="L30" s="1" t="s">
        <v>85</v>
      </c>
      <c r="M30" s="1" t="s">
        <v>86</v>
      </c>
    </row>
    <row r="31" spans="1:13" x14ac:dyDescent="0.25">
      <c r="A31" s="1" t="s">
        <v>83</v>
      </c>
      <c r="B31" s="1" t="s">
        <v>83</v>
      </c>
      <c r="C31" s="1" t="s">
        <v>85</v>
      </c>
      <c r="D31" s="1" t="s">
        <v>83</v>
      </c>
      <c r="E31" s="1" t="s">
        <v>83</v>
      </c>
      <c r="H31" s="1" t="s">
        <v>83</v>
      </c>
      <c r="J31" s="1" t="s">
        <v>86</v>
      </c>
      <c r="K31" s="1" t="s">
        <v>73</v>
      </c>
      <c r="L31" s="1" t="s">
        <v>85</v>
      </c>
      <c r="M31" s="1" t="s">
        <v>86</v>
      </c>
    </row>
    <row r="32" spans="1:13" x14ac:dyDescent="0.25">
      <c r="A32" s="1" t="s">
        <v>83</v>
      </c>
      <c r="B32" s="1" t="s">
        <v>83</v>
      </c>
      <c r="C32" s="1" t="s">
        <v>86</v>
      </c>
      <c r="D32" s="1" t="s">
        <v>83</v>
      </c>
      <c r="E32" s="1" t="s">
        <v>83</v>
      </c>
      <c r="H32" s="1" t="s">
        <v>83</v>
      </c>
      <c r="J32" s="1" t="s">
        <v>86</v>
      </c>
      <c r="K32" s="1" t="s">
        <v>74</v>
      </c>
      <c r="L32" s="1" t="s">
        <v>83</v>
      </c>
      <c r="M32" s="1" t="s">
        <v>86</v>
      </c>
    </row>
    <row r="33" spans="1:13" x14ac:dyDescent="0.25">
      <c r="A33" s="1" t="s">
        <v>83</v>
      </c>
      <c r="B33" s="1" t="s">
        <v>83</v>
      </c>
      <c r="C33" s="1" t="s">
        <v>88</v>
      </c>
      <c r="D33" s="1" t="s">
        <v>86</v>
      </c>
      <c r="F33" s="1" t="s">
        <v>86</v>
      </c>
      <c r="G33" s="1" t="s">
        <v>83</v>
      </c>
      <c r="J33" s="1" t="s">
        <v>86</v>
      </c>
      <c r="K33" s="1" t="s">
        <v>53</v>
      </c>
      <c r="L33" s="1" t="s">
        <v>83</v>
      </c>
      <c r="M33" s="1" t="s">
        <v>83</v>
      </c>
    </row>
    <row r="34" spans="1:13" x14ac:dyDescent="0.25">
      <c r="A34" s="1" t="s">
        <v>88</v>
      </c>
      <c r="B34" s="1" t="s">
        <v>84</v>
      </c>
      <c r="C34" s="1" t="s">
        <v>86</v>
      </c>
      <c r="D34" s="1" t="s">
        <v>86</v>
      </c>
      <c r="F34" s="1" t="s">
        <v>86</v>
      </c>
      <c r="G34" s="1" t="s">
        <v>86</v>
      </c>
      <c r="I34" s="1" t="s">
        <v>85</v>
      </c>
      <c r="J34" s="1" t="s">
        <v>86</v>
      </c>
      <c r="K34" s="1" t="s">
        <v>73</v>
      </c>
      <c r="L34" s="1" t="s">
        <v>86</v>
      </c>
      <c r="M34" s="1" t="s">
        <v>86</v>
      </c>
    </row>
    <row r="35" spans="1:13" x14ac:dyDescent="0.25">
      <c r="A35" s="1" t="s">
        <v>83</v>
      </c>
      <c r="B35" s="1" t="s">
        <v>86</v>
      </c>
      <c r="C35" s="1" t="s">
        <v>84</v>
      </c>
      <c r="D35" s="1" t="s">
        <v>86</v>
      </c>
      <c r="F35" s="1" t="s">
        <v>86</v>
      </c>
      <c r="G35" s="1" t="s">
        <v>83</v>
      </c>
      <c r="J35" s="1" t="s">
        <v>86</v>
      </c>
      <c r="K35" s="1" t="s">
        <v>50</v>
      </c>
      <c r="L35" s="1" t="s">
        <v>83</v>
      </c>
      <c r="M35" s="1" t="s">
        <v>86</v>
      </c>
    </row>
    <row r="36" spans="1:13" x14ac:dyDescent="0.25">
      <c r="A36" s="1" t="s">
        <v>88</v>
      </c>
      <c r="B36" s="1" t="s">
        <v>83</v>
      </c>
      <c r="C36" s="1" t="s">
        <v>84</v>
      </c>
      <c r="D36" s="1" t="s">
        <v>86</v>
      </c>
      <c r="F36" s="1" t="s">
        <v>86</v>
      </c>
      <c r="G36" s="1" t="s">
        <v>86</v>
      </c>
      <c r="I36" s="1" t="s">
        <v>85</v>
      </c>
      <c r="J36" s="1" t="s">
        <v>86</v>
      </c>
      <c r="K36" s="1" t="s">
        <v>45</v>
      </c>
      <c r="L36" s="1" t="s">
        <v>83</v>
      </c>
      <c r="M36" s="1" t="s">
        <v>86</v>
      </c>
    </row>
    <row r="37" spans="1:13" x14ac:dyDescent="0.25">
      <c r="A37" s="1" t="s">
        <v>83</v>
      </c>
      <c r="B37" s="1" t="s">
        <v>85</v>
      </c>
      <c r="C37" s="1" t="s">
        <v>85</v>
      </c>
      <c r="D37" s="1" t="s">
        <v>83</v>
      </c>
      <c r="E37" s="1" t="s">
        <v>83</v>
      </c>
      <c r="H37" s="1" t="s">
        <v>83</v>
      </c>
      <c r="J37" s="1" t="s">
        <v>86</v>
      </c>
      <c r="K37" s="1" t="s">
        <v>38</v>
      </c>
      <c r="L37" s="1" t="s">
        <v>83</v>
      </c>
      <c r="M37" s="1" t="s">
        <v>86</v>
      </c>
    </row>
    <row r="38" spans="1:13" x14ac:dyDescent="0.25">
      <c r="A38" s="1" t="s">
        <v>88</v>
      </c>
      <c r="B38" s="1" t="s">
        <v>90</v>
      </c>
      <c r="C38" s="1" t="s">
        <v>83</v>
      </c>
      <c r="D38" s="1" t="s">
        <v>86</v>
      </c>
      <c r="F38" s="1" t="s">
        <v>86</v>
      </c>
      <c r="G38" s="1" t="s">
        <v>83</v>
      </c>
      <c r="J38" s="1" t="s">
        <v>86</v>
      </c>
      <c r="K38" s="1" t="s">
        <v>75</v>
      </c>
      <c r="L38" s="1" t="s">
        <v>83</v>
      </c>
      <c r="M38" s="1" t="s">
        <v>86</v>
      </c>
    </row>
    <row r="39" spans="1:13" x14ac:dyDescent="0.25">
      <c r="A39" s="1" t="s">
        <v>83</v>
      </c>
      <c r="B39" s="1" t="s">
        <v>90</v>
      </c>
      <c r="C39" s="1" t="s">
        <v>85</v>
      </c>
      <c r="D39" s="1" t="s">
        <v>83</v>
      </c>
      <c r="E39" s="1" t="s">
        <v>86</v>
      </c>
      <c r="J39" s="1" t="s">
        <v>86</v>
      </c>
      <c r="K39" s="1" t="s">
        <v>33</v>
      </c>
      <c r="L39" s="1" t="s">
        <v>86</v>
      </c>
      <c r="M39" s="1" t="s">
        <v>86</v>
      </c>
    </row>
    <row r="40" spans="1:13" x14ac:dyDescent="0.25">
      <c r="A40" s="1" t="s">
        <v>86</v>
      </c>
      <c r="I40" s="1" t="s">
        <v>88</v>
      </c>
      <c r="J40" s="1" t="s">
        <v>86</v>
      </c>
      <c r="K40" s="1" t="s">
        <v>59</v>
      </c>
      <c r="L40" s="1" t="s">
        <v>83</v>
      </c>
      <c r="M40" s="1" t="s">
        <v>86</v>
      </c>
    </row>
    <row r="41" spans="1:13" x14ac:dyDescent="0.25">
      <c r="A41" s="1" t="s">
        <v>83</v>
      </c>
      <c r="B41" s="1" t="s">
        <v>84</v>
      </c>
      <c r="C41" s="1" t="s">
        <v>85</v>
      </c>
      <c r="D41" s="1" t="s">
        <v>86</v>
      </c>
      <c r="F41" s="1" t="s">
        <v>86</v>
      </c>
      <c r="G41" s="1" t="s">
        <v>86</v>
      </c>
      <c r="I41" s="1" t="s">
        <v>86</v>
      </c>
      <c r="J41" s="1" t="s">
        <v>86</v>
      </c>
      <c r="K41" s="1" t="s">
        <v>77</v>
      </c>
      <c r="L41" s="1" t="s">
        <v>83</v>
      </c>
      <c r="M41" s="1" t="s">
        <v>86</v>
      </c>
    </row>
    <row r="42" spans="1:13" x14ac:dyDescent="0.25">
      <c r="A42" s="1" t="s">
        <v>83</v>
      </c>
      <c r="B42" s="1" t="s">
        <v>86</v>
      </c>
      <c r="C42" s="1" t="s">
        <v>83</v>
      </c>
      <c r="D42" s="1" t="s">
        <v>83</v>
      </c>
      <c r="E42" s="1" t="s">
        <v>86</v>
      </c>
      <c r="J42" s="1" t="s">
        <v>86</v>
      </c>
      <c r="K42" s="1" t="s">
        <v>78</v>
      </c>
      <c r="L42" s="1" t="s">
        <v>83</v>
      </c>
      <c r="M42" s="1" t="s">
        <v>86</v>
      </c>
    </row>
    <row r="43" spans="1:13" x14ac:dyDescent="0.25">
      <c r="A43" s="1" t="s">
        <v>83</v>
      </c>
      <c r="B43" s="1" t="s">
        <v>86</v>
      </c>
      <c r="C43" s="1" t="s">
        <v>86</v>
      </c>
      <c r="D43" s="1" t="s">
        <v>83</v>
      </c>
      <c r="E43" s="1" t="s">
        <v>86</v>
      </c>
      <c r="J43" s="1" t="s">
        <v>86</v>
      </c>
      <c r="K43" s="1" t="s">
        <v>79</v>
      </c>
      <c r="L43" s="1" t="s">
        <v>83</v>
      </c>
      <c r="M43" s="1" t="s">
        <v>86</v>
      </c>
    </row>
    <row r="44" spans="1:13" x14ac:dyDescent="0.25">
      <c r="A44" s="1" t="s">
        <v>83</v>
      </c>
      <c r="B44" s="1" t="s">
        <v>86</v>
      </c>
      <c r="C44" s="1" t="s">
        <v>85</v>
      </c>
      <c r="D44" s="1" t="s">
        <v>83</v>
      </c>
      <c r="E44" s="1" t="s">
        <v>86</v>
      </c>
      <c r="J44" s="1" t="s">
        <v>86</v>
      </c>
      <c r="K44" s="1" t="s">
        <v>79</v>
      </c>
      <c r="L44" s="1" t="s">
        <v>86</v>
      </c>
      <c r="M44" s="1" t="s">
        <v>86</v>
      </c>
    </row>
    <row r="45" spans="1:13" x14ac:dyDescent="0.25">
      <c r="A45" s="1" t="s">
        <v>88</v>
      </c>
      <c r="B45" s="1" t="s">
        <v>85</v>
      </c>
      <c r="C45" s="1" t="s">
        <v>83</v>
      </c>
      <c r="D45" s="1" t="s">
        <v>83</v>
      </c>
      <c r="E45" s="1" t="s">
        <v>86</v>
      </c>
      <c r="J45" s="1" t="s">
        <v>86</v>
      </c>
      <c r="K45" s="1" t="s">
        <v>33</v>
      </c>
      <c r="L45" s="1" t="s">
        <v>88</v>
      </c>
      <c r="M45" s="1" t="s">
        <v>86</v>
      </c>
    </row>
    <row r="46" spans="1:13" x14ac:dyDescent="0.25">
      <c r="A46" s="1" t="s">
        <v>83</v>
      </c>
      <c r="B46" s="1" t="s">
        <v>86</v>
      </c>
      <c r="C46" s="1" t="s">
        <v>85</v>
      </c>
      <c r="D46" s="1" t="s">
        <v>83</v>
      </c>
      <c r="E46" s="1" t="s">
        <v>86</v>
      </c>
      <c r="J46" s="1" t="s">
        <v>86</v>
      </c>
      <c r="K46" s="1" t="s">
        <v>68</v>
      </c>
      <c r="L46" s="1" t="s">
        <v>85</v>
      </c>
      <c r="M46" s="1" t="s">
        <v>86</v>
      </c>
    </row>
    <row r="47" spans="1:13" x14ac:dyDescent="0.25">
      <c r="A47" s="1" t="s">
        <v>83</v>
      </c>
      <c r="B47" s="1" t="s">
        <v>84</v>
      </c>
      <c r="C47" s="1" t="s">
        <v>84</v>
      </c>
      <c r="D47" s="1" t="s">
        <v>83</v>
      </c>
      <c r="E47" s="1" t="s">
        <v>83</v>
      </c>
      <c r="H47" s="1" t="s">
        <v>86</v>
      </c>
      <c r="J47" s="1" t="s">
        <v>86</v>
      </c>
      <c r="K47" s="1" t="s">
        <v>63</v>
      </c>
      <c r="L47" s="1" t="s">
        <v>83</v>
      </c>
      <c r="M47" s="1" t="s">
        <v>83</v>
      </c>
    </row>
    <row r="48" spans="1:13" x14ac:dyDescent="0.25">
      <c r="A48" s="1" t="s">
        <v>83</v>
      </c>
      <c r="B48" s="1" t="s">
        <v>86</v>
      </c>
      <c r="C48" s="1" t="s">
        <v>86</v>
      </c>
      <c r="D48" s="1" t="s">
        <v>86</v>
      </c>
      <c r="F48" s="1" t="s">
        <v>86</v>
      </c>
      <c r="G48" s="1" t="s">
        <v>83</v>
      </c>
      <c r="J48" s="1" t="s">
        <v>86</v>
      </c>
      <c r="K48" s="1" t="s">
        <v>80</v>
      </c>
      <c r="L48" s="1" t="s">
        <v>83</v>
      </c>
      <c r="M48" s="1" t="s">
        <v>86</v>
      </c>
    </row>
    <row r="49" spans="1:13" x14ac:dyDescent="0.25">
      <c r="A49" s="1" t="s">
        <v>88</v>
      </c>
      <c r="B49" s="1" t="s">
        <v>90</v>
      </c>
      <c r="C49" s="1" t="s">
        <v>86</v>
      </c>
      <c r="D49" s="1" t="s">
        <v>83</v>
      </c>
      <c r="E49" s="1" t="s">
        <v>83</v>
      </c>
      <c r="H49" s="1" t="s">
        <v>83</v>
      </c>
      <c r="J49" s="1" t="s">
        <v>86</v>
      </c>
      <c r="K49" s="1" t="s">
        <v>81</v>
      </c>
      <c r="L49" s="1" t="s">
        <v>84</v>
      </c>
      <c r="M49" s="1" t="s">
        <v>86</v>
      </c>
    </row>
    <row r="50" spans="1:13" x14ac:dyDescent="0.25">
      <c r="A50" s="1" t="s">
        <v>83</v>
      </c>
      <c r="B50" s="1" t="s">
        <v>85</v>
      </c>
      <c r="C50" s="1" t="s">
        <v>86</v>
      </c>
      <c r="D50" s="1" t="s">
        <v>83</v>
      </c>
      <c r="E50" s="1" t="s">
        <v>86</v>
      </c>
      <c r="J50" s="1" t="s">
        <v>86</v>
      </c>
      <c r="K50" s="1" t="s">
        <v>82</v>
      </c>
      <c r="L50" s="1" t="s">
        <v>88</v>
      </c>
      <c r="M50" s="1" t="s">
        <v>86</v>
      </c>
    </row>
    <row r="51" spans="1:13" x14ac:dyDescent="0.25">
      <c r="A51" s="1" t="s">
        <v>86</v>
      </c>
      <c r="I51" s="1" t="s">
        <v>85</v>
      </c>
      <c r="J51" s="1" t="s">
        <v>86</v>
      </c>
      <c r="K51" s="1" t="s">
        <v>69</v>
      </c>
      <c r="L51" s="1" t="s">
        <v>88</v>
      </c>
      <c r="M51" s="1" t="s">
        <v>86</v>
      </c>
    </row>
    <row r="52" spans="1:13" x14ac:dyDescent="0.25">
      <c r="A52" s="1" t="s">
        <v>88</v>
      </c>
      <c r="B52" s="1" t="s">
        <v>84</v>
      </c>
      <c r="C52" s="1" t="s">
        <v>83</v>
      </c>
      <c r="D52" s="1" t="s">
        <v>83</v>
      </c>
      <c r="E52" s="1" t="s">
        <v>86</v>
      </c>
      <c r="J52" s="1" t="s">
        <v>86</v>
      </c>
      <c r="K52" s="1" t="s">
        <v>56</v>
      </c>
      <c r="L52" s="1" t="s">
        <v>88</v>
      </c>
      <c r="M52" s="1" t="s">
        <v>86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6CDC8-2343-4D07-99CD-CF9DF9E7BD61}">
  <sheetPr codeName="Planilha3"/>
  <dimension ref="A1:P53"/>
  <sheetViews>
    <sheetView workbookViewId="0"/>
  </sheetViews>
  <sheetFormatPr defaultColWidth="18.5703125" defaultRowHeight="15" x14ac:dyDescent="0.25"/>
  <cols>
    <col min="1" max="6" width="18.5703125" style="1"/>
    <col min="7" max="7" width="18.5703125" style="2"/>
    <col min="8" max="13" width="18.5703125" style="1"/>
    <col min="14" max="14" width="8.28515625" style="1" bestFit="1" customWidth="1"/>
    <col min="15" max="15" width="18.140625" style="1" bestFit="1" customWidth="1"/>
    <col min="16" max="16" width="14.85546875" style="1" bestFit="1" customWidth="1"/>
    <col min="17" max="16384" width="18.5703125" style="1"/>
  </cols>
  <sheetData>
    <row r="1" spans="1:16" x14ac:dyDescent="0.25">
      <c r="A1" s="3" t="s">
        <v>185</v>
      </c>
    </row>
    <row r="3" spans="1:16" ht="105" x14ac:dyDescent="0.25">
      <c r="A3" s="1" t="s">
        <v>152</v>
      </c>
      <c r="B3" s="1" t="s">
        <v>1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9</v>
      </c>
      <c r="I3" s="1" t="s">
        <v>11</v>
      </c>
      <c r="J3" s="1" t="s">
        <v>12</v>
      </c>
      <c r="K3" s="1" t="s">
        <v>153</v>
      </c>
      <c r="L3" s="5" t="s">
        <v>149</v>
      </c>
      <c r="M3" s="5" t="s">
        <v>172</v>
      </c>
      <c r="N3" s="1" t="s">
        <v>10</v>
      </c>
      <c r="O3" s="1" t="s">
        <v>173</v>
      </c>
      <c r="P3" s="1" t="s">
        <v>178</v>
      </c>
    </row>
    <row r="4" spans="1:16" x14ac:dyDescent="0.25">
      <c r="A4" s="1">
        <v>1</v>
      </c>
      <c r="B4" s="1">
        <v>5</v>
      </c>
      <c r="C4" s="1">
        <v>2</v>
      </c>
      <c r="E4" s="1">
        <v>2</v>
      </c>
      <c r="F4" s="1">
        <v>2</v>
      </c>
      <c r="G4" s="1"/>
      <c r="H4" s="1">
        <v>1</v>
      </c>
      <c r="I4" s="1">
        <v>1</v>
      </c>
      <c r="J4" s="1">
        <v>2</v>
      </c>
      <c r="K4" s="1">
        <f>G118</f>
        <v>0</v>
      </c>
      <c r="L4" s="2">
        <v>0</v>
      </c>
      <c r="M4" s="2">
        <v>0</v>
      </c>
      <c r="N4" s="1">
        <v>35</v>
      </c>
      <c r="O4" s="1" t="s">
        <v>174</v>
      </c>
      <c r="P4" s="1">
        <v>0</v>
      </c>
    </row>
    <row r="5" spans="1:16" x14ac:dyDescent="0.25">
      <c r="A5" s="1">
        <v>2</v>
      </c>
      <c r="B5" s="1">
        <v>3</v>
      </c>
      <c r="C5" s="1">
        <v>2</v>
      </c>
      <c r="E5" s="1">
        <v>2</v>
      </c>
      <c r="F5" s="1">
        <v>2</v>
      </c>
      <c r="G5" s="1"/>
      <c r="H5" s="1">
        <v>1</v>
      </c>
      <c r="I5" s="1">
        <v>2</v>
      </c>
      <c r="J5" s="1">
        <v>1</v>
      </c>
      <c r="K5" s="1">
        <f t="shared" ref="K5:K53" si="0">G119</f>
        <v>0</v>
      </c>
      <c r="L5" s="2">
        <v>0</v>
      </c>
      <c r="M5" s="2">
        <v>0</v>
      </c>
      <c r="N5" s="1">
        <v>37</v>
      </c>
      <c r="O5" s="1" t="s">
        <v>175</v>
      </c>
      <c r="P5" s="1">
        <v>1</v>
      </c>
    </row>
    <row r="6" spans="1:16" x14ac:dyDescent="0.25">
      <c r="A6" s="1">
        <v>3</v>
      </c>
      <c r="B6" s="1">
        <v>3</v>
      </c>
      <c r="C6" s="1">
        <v>2</v>
      </c>
      <c r="E6" s="1">
        <v>2</v>
      </c>
      <c r="F6" s="1">
        <v>2</v>
      </c>
      <c r="G6" s="1"/>
      <c r="H6" s="1">
        <v>1</v>
      </c>
      <c r="I6" s="1">
        <v>4</v>
      </c>
      <c r="J6" s="1">
        <v>2</v>
      </c>
      <c r="K6" s="1">
        <f t="shared" si="0"/>
        <v>0</v>
      </c>
      <c r="L6" s="2">
        <v>0</v>
      </c>
      <c r="M6" s="2">
        <v>0</v>
      </c>
      <c r="N6" s="1">
        <v>34</v>
      </c>
      <c r="O6" s="1" t="s">
        <v>174</v>
      </c>
      <c r="P6" s="1">
        <v>0</v>
      </c>
    </row>
    <row r="7" spans="1:16" x14ac:dyDescent="0.25">
      <c r="A7" s="1">
        <v>4</v>
      </c>
      <c r="B7" s="1">
        <v>6</v>
      </c>
      <c r="C7" s="1">
        <v>2</v>
      </c>
      <c r="E7" s="1">
        <v>2</v>
      </c>
      <c r="F7" s="1">
        <v>2</v>
      </c>
      <c r="G7" s="1"/>
      <c r="H7" s="1">
        <v>1</v>
      </c>
      <c r="I7" s="1">
        <v>1</v>
      </c>
      <c r="J7" s="1">
        <v>2</v>
      </c>
      <c r="K7" s="1">
        <f t="shared" si="0"/>
        <v>0</v>
      </c>
      <c r="L7" s="2">
        <v>0</v>
      </c>
      <c r="M7" s="2">
        <v>0</v>
      </c>
      <c r="N7" s="1">
        <v>27</v>
      </c>
      <c r="O7" s="1" t="s">
        <v>174</v>
      </c>
      <c r="P7" s="1">
        <v>0</v>
      </c>
    </row>
    <row r="8" spans="1:16" x14ac:dyDescent="0.25">
      <c r="A8" s="1">
        <v>5</v>
      </c>
      <c r="B8" s="1">
        <v>5</v>
      </c>
      <c r="C8" s="1">
        <v>1</v>
      </c>
      <c r="D8" s="1">
        <v>1</v>
      </c>
      <c r="G8" s="1">
        <v>2</v>
      </c>
      <c r="H8" s="1">
        <v>1</v>
      </c>
      <c r="I8" s="1">
        <v>1</v>
      </c>
      <c r="J8" s="1">
        <v>2</v>
      </c>
      <c r="K8" s="1">
        <f t="shared" si="0"/>
        <v>0</v>
      </c>
      <c r="L8" s="2">
        <v>100</v>
      </c>
      <c r="M8" s="2">
        <v>4</v>
      </c>
      <c r="N8" s="1">
        <v>39</v>
      </c>
      <c r="O8" s="1" t="s">
        <v>175</v>
      </c>
      <c r="P8" s="1">
        <v>1</v>
      </c>
    </row>
    <row r="9" spans="1:16" x14ac:dyDescent="0.25">
      <c r="A9" s="1">
        <v>6</v>
      </c>
      <c r="B9" s="1">
        <v>6</v>
      </c>
      <c r="C9" s="1">
        <v>1</v>
      </c>
      <c r="D9" s="1">
        <v>2</v>
      </c>
      <c r="G9" s="1"/>
      <c r="H9" s="1">
        <v>1</v>
      </c>
      <c r="I9" s="1">
        <v>1</v>
      </c>
      <c r="J9" s="1">
        <v>2</v>
      </c>
      <c r="K9" s="1">
        <f t="shared" si="0"/>
        <v>0</v>
      </c>
      <c r="L9" s="2">
        <v>80</v>
      </c>
      <c r="M9" s="2">
        <v>3</v>
      </c>
      <c r="N9" s="1">
        <v>42</v>
      </c>
      <c r="O9" s="1" t="s">
        <v>176</v>
      </c>
      <c r="P9" s="1">
        <v>2</v>
      </c>
    </row>
    <row r="10" spans="1:16" x14ac:dyDescent="0.25">
      <c r="A10" s="1">
        <v>7</v>
      </c>
      <c r="B10" s="1">
        <v>6</v>
      </c>
      <c r="C10" s="1">
        <v>2</v>
      </c>
      <c r="E10" s="1">
        <v>1</v>
      </c>
      <c r="G10" s="1"/>
      <c r="H10" s="1">
        <v>1</v>
      </c>
      <c r="I10" s="1">
        <v>1</v>
      </c>
      <c r="J10" s="1">
        <v>2</v>
      </c>
      <c r="K10" s="1">
        <f t="shared" si="0"/>
        <v>0</v>
      </c>
      <c r="L10" s="2">
        <v>50</v>
      </c>
      <c r="M10" s="2">
        <v>2</v>
      </c>
      <c r="N10" s="1">
        <v>34</v>
      </c>
      <c r="O10" s="1" t="s">
        <v>174</v>
      </c>
      <c r="P10" s="1">
        <v>0</v>
      </c>
    </row>
    <row r="11" spans="1:16" x14ac:dyDescent="0.25">
      <c r="A11" s="1">
        <v>8</v>
      </c>
      <c r="B11" s="1">
        <v>2</v>
      </c>
      <c r="C11" s="1">
        <v>2</v>
      </c>
      <c r="E11" s="1">
        <v>2</v>
      </c>
      <c r="F11" s="1">
        <v>2</v>
      </c>
      <c r="G11" s="1"/>
      <c r="H11" s="1">
        <v>1</v>
      </c>
      <c r="I11" s="1">
        <v>2</v>
      </c>
      <c r="J11" s="1">
        <v>2</v>
      </c>
      <c r="K11" s="1">
        <f t="shared" si="0"/>
        <v>0</v>
      </c>
      <c r="L11" s="2">
        <v>0</v>
      </c>
      <c r="M11" s="2">
        <v>0</v>
      </c>
      <c r="N11" s="1">
        <v>29</v>
      </c>
      <c r="O11" s="1" t="s">
        <v>174</v>
      </c>
      <c r="P11" s="1">
        <v>0</v>
      </c>
    </row>
    <row r="12" spans="1:16" x14ac:dyDescent="0.25">
      <c r="A12" s="1">
        <v>9</v>
      </c>
      <c r="B12" s="1">
        <v>5</v>
      </c>
      <c r="C12" s="1">
        <v>1</v>
      </c>
      <c r="D12" s="1">
        <v>2</v>
      </c>
      <c r="G12" s="1"/>
      <c r="H12" s="1">
        <v>1</v>
      </c>
      <c r="I12" s="1">
        <v>1</v>
      </c>
      <c r="J12" s="1">
        <v>2</v>
      </c>
      <c r="K12" s="1">
        <f t="shared" si="0"/>
        <v>0</v>
      </c>
      <c r="L12" s="2">
        <v>80</v>
      </c>
      <c r="M12" s="2">
        <v>3</v>
      </c>
      <c r="N12" s="1">
        <v>33</v>
      </c>
      <c r="O12" s="1" t="s">
        <v>174</v>
      </c>
      <c r="P12" s="1">
        <v>0</v>
      </c>
    </row>
    <row r="13" spans="1:16" x14ac:dyDescent="0.25">
      <c r="A13" s="1">
        <v>10</v>
      </c>
      <c r="G13" s="1"/>
      <c r="H13" s="1">
        <v>1</v>
      </c>
      <c r="I13" s="1">
        <v>3</v>
      </c>
      <c r="J13" s="1">
        <v>2</v>
      </c>
      <c r="K13" s="1">
        <f t="shared" si="0"/>
        <v>0</v>
      </c>
      <c r="L13" s="2">
        <v>0</v>
      </c>
      <c r="M13" s="2">
        <v>0</v>
      </c>
      <c r="N13" s="1">
        <v>35</v>
      </c>
      <c r="O13" s="1" t="s">
        <v>174</v>
      </c>
      <c r="P13" s="1">
        <v>0</v>
      </c>
    </row>
    <row r="14" spans="1:16" x14ac:dyDescent="0.25">
      <c r="A14" s="1">
        <v>11</v>
      </c>
      <c r="B14" s="1">
        <v>5</v>
      </c>
      <c r="C14" s="1">
        <v>1</v>
      </c>
      <c r="D14" s="1">
        <v>1</v>
      </c>
      <c r="G14" s="1">
        <v>2</v>
      </c>
      <c r="H14" s="1">
        <v>1</v>
      </c>
      <c r="I14" s="1">
        <v>1</v>
      </c>
      <c r="J14" s="1">
        <v>2</v>
      </c>
      <c r="K14" s="1">
        <f t="shared" si="0"/>
        <v>0</v>
      </c>
      <c r="L14" s="2">
        <v>100</v>
      </c>
      <c r="M14" s="2">
        <v>4</v>
      </c>
      <c r="N14" s="1">
        <v>45</v>
      </c>
      <c r="O14" s="1" t="s">
        <v>176</v>
      </c>
      <c r="P14" s="1">
        <v>2</v>
      </c>
    </row>
    <row r="15" spans="1:16" x14ac:dyDescent="0.25">
      <c r="A15" s="1">
        <v>12</v>
      </c>
      <c r="B15" s="1">
        <v>1</v>
      </c>
      <c r="C15" s="1">
        <v>1</v>
      </c>
      <c r="D15" s="1">
        <v>2</v>
      </c>
      <c r="G15" s="1"/>
      <c r="H15" s="1">
        <v>1</v>
      </c>
      <c r="I15" s="1">
        <v>1</v>
      </c>
      <c r="J15" s="1">
        <v>2</v>
      </c>
      <c r="K15" s="1">
        <f t="shared" si="0"/>
        <v>0</v>
      </c>
      <c r="L15" s="2">
        <v>80</v>
      </c>
      <c r="M15" s="2">
        <v>3</v>
      </c>
      <c r="N15" s="1">
        <v>50</v>
      </c>
      <c r="O15" s="1" t="s">
        <v>176</v>
      </c>
      <c r="P15" s="1">
        <v>2</v>
      </c>
    </row>
    <row r="16" spans="1:16" x14ac:dyDescent="0.25">
      <c r="A16" s="1">
        <v>13</v>
      </c>
      <c r="B16" s="1">
        <v>1</v>
      </c>
      <c r="C16" s="1">
        <v>1</v>
      </c>
      <c r="D16" s="1">
        <v>1</v>
      </c>
      <c r="G16" s="1">
        <v>1</v>
      </c>
      <c r="H16" s="1">
        <v>1</v>
      </c>
      <c r="I16" s="1">
        <v>1</v>
      </c>
      <c r="J16" s="1">
        <v>2</v>
      </c>
      <c r="K16" s="1">
        <f t="shared" si="0"/>
        <v>0</v>
      </c>
      <c r="L16" s="2">
        <v>120</v>
      </c>
      <c r="M16" s="2">
        <v>5</v>
      </c>
      <c r="N16" s="1">
        <v>46</v>
      </c>
      <c r="O16" s="1" t="s">
        <v>176</v>
      </c>
      <c r="P16" s="1">
        <v>2</v>
      </c>
    </row>
    <row r="17" spans="1:16" x14ac:dyDescent="0.25">
      <c r="A17" s="1">
        <v>14</v>
      </c>
      <c r="B17" s="1">
        <v>2</v>
      </c>
      <c r="C17" s="1">
        <v>1</v>
      </c>
      <c r="D17" s="1">
        <v>2</v>
      </c>
      <c r="G17" s="1"/>
      <c r="H17" s="1">
        <v>1</v>
      </c>
      <c r="I17" s="1">
        <v>4</v>
      </c>
      <c r="J17" s="1">
        <v>2</v>
      </c>
      <c r="K17" s="1">
        <f t="shared" si="0"/>
        <v>0</v>
      </c>
      <c r="L17" s="2">
        <v>80</v>
      </c>
      <c r="M17" s="2">
        <v>3</v>
      </c>
      <c r="N17" s="1">
        <v>42</v>
      </c>
      <c r="O17" s="1" t="s">
        <v>176</v>
      </c>
      <c r="P17" s="1">
        <v>2</v>
      </c>
    </row>
    <row r="18" spans="1:16" x14ac:dyDescent="0.25">
      <c r="A18" s="1">
        <v>15</v>
      </c>
      <c r="B18" s="1">
        <v>4</v>
      </c>
      <c r="C18" s="1">
        <v>1</v>
      </c>
      <c r="D18" s="1">
        <v>1</v>
      </c>
      <c r="G18" s="1">
        <v>2</v>
      </c>
      <c r="H18" s="1">
        <v>1</v>
      </c>
      <c r="I18" s="1">
        <v>2</v>
      </c>
      <c r="J18" s="1">
        <v>2</v>
      </c>
      <c r="K18" s="1">
        <f t="shared" si="0"/>
        <v>0</v>
      </c>
      <c r="L18" s="2">
        <v>100</v>
      </c>
      <c r="M18" s="2">
        <v>4</v>
      </c>
      <c r="N18" s="1">
        <v>44</v>
      </c>
      <c r="O18" s="1" t="s">
        <v>176</v>
      </c>
      <c r="P18" s="1">
        <v>2</v>
      </c>
    </row>
    <row r="19" spans="1:16" ht="30" x14ac:dyDescent="0.25">
      <c r="A19" s="1">
        <v>16</v>
      </c>
      <c r="B19" s="1">
        <v>1</v>
      </c>
      <c r="C19" s="1">
        <v>2</v>
      </c>
      <c r="E19" s="1">
        <v>2</v>
      </c>
      <c r="F19" s="1">
        <v>2</v>
      </c>
      <c r="G19" s="1"/>
      <c r="H19" s="1">
        <v>1</v>
      </c>
      <c r="I19" s="1">
        <v>1</v>
      </c>
      <c r="J19" s="1">
        <v>2</v>
      </c>
      <c r="K19" s="1">
        <f t="shared" si="0"/>
        <v>0</v>
      </c>
      <c r="L19" s="2">
        <v>0</v>
      </c>
      <c r="M19" s="2">
        <v>0</v>
      </c>
      <c r="N19" s="1">
        <v>64</v>
      </c>
      <c r="O19" s="1" t="s">
        <v>177</v>
      </c>
      <c r="P19" s="1">
        <v>3</v>
      </c>
    </row>
    <row r="20" spans="1:16" x14ac:dyDescent="0.25">
      <c r="A20" s="1">
        <v>17</v>
      </c>
      <c r="B20" s="1">
        <v>5</v>
      </c>
      <c r="C20" s="1">
        <v>2</v>
      </c>
      <c r="E20" s="1">
        <v>2</v>
      </c>
      <c r="F20" s="1">
        <v>2</v>
      </c>
      <c r="G20" s="1"/>
      <c r="H20" s="1">
        <v>1</v>
      </c>
      <c r="I20" s="1">
        <v>1</v>
      </c>
      <c r="J20" s="1">
        <v>2</v>
      </c>
      <c r="K20" s="1">
        <f t="shared" si="0"/>
        <v>0</v>
      </c>
      <c r="L20" s="2">
        <v>0</v>
      </c>
      <c r="M20" s="2">
        <v>0</v>
      </c>
      <c r="N20" s="1">
        <v>29</v>
      </c>
      <c r="O20" s="1" t="s">
        <v>174</v>
      </c>
      <c r="P20" s="1">
        <v>0</v>
      </c>
    </row>
    <row r="21" spans="1:16" ht="30" x14ac:dyDescent="0.25">
      <c r="A21" s="1">
        <v>18</v>
      </c>
      <c r="B21" s="1">
        <v>5</v>
      </c>
      <c r="C21" s="1">
        <v>1</v>
      </c>
      <c r="D21" s="1">
        <v>2</v>
      </c>
      <c r="G21" s="1"/>
      <c r="H21" s="1">
        <v>1</v>
      </c>
      <c r="I21" s="1">
        <v>4</v>
      </c>
      <c r="J21" s="1">
        <v>2</v>
      </c>
      <c r="K21" s="1">
        <f t="shared" si="0"/>
        <v>0</v>
      </c>
      <c r="L21" s="2">
        <v>80</v>
      </c>
      <c r="M21" s="2">
        <v>3</v>
      </c>
      <c r="N21" s="1">
        <v>53</v>
      </c>
      <c r="O21" s="1" t="s">
        <v>177</v>
      </c>
      <c r="P21" s="1">
        <v>3</v>
      </c>
    </row>
    <row r="22" spans="1:16" x14ac:dyDescent="0.25">
      <c r="A22" s="1">
        <v>19</v>
      </c>
      <c r="B22" s="1">
        <v>6</v>
      </c>
      <c r="C22" s="1">
        <v>1</v>
      </c>
      <c r="D22" s="1">
        <v>2</v>
      </c>
      <c r="G22" s="1"/>
      <c r="H22" s="1">
        <v>1</v>
      </c>
      <c r="I22" s="1">
        <v>5</v>
      </c>
      <c r="J22" s="1">
        <v>2</v>
      </c>
      <c r="K22" s="1">
        <f t="shared" si="0"/>
        <v>0</v>
      </c>
      <c r="L22" s="2">
        <v>80</v>
      </c>
      <c r="M22" s="2">
        <v>3</v>
      </c>
      <c r="N22" s="1">
        <v>36</v>
      </c>
      <c r="O22" s="1" t="s">
        <v>175</v>
      </c>
      <c r="P22" s="1">
        <v>1</v>
      </c>
    </row>
    <row r="23" spans="1:16" x14ac:dyDescent="0.25">
      <c r="A23" s="1">
        <v>20</v>
      </c>
      <c r="B23" s="1">
        <v>5</v>
      </c>
      <c r="C23" s="1">
        <v>1</v>
      </c>
      <c r="D23" s="1">
        <v>1</v>
      </c>
      <c r="G23" s="1">
        <v>2</v>
      </c>
      <c r="H23" s="1">
        <v>1</v>
      </c>
      <c r="I23" s="1">
        <v>1</v>
      </c>
      <c r="J23" s="1">
        <v>2</v>
      </c>
      <c r="K23" s="1">
        <f t="shared" si="0"/>
        <v>0</v>
      </c>
      <c r="L23" s="2">
        <v>100</v>
      </c>
      <c r="M23" s="2">
        <v>4</v>
      </c>
      <c r="N23" s="1">
        <v>50</v>
      </c>
      <c r="O23" s="1" t="s">
        <v>176</v>
      </c>
      <c r="P23" s="1">
        <v>2</v>
      </c>
    </row>
    <row r="24" spans="1:16" ht="30" x14ac:dyDescent="0.25">
      <c r="A24" s="1">
        <v>21</v>
      </c>
      <c r="G24" s="1"/>
      <c r="H24" s="1">
        <v>1</v>
      </c>
      <c r="I24" s="1">
        <v>3</v>
      </c>
      <c r="J24" s="1">
        <v>1</v>
      </c>
      <c r="K24" s="1">
        <f t="shared" si="0"/>
        <v>0</v>
      </c>
      <c r="L24" s="2">
        <v>0</v>
      </c>
      <c r="M24" s="2">
        <v>0</v>
      </c>
      <c r="N24" s="1">
        <v>69</v>
      </c>
      <c r="O24" s="1" t="s">
        <v>177</v>
      </c>
      <c r="P24" s="1">
        <v>3</v>
      </c>
    </row>
    <row r="25" spans="1:16" ht="30" x14ac:dyDescent="0.25">
      <c r="A25" s="1">
        <v>22</v>
      </c>
      <c r="B25" s="1">
        <v>1</v>
      </c>
      <c r="C25" s="1">
        <v>2</v>
      </c>
      <c r="E25" s="1">
        <v>1</v>
      </c>
      <c r="G25" s="1"/>
      <c r="H25" s="1">
        <v>1</v>
      </c>
      <c r="I25" s="1">
        <v>2</v>
      </c>
      <c r="J25" s="1">
        <v>1</v>
      </c>
      <c r="K25" s="1">
        <f t="shared" si="0"/>
        <v>0</v>
      </c>
      <c r="L25" s="2">
        <v>50</v>
      </c>
      <c r="M25" s="2">
        <v>2</v>
      </c>
      <c r="N25" s="1">
        <v>51</v>
      </c>
      <c r="O25" s="1" t="s">
        <v>177</v>
      </c>
      <c r="P25" s="1">
        <v>3</v>
      </c>
    </row>
    <row r="26" spans="1:16" ht="30" x14ac:dyDescent="0.25">
      <c r="A26" s="1">
        <v>23</v>
      </c>
      <c r="B26" s="1">
        <v>5</v>
      </c>
      <c r="C26" s="1">
        <v>2</v>
      </c>
      <c r="E26" s="1">
        <v>2</v>
      </c>
      <c r="F26" s="1">
        <v>2</v>
      </c>
      <c r="G26" s="1"/>
      <c r="H26" s="1">
        <v>1</v>
      </c>
      <c r="I26" s="1">
        <v>1</v>
      </c>
      <c r="J26" s="1">
        <v>2</v>
      </c>
      <c r="K26" s="1">
        <f t="shared" si="0"/>
        <v>0</v>
      </c>
      <c r="L26" s="2">
        <v>0</v>
      </c>
      <c r="M26" s="2">
        <v>0</v>
      </c>
      <c r="N26" s="1">
        <v>62</v>
      </c>
      <c r="O26" s="1" t="s">
        <v>177</v>
      </c>
      <c r="P26" s="1">
        <v>3</v>
      </c>
    </row>
    <row r="27" spans="1:16" x14ac:dyDescent="0.25">
      <c r="A27" s="1">
        <v>24</v>
      </c>
      <c r="B27" s="1">
        <v>2</v>
      </c>
      <c r="C27" s="1">
        <v>1</v>
      </c>
      <c r="D27" s="1">
        <v>2</v>
      </c>
      <c r="G27" s="1"/>
      <c r="H27" s="1">
        <v>2</v>
      </c>
      <c r="I27" s="1">
        <v>1</v>
      </c>
      <c r="J27" s="1">
        <v>2</v>
      </c>
      <c r="K27" s="1">
        <f t="shared" si="0"/>
        <v>0</v>
      </c>
      <c r="L27" s="2">
        <v>80</v>
      </c>
      <c r="M27" s="2">
        <v>3</v>
      </c>
      <c r="N27" s="1">
        <v>39</v>
      </c>
      <c r="O27" s="1" t="s">
        <v>175</v>
      </c>
      <c r="P27" s="1">
        <v>1</v>
      </c>
    </row>
    <row r="28" spans="1:16" ht="30" x14ac:dyDescent="0.25">
      <c r="A28" s="1">
        <v>25</v>
      </c>
      <c r="B28" s="1">
        <v>1</v>
      </c>
      <c r="C28" s="1">
        <v>2</v>
      </c>
      <c r="E28" s="1">
        <v>1</v>
      </c>
      <c r="G28" s="1"/>
      <c r="H28" s="1">
        <v>2</v>
      </c>
      <c r="I28" s="1">
        <v>2</v>
      </c>
      <c r="J28" s="1">
        <v>2</v>
      </c>
      <c r="K28" s="1">
        <f t="shared" si="0"/>
        <v>0</v>
      </c>
      <c r="L28" s="2">
        <v>50</v>
      </c>
      <c r="M28" s="2">
        <v>2</v>
      </c>
      <c r="N28" s="1">
        <v>54</v>
      </c>
      <c r="O28" s="1" t="s">
        <v>177</v>
      </c>
      <c r="P28" s="1">
        <v>3</v>
      </c>
    </row>
    <row r="29" spans="1:16" x14ac:dyDescent="0.25">
      <c r="A29" s="1">
        <v>26</v>
      </c>
      <c r="G29" s="1"/>
      <c r="H29" s="1">
        <v>2</v>
      </c>
      <c r="I29" s="1">
        <v>1</v>
      </c>
      <c r="J29" s="1">
        <v>2</v>
      </c>
      <c r="K29" s="1">
        <f t="shared" si="0"/>
        <v>0</v>
      </c>
      <c r="L29" s="2">
        <v>0</v>
      </c>
      <c r="M29" s="2">
        <v>0</v>
      </c>
      <c r="N29" s="1">
        <v>29</v>
      </c>
      <c r="O29" s="1" t="s">
        <v>174</v>
      </c>
      <c r="P29" s="1">
        <v>0</v>
      </c>
    </row>
    <row r="30" spans="1:16" ht="30" x14ac:dyDescent="0.25">
      <c r="A30" s="1">
        <v>27</v>
      </c>
      <c r="B30" s="1">
        <v>5</v>
      </c>
      <c r="C30" s="1">
        <v>2</v>
      </c>
      <c r="E30" s="1">
        <v>2</v>
      </c>
      <c r="F30" s="1">
        <v>2</v>
      </c>
      <c r="G30" s="1"/>
      <c r="H30" s="1">
        <v>2</v>
      </c>
      <c r="I30" s="1">
        <v>1</v>
      </c>
      <c r="J30" s="1">
        <v>2</v>
      </c>
      <c r="K30" s="1">
        <f t="shared" si="0"/>
        <v>0</v>
      </c>
      <c r="L30" s="2">
        <v>0</v>
      </c>
      <c r="M30" s="2">
        <v>0</v>
      </c>
      <c r="N30" s="1">
        <v>51</v>
      </c>
      <c r="O30" s="1" t="s">
        <v>177</v>
      </c>
      <c r="P30" s="1">
        <v>3</v>
      </c>
    </row>
    <row r="31" spans="1:16" x14ac:dyDescent="0.25">
      <c r="A31" s="1">
        <v>28</v>
      </c>
      <c r="B31" s="1">
        <v>5</v>
      </c>
      <c r="C31" s="1">
        <v>2</v>
      </c>
      <c r="E31" s="1">
        <v>2</v>
      </c>
      <c r="F31" s="1">
        <v>2</v>
      </c>
      <c r="G31" s="1"/>
      <c r="H31" s="1">
        <v>2</v>
      </c>
      <c r="I31" s="1">
        <v>4</v>
      </c>
      <c r="J31" s="1">
        <v>2</v>
      </c>
      <c r="K31" s="1">
        <f t="shared" si="0"/>
        <v>0</v>
      </c>
      <c r="L31" s="2">
        <v>0</v>
      </c>
      <c r="M31" s="2">
        <v>0</v>
      </c>
      <c r="N31" s="1">
        <v>33</v>
      </c>
      <c r="O31" s="1" t="s">
        <v>174</v>
      </c>
      <c r="P31" s="1">
        <v>0</v>
      </c>
    </row>
    <row r="32" spans="1:16" x14ac:dyDescent="0.25">
      <c r="A32" s="1">
        <v>29</v>
      </c>
      <c r="B32" s="1">
        <v>1</v>
      </c>
      <c r="C32" s="1">
        <v>1</v>
      </c>
      <c r="D32" s="1">
        <v>1</v>
      </c>
      <c r="G32" s="1">
        <v>1</v>
      </c>
      <c r="H32" s="1">
        <v>2</v>
      </c>
      <c r="I32" s="1">
        <v>4</v>
      </c>
      <c r="J32" s="1">
        <v>2</v>
      </c>
      <c r="K32" s="1">
        <f t="shared" si="0"/>
        <v>0</v>
      </c>
      <c r="L32" s="2">
        <v>120</v>
      </c>
      <c r="M32" s="2">
        <v>5</v>
      </c>
      <c r="N32" s="1">
        <v>43</v>
      </c>
      <c r="O32" s="1" t="s">
        <v>176</v>
      </c>
      <c r="P32" s="1">
        <v>2</v>
      </c>
    </row>
    <row r="33" spans="1:16" x14ac:dyDescent="0.25">
      <c r="A33" s="1">
        <v>30</v>
      </c>
      <c r="B33" s="1">
        <v>1</v>
      </c>
      <c r="C33" s="1">
        <v>1</v>
      </c>
      <c r="D33" s="1">
        <v>1</v>
      </c>
      <c r="G33" s="1">
        <v>1</v>
      </c>
      <c r="H33" s="1">
        <v>2</v>
      </c>
      <c r="I33" s="1">
        <v>1</v>
      </c>
      <c r="J33" s="1">
        <v>2</v>
      </c>
      <c r="K33" s="1">
        <f t="shared" si="0"/>
        <v>0</v>
      </c>
      <c r="L33" s="2">
        <v>120</v>
      </c>
      <c r="M33" s="2">
        <v>5</v>
      </c>
      <c r="N33" s="1">
        <v>47</v>
      </c>
      <c r="O33" s="1" t="s">
        <v>176</v>
      </c>
      <c r="P33" s="1">
        <v>2</v>
      </c>
    </row>
    <row r="34" spans="1:16" x14ac:dyDescent="0.25">
      <c r="A34" s="1">
        <v>31</v>
      </c>
      <c r="B34" s="1">
        <v>1</v>
      </c>
      <c r="C34" s="1">
        <v>2</v>
      </c>
      <c r="E34" s="1">
        <v>2</v>
      </c>
      <c r="F34" s="1">
        <v>1</v>
      </c>
      <c r="G34" s="1"/>
      <c r="H34" s="1">
        <v>2</v>
      </c>
      <c r="I34" s="1">
        <v>1</v>
      </c>
      <c r="J34" s="1">
        <v>1</v>
      </c>
      <c r="K34" s="1">
        <f t="shared" si="0"/>
        <v>0</v>
      </c>
      <c r="L34" s="2">
        <v>30</v>
      </c>
      <c r="M34" s="2">
        <v>1</v>
      </c>
      <c r="N34" s="1">
        <v>45</v>
      </c>
      <c r="O34" s="1" t="s">
        <v>176</v>
      </c>
      <c r="P34" s="1">
        <v>2</v>
      </c>
    </row>
    <row r="35" spans="1:16" x14ac:dyDescent="0.25">
      <c r="A35" s="1">
        <v>32</v>
      </c>
      <c r="B35" s="1">
        <v>5</v>
      </c>
      <c r="C35" s="1">
        <v>2</v>
      </c>
      <c r="E35" s="1">
        <v>2</v>
      </c>
      <c r="F35" s="1">
        <v>2</v>
      </c>
      <c r="G35" s="1"/>
      <c r="H35" s="1">
        <v>2</v>
      </c>
      <c r="I35" s="1">
        <v>2</v>
      </c>
      <c r="J35" s="1">
        <v>2</v>
      </c>
      <c r="K35" s="1">
        <f t="shared" si="0"/>
        <v>0</v>
      </c>
      <c r="L35" s="2">
        <v>0</v>
      </c>
      <c r="M35" s="2">
        <v>0</v>
      </c>
      <c r="N35" s="1">
        <v>43</v>
      </c>
      <c r="O35" s="1" t="s">
        <v>176</v>
      </c>
      <c r="P35" s="1">
        <v>2</v>
      </c>
    </row>
    <row r="36" spans="1:16" x14ac:dyDescent="0.25">
      <c r="A36" s="1">
        <v>33</v>
      </c>
      <c r="B36" s="1">
        <v>2</v>
      </c>
      <c r="C36" s="1">
        <v>2</v>
      </c>
      <c r="E36" s="1">
        <v>2</v>
      </c>
      <c r="F36" s="1">
        <v>1</v>
      </c>
      <c r="G36" s="1"/>
      <c r="H36" s="1">
        <v>2</v>
      </c>
      <c r="I36" s="1">
        <v>1</v>
      </c>
      <c r="J36" s="1">
        <v>2</v>
      </c>
      <c r="K36" s="1">
        <f t="shared" si="0"/>
        <v>0</v>
      </c>
      <c r="L36" s="2">
        <v>30</v>
      </c>
      <c r="M36" s="2">
        <v>1</v>
      </c>
      <c r="N36" s="1">
        <v>33</v>
      </c>
      <c r="O36" s="1" t="s">
        <v>174</v>
      </c>
      <c r="P36" s="1">
        <v>0</v>
      </c>
    </row>
    <row r="37" spans="1:16" x14ac:dyDescent="0.25">
      <c r="A37" s="1">
        <v>34</v>
      </c>
      <c r="B37" s="1">
        <v>1</v>
      </c>
      <c r="C37" s="1">
        <v>2</v>
      </c>
      <c r="E37" s="1">
        <v>2</v>
      </c>
      <c r="F37" s="1">
        <v>2</v>
      </c>
      <c r="G37" s="1"/>
      <c r="H37" s="1">
        <v>2</v>
      </c>
      <c r="I37" s="1">
        <v>1</v>
      </c>
      <c r="J37" s="1">
        <v>2</v>
      </c>
      <c r="K37" s="1">
        <f t="shared" si="0"/>
        <v>0</v>
      </c>
      <c r="L37" s="2">
        <v>0</v>
      </c>
      <c r="M37" s="2">
        <v>0</v>
      </c>
      <c r="N37" s="1">
        <v>39</v>
      </c>
      <c r="O37" s="1" t="s">
        <v>175</v>
      </c>
      <c r="P37" s="1">
        <v>1</v>
      </c>
    </row>
    <row r="38" spans="1:16" x14ac:dyDescent="0.25">
      <c r="A38" s="1">
        <v>35</v>
      </c>
      <c r="B38" s="1">
        <v>4</v>
      </c>
      <c r="C38" s="1">
        <v>1</v>
      </c>
      <c r="D38" s="1">
        <v>1</v>
      </c>
      <c r="G38" s="1">
        <v>1</v>
      </c>
      <c r="H38" s="1">
        <v>2</v>
      </c>
      <c r="I38" s="1">
        <v>1</v>
      </c>
      <c r="J38" s="1">
        <v>2</v>
      </c>
      <c r="K38" s="1">
        <f t="shared" si="0"/>
        <v>0</v>
      </c>
      <c r="L38" s="2">
        <v>120</v>
      </c>
      <c r="M38" s="2">
        <v>5</v>
      </c>
      <c r="N38" s="1">
        <v>34</v>
      </c>
      <c r="O38" s="1" t="s">
        <v>174</v>
      </c>
      <c r="P38" s="1">
        <v>0</v>
      </c>
    </row>
    <row r="39" spans="1:16" x14ac:dyDescent="0.25">
      <c r="A39" s="1">
        <v>36</v>
      </c>
      <c r="B39" s="1">
        <v>6</v>
      </c>
      <c r="C39" s="1">
        <v>2</v>
      </c>
      <c r="E39" s="1">
        <v>2</v>
      </c>
      <c r="F39" s="1">
        <v>1</v>
      </c>
      <c r="G39" s="1"/>
      <c r="H39" s="1">
        <v>2</v>
      </c>
      <c r="I39" s="1">
        <v>1</v>
      </c>
      <c r="J39" s="1">
        <v>2</v>
      </c>
      <c r="K39" s="1">
        <f t="shared" si="0"/>
        <v>0</v>
      </c>
      <c r="L39" s="2">
        <v>30</v>
      </c>
      <c r="M39" s="2">
        <v>1</v>
      </c>
      <c r="N39" s="1">
        <v>31</v>
      </c>
      <c r="O39" s="1" t="s">
        <v>174</v>
      </c>
      <c r="P39" s="1">
        <v>0</v>
      </c>
    </row>
    <row r="40" spans="1:16" x14ac:dyDescent="0.25">
      <c r="A40" s="1">
        <v>37</v>
      </c>
      <c r="B40" s="1">
        <v>6</v>
      </c>
      <c r="C40" s="1">
        <v>1</v>
      </c>
      <c r="D40" s="1">
        <v>2</v>
      </c>
      <c r="G40" s="1"/>
      <c r="H40" s="1">
        <v>2</v>
      </c>
      <c r="I40" s="1">
        <v>2</v>
      </c>
      <c r="J40" s="1">
        <v>2</v>
      </c>
      <c r="K40" s="1">
        <f t="shared" si="0"/>
        <v>0</v>
      </c>
      <c r="L40" s="2">
        <v>80</v>
      </c>
      <c r="M40" s="2">
        <v>3</v>
      </c>
      <c r="N40" s="1">
        <v>37</v>
      </c>
      <c r="O40" s="1" t="s">
        <v>175</v>
      </c>
      <c r="P40" s="1">
        <v>1</v>
      </c>
    </row>
    <row r="41" spans="1:16" x14ac:dyDescent="0.25">
      <c r="A41" s="1">
        <v>38</v>
      </c>
      <c r="G41" s="1"/>
      <c r="H41" s="1">
        <v>2</v>
      </c>
      <c r="I41" s="1">
        <v>1</v>
      </c>
      <c r="J41" s="1">
        <v>2</v>
      </c>
      <c r="K41" s="1">
        <f t="shared" si="0"/>
        <v>0</v>
      </c>
      <c r="L41" s="2">
        <v>0</v>
      </c>
      <c r="M41" s="2">
        <v>0</v>
      </c>
      <c r="N41" s="1">
        <v>44</v>
      </c>
      <c r="O41" s="1" t="s">
        <v>176</v>
      </c>
      <c r="P41" s="1">
        <v>2</v>
      </c>
    </row>
    <row r="42" spans="1:16" ht="30" x14ac:dyDescent="0.25">
      <c r="A42" s="1">
        <v>39</v>
      </c>
      <c r="B42" s="1">
        <v>5</v>
      </c>
      <c r="C42" s="1">
        <v>2</v>
      </c>
      <c r="E42" s="1">
        <v>2</v>
      </c>
      <c r="F42" s="1">
        <v>2</v>
      </c>
      <c r="G42" s="1"/>
      <c r="H42" s="1">
        <v>2</v>
      </c>
      <c r="I42" s="1">
        <v>1</v>
      </c>
      <c r="J42" s="1">
        <v>2</v>
      </c>
      <c r="K42" s="1">
        <f t="shared" si="0"/>
        <v>0</v>
      </c>
      <c r="L42" s="2">
        <v>0</v>
      </c>
      <c r="M42" s="2">
        <v>0</v>
      </c>
      <c r="N42" s="1">
        <v>77</v>
      </c>
      <c r="O42" s="1" t="s">
        <v>177</v>
      </c>
      <c r="P42" s="1">
        <v>3</v>
      </c>
    </row>
    <row r="43" spans="1:16" ht="30" x14ac:dyDescent="0.25">
      <c r="A43" s="1">
        <v>40</v>
      </c>
      <c r="B43" s="1">
        <v>2</v>
      </c>
      <c r="C43" s="1">
        <v>1</v>
      </c>
      <c r="D43" s="1">
        <v>2</v>
      </c>
      <c r="G43" s="1"/>
      <c r="H43" s="1">
        <v>2</v>
      </c>
      <c r="I43" s="1">
        <v>1</v>
      </c>
      <c r="J43" s="1">
        <v>2</v>
      </c>
      <c r="K43" s="1">
        <f t="shared" si="0"/>
        <v>0</v>
      </c>
      <c r="L43" s="2">
        <v>80</v>
      </c>
      <c r="M43" s="2">
        <v>3</v>
      </c>
      <c r="N43" s="1">
        <v>70</v>
      </c>
      <c r="O43" s="1" t="s">
        <v>177</v>
      </c>
      <c r="P43" s="1">
        <v>3</v>
      </c>
    </row>
    <row r="44" spans="1:16" x14ac:dyDescent="0.25">
      <c r="A44" s="1">
        <v>41</v>
      </c>
      <c r="B44" s="1">
        <v>2</v>
      </c>
      <c r="C44" s="1">
        <v>1</v>
      </c>
      <c r="D44" s="1">
        <v>2</v>
      </c>
      <c r="G44" s="1"/>
      <c r="H44" s="1">
        <v>2</v>
      </c>
      <c r="I44" s="1">
        <v>1</v>
      </c>
      <c r="J44" s="1">
        <v>2</v>
      </c>
      <c r="K44" s="1">
        <f t="shared" si="0"/>
        <v>0</v>
      </c>
      <c r="L44" s="2">
        <v>80</v>
      </c>
      <c r="M44" s="2">
        <v>3</v>
      </c>
      <c r="N44" s="1">
        <v>25</v>
      </c>
      <c r="O44" s="1" t="s">
        <v>174</v>
      </c>
      <c r="P44" s="1">
        <v>0</v>
      </c>
    </row>
    <row r="45" spans="1:16" x14ac:dyDescent="0.25">
      <c r="A45" s="1">
        <v>42</v>
      </c>
      <c r="B45" s="1">
        <v>2</v>
      </c>
      <c r="C45" s="1">
        <v>1</v>
      </c>
      <c r="D45" s="1">
        <v>2</v>
      </c>
      <c r="G45" s="1"/>
      <c r="H45" s="1">
        <v>2</v>
      </c>
      <c r="I45" s="1">
        <v>2</v>
      </c>
      <c r="J45" s="1">
        <v>2</v>
      </c>
      <c r="K45" s="1">
        <f t="shared" si="0"/>
        <v>0</v>
      </c>
      <c r="L45" s="2">
        <v>80</v>
      </c>
      <c r="M45" s="2">
        <v>3</v>
      </c>
      <c r="N45" s="1">
        <v>25</v>
      </c>
      <c r="O45" s="1" t="s">
        <v>174</v>
      </c>
      <c r="P45" s="1">
        <v>0</v>
      </c>
    </row>
    <row r="46" spans="1:16" x14ac:dyDescent="0.25">
      <c r="A46" s="1">
        <v>43</v>
      </c>
      <c r="B46" s="1">
        <v>4</v>
      </c>
      <c r="C46" s="1">
        <v>1</v>
      </c>
      <c r="D46" s="1">
        <v>2</v>
      </c>
      <c r="G46" s="1"/>
      <c r="H46" s="1">
        <v>2</v>
      </c>
      <c r="I46" s="1">
        <v>3</v>
      </c>
      <c r="J46" s="1">
        <v>2</v>
      </c>
      <c r="K46" s="1">
        <f t="shared" si="0"/>
        <v>0</v>
      </c>
      <c r="L46" s="2">
        <v>80</v>
      </c>
      <c r="M46" s="2">
        <v>3</v>
      </c>
      <c r="N46" s="1">
        <v>37</v>
      </c>
      <c r="O46" s="1" t="s">
        <v>175</v>
      </c>
      <c r="P46" s="1">
        <v>1</v>
      </c>
    </row>
    <row r="47" spans="1:16" ht="30" x14ac:dyDescent="0.25">
      <c r="A47" s="1">
        <v>44</v>
      </c>
      <c r="B47" s="1">
        <v>2</v>
      </c>
      <c r="C47" s="1">
        <v>1</v>
      </c>
      <c r="D47" s="1">
        <v>2</v>
      </c>
      <c r="G47" s="1"/>
      <c r="H47" s="1">
        <v>2</v>
      </c>
      <c r="I47" s="1">
        <v>4</v>
      </c>
      <c r="J47" s="1">
        <v>2</v>
      </c>
      <c r="K47" s="1">
        <f t="shared" si="0"/>
        <v>0</v>
      </c>
      <c r="L47" s="2">
        <v>80</v>
      </c>
      <c r="M47" s="2">
        <v>3</v>
      </c>
      <c r="N47" s="1">
        <v>51</v>
      </c>
      <c r="O47" s="1" t="s">
        <v>177</v>
      </c>
      <c r="P47" s="1">
        <v>3</v>
      </c>
    </row>
    <row r="48" spans="1:16" ht="30" x14ac:dyDescent="0.25">
      <c r="A48" s="1">
        <v>45</v>
      </c>
      <c r="B48" s="1">
        <v>5</v>
      </c>
      <c r="C48" s="1">
        <v>1</v>
      </c>
      <c r="D48" s="1">
        <v>1</v>
      </c>
      <c r="G48" s="1">
        <v>2</v>
      </c>
      <c r="H48" s="1">
        <v>2</v>
      </c>
      <c r="I48" s="1">
        <v>1</v>
      </c>
      <c r="J48" s="1">
        <v>1</v>
      </c>
      <c r="K48" s="1">
        <f t="shared" si="0"/>
        <v>0</v>
      </c>
      <c r="L48" s="2">
        <v>100</v>
      </c>
      <c r="M48" s="2">
        <v>4</v>
      </c>
      <c r="N48" s="1">
        <v>53</v>
      </c>
      <c r="O48" s="1" t="s">
        <v>177</v>
      </c>
      <c r="P48" s="1">
        <v>3</v>
      </c>
    </row>
    <row r="49" spans="1:16" ht="30" x14ac:dyDescent="0.25">
      <c r="A49" s="1">
        <v>46</v>
      </c>
      <c r="B49" s="1">
        <v>2</v>
      </c>
      <c r="C49" s="1">
        <v>2</v>
      </c>
      <c r="E49" s="1">
        <v>2</v>
      </c>
      <c r="F49" s="1">
        <v>1</v>
      </c>
      <c r="G49" s="1"/>
      <c r="H49" s="1">
        <v>2</v>
      </c>
      <c r="I49" s="1">
        <v>1</v>
      </c>
      <c r="J49" s="1">
        <v>2</v>
      </c>
      <c r="K49" s="1">
        <f t="shared" si="0"/>
        <v>0</v>
      </c>
      <c r="L49" s="2">
        <v>30</v>
      </c>
      <c r="M49" s="2">
        <v>1</v>
      </c>
      <c r="N49" s="1">
        <v>60</v>
      </c>
      <c r="O49" s="1" t="s">
        <v>177</v>
      </c>
      <c r="P49" s="1">
        <v>3</v>
      </c>
    </row>
    <row r="50" spans="1:16" x14ac:dyDescent="0.25">
      <c r="A50" s="1">
        <v>47</v>
      </c>
      <c r="B50" s="1">
        <v>6</v>
      </c>
      <c r="C50" s="1">
        <v>1</v>
      </c>
      <c r="D50" s="1">
        <v>1</v>
      </c>
      <c r="G50" s="1">
        <v>1</v>
      </c>
      <c r="H50" s="1">
        <v>2</v>
      </c>
      <c r="I50" s="1">
        <v>5</v>
      </c>
      <c r="J50" s="1">
        <v>2</v>
      </c>
      <c r="K50" s="1">
        <f t="shared" si="0"/>
        <v>0</v>
      </c>
      <c r="L50" s="2">
        <v>120</v>
      </c>
      <c r="M50" s="2">
        <v>5</v>
      </c>
      <c r="N50" s="1">
        <v>32</v>
      </c>
      <c r="O50" s="1" t="s">
        <v>174</v>
      </c>
      <c r="P50" s="1">
        <v>0</v>
      </c>
    </row>
    <row r="51" spans="1:16" ht="30" x14ac:dyDescent="0.25">
      <c r="A51" s="1">
        <v>48</v>
      </c>
      <c r="B51" s="1">
        <v>4</v>
      </c>
      <c r="C51" s="1">
        <v>1</v>
      </c>
      <c r="D51" s="1">
        <v>2</v>
      </c>
      <c r="G51" s="1"/>
      <c r="H51" s="1">
        <v>2</v>
      </c>
      <c r="I51" s="1">
        <v>3</v>
      </c>
      <c r="J51" s="1">
        <v>2</v>
      </c>
      <c r="K51" s="1">
        <f t="shared" si="0"/>
        <v>0</v>
      </c>
      <c r="L51" s="2">
        <v>80</v>
      </c>
      <c r="M51" s="2">
        <v>3</v>
      </c>
      <c r="N51" s="1">
        <v>52</v>
      </c>
      <c r="O51" s="1" t="s">
        <v>177</v>
      </c>
      <c r="P51" s="1">
        <v>3</v>
      </c>
    </row>
    <row r="52" spans="1:16" ht="30" x14ac:dyDescent="0.25">
      <c r="A52" s="1">
        <v>49</v>
      </c>
      <c r="G52" s="1"/>
      <c r="H52" s="1">
        <v>2</v>
      </c>
      <c r="I52" s="1">
        <v>3</v>
      </c>
      <c r="J52" s="1">
        <v>2</v>
      </c>
      <c r="K52" s="1">
        <f t="shared" si="0"/>
        <v>0</v>
      </c>
      <c r="L52" s="2">
        <v>0</v>
      </c>
      <c r="M52" s="2">
        <v>0</v>
      </c>
      <c r="N52" s="1">
        <v>62</v>
      </c>
      <c r="O52" s="1" t="s">
        <v>177</v>
      </c>
      <c r="P52" s="1">
        <v>3</v>
      </c>
    </row>
    <row r="53" spans="1:16" x14ac:dyDescent="0.25">
      <c r="A53" s="1">
        <v>50</v>
      </c>
      <c r="B53" s="1">
        <v>5</v>
      </c>
      <c r="C53" s="1">
        <v>1</v>
      </c>
      <c r="D53" s="1">
        <v>2</v>
      </c>
      <c r="G53" s="1"/>
      <c r="H53" s="1">
        <v>2</v>
      </c>
      <c r="I53" s="1">
        <v>3</v>
      </c>
      <c r="J53" s="1">
        <v>2</v>
      </c>
      <c r="K53" s="1">
        <f t="shared" si="0"/>
        <v>0</v>
      </c>
      <c r="L53" s="2">
        <v>80</v>
      </c>
      <c r="M53" s="2">
        <v>3</v>
      </c>
      <c r="N53" s="1">
        <v>46</v>
      </c>
      <c r="O53" s="1" t="s">
        <v>176</v>
      </c>
      <c r="P53" s="1">
        <v>2</v>
      </c>
    </row>
  </sheetData>
  <sheetProtection formatCells="0" formatColumns="0" formatRows="0" insertColumns="0" insertRows="0" insertHyperlinks="0" deleteColumns="0" deleteRows="0" sort="0" autoFilter="0" pivotTables="0"/>
  <autoFilter ref="A3:P53" xr:uid="{1006CDC8-2343-4D07-99CD-CF9DF9E7BD61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6BE35-B77A-48A2-9F52-B418CBE0E400}">
  <sheetPr codeName="Planilha5"/>
  <dimension ref="A1:N113"/>
  <sheetViews>
    <sheetView tabSelected="1" topLeftCell="A50" zoomScale="80" zoomScaleNormal="80" workbookViewId="0">
      <selection activeCell="I70" sqref="I70"/>
    </sheetView>
  </sheetViews>
  <sheetFormatPr defaultColWidth="18.5703125" defaultRowHeight="15" x14ac:dyDescent="0.25"/>
  <cols>
    <col min="1" max="16384" width="18.5703125" style="9"/>
  </cols>
  <sheetData>
    <row r="1" spans="1:14" x14ac:dyDescent="0.25">
      <c r="A1" s="17" t="s">
        <v>186</v>
      </c>
      <c r="I1" s="15">
        <v>1</v>
      </c>
      <c r="J1" s="15">
        <v>1</v>
      </c>
      <c r="K1" s="15">
        <v>1</v>
      </c>
      <c r="L1" s="15">
        <v>1</v>
      </c>
      <c r="M1" s="15">
        <v>1</v>
      </c>
      <c r="N1" s="15">
        <v>1</v>
      </c>
    </row>
    <row r="2" spans="1:14" x14ac:dyDescent="0.25">
      <c r="A2" s="14"/>
    </row>
    <row r="3" spans="1:14" x14ac:dyDescent="0.25">
      <c r="A3" s="9" t="s">
        <v>152</v>
      </c>
      <c r="B3" s="9" t="s">
        <v>9</v>
      </c>
      <c r="C3" s="9" t="s">
        <v>11</v>
      </c>
      <c r="D3" s="9" t="s">
        <v>12</v>
      </c>
      <c r="E3" s="9" t="s">
        <v>179</v>
      </c>
      <c r="F3" s="9" t="s">
        <v>178</v>
      </c>
    </row>
    <row r="4" spans="1:14" x14ac:dyDescent="0.25">
      <c r="A4" s="9">
        <v>1</v>
      </c>
      <c r="B4" s="9">
        <v>1</v>
      </c>
      <c r="C4" s="9">
        <v>1</v>
      </c>
      <c r="D4" s="9">
        <v>2</v>
      </c>
      <c r="E4" s="9">
        <f>'Base Codificada'!M4</f>
        <v>0</v>
      </c>
      <c r="F4" s="9">
        <f>'Base Codificada'!P4</f>
        <v>0</v>
      </c>
    </row>
    <row r="5" spans="1:14" x14ac:dyDescent="0.25">
      <c r="A5" s="9">
        <v>2</v>
      </c>
      <c r="B5" s="9">
        <v>1</v>
      </c>
      <c r="C5" s="9">
        <v>2</v>
      </c>
      <c r="D5" s="9">
        <v>1</v>
      </c>
      <c r="E5" s="9">
        <f>'Base Codificada'!M5</f>
        <v>0</v>
      </c>
      <c r="F5" s="9">
        <f>'Base Codificada'!P5</f>
        <v>1</v>
      </c>
    </row>
    <row r="6" spans="1:14" x14ac:dyDescent="0.25">
      <c r="A6" s="9">
        <v>3</v>
      </c>
      <c r="B6" s="9">
        <v>1</v>
      </c>
      <c r="C6" s="9">
        <v>4</v>
      </c>
      <c r="D6" s="9">
        <v>2</v>
      </c>
      <c r="E6" s="9">
        <f>'Base Codificada'!M6</f>
        <v>0</v>
      </c>
      <c r="F6" s="9">
        <f>'Base Codificada'!P6</f>
        <v>0</v>
      </c>
    </row>
    <row r="7" spans="1:14" x14ac:dyDescent="0.25">
      <c r="A7" s="9">
        <v>4</v>
      </c>
      <c r="B7" s="9">
        <v>1</v>
      </c>
      <c r="C7" s="9">
        <v>1</v>
      </c>
      <c r="D7" s="9">
        <v>2</v>
      </c>
      <c r="E7" s="9">
        <f>'Base Codificada'!M7</f>
        <v>0</v>
      </c>
      <c r="F7" s="9">
        <f>'Base Codificada'!P7</f>
        <v>0</v>
      </c>
    </row>
    <row r="8" spans="1:14" x14ac:dyDescent="0.25">
      <c r="A8" s="9">
        <v>5</v>
      </c>
      <c r="B8" s="9">
        <v>1</v>
      </c>
      <c r="C8" s="9">
        <v>1</v>
      </c>
      <c r="D8" s="9">
        <v>2</v>
      </c>
      <c r="E8" s="9">
        <f>'Base Codificada'!M8</f>
        <v>4</v>
      </c>
      <c r="F8" s="9">
        <f>'Base Codificada'!P8</f>
        <v>1</v>
      </c>
    </row>
    <row r="9" spans="1:14" x14ac:dyDescent="0.25">
      <c r="A9" s="9">
        <v>6</v>
      </c>
      <c r="B9" s="9">
        <v>1</v>
      </c>
      <c r="C9" s="9">
        <v>1</v>
      </c>
      <c r="D9" s="9">
        <v>2</v>
      </c>
      <c r="E9" s="9">
        <f>'Base Codificada'!M9</f>
        <v>3</v>
      </c>
      <c r="F9" s="9">
        <f>'Base Codificada'!P9</f>
        <v>2</v>
      </c>
    </row>
    <row r="10" spans="1:14" x14ac:dyDescent="0.25">
      <c r="A10" s="9">
        <v>7</v>
      </c>
      <c r="B10" s="9">
        <v>1</v>
      </c>
      <c r="C10" s="9">
        <v>1</v>
      </c>
      <c r="D10" s="9">
        <v>2</v>
      </c>
      <c r="E10" s="9">
        <f>'Base Codificada'!M10</f>
        <v>2</v>
      </c>
      <c r="F10" s="9">
        <f>'Base Codificada'!P10</f>
        <v>0</v>
      </c>
    </row>
    <row r="11" spans="1:14" x14ac:dyDescent="0.25">
      <c r="A11" s="9">
        <v>8</v>
      </c>
      <c r="B11" s="9">
        <v>1</v>
      </c>
      <c r="C11" s="9">
        <v>2</v>
      </c>
      <c r="D11" s="9">
        <v>2</v>
      </c>
      <c r="E11" s="9">
        <f>'Base Codificada'!M11</f>
        <v>0</v>
      </c>
      <c r="F11" s="9">
        <f>'Base Codificada'!P11</f>
        <v>0</v>
      </c>
    </row>
    <row r="12" spans="1:14" x14ac:dyDescent="0.25">
      <c r="A12" s="9">
        <v>9</v>
      </c>
      <c r="B12" s="9">
        <v>1</v>
      </c>
      <c r="C12" s="9">
        <v>1</v>
      </c>
      <c r="D12" s="9">
        <v>2</v>
      </c>
      <c r="E12" s="9">
        <f>'Base Codificada'!M12</f>
        <v>3</v>
      </c>
      <c r="F12" s="9">
        <f>'Base Codificada'!P12</f>
        <v>0</v>
      </c>
    </row>
    <row r="13" spans="1:14" x14ac:dyDescent="0.25">
      <c r="A13" s="9">
        <v>10</v>
      </c>
      <c r="B13" s="9">
        <v>1</v>
      </c>
      <c r="C13" s="9">
        <v>3</v>
      </c>
      <c r="D13" s="9">
        <v>2</v>
      </c>
      <c r="E13" s="9">
        <f>'Base Codificada'!M13</f>
        <v>0</v>
      </c>
      <c r="F13" s="9">
        <f>'Base Codificada'!P13</f>
        <v>0</v>
      </c>
    </row>
    <row r="14" spans="1:14" x14ac:dyDescent="0.25">
      <c r="A14" s="9">
        <v>11</v>
      </c>
      <c r="B14" s="9">
        <v>1</v>
      </c>
      <c r="C14" s="9">
        <v>1</v>
      </c>
      <c r="D14" s="9">
        <v>2</v>
      </c>
      <c r="E14" s="9">
        <f>'Base Codificada'!M14</f>
        <v>4</v>
      </c>
      <c r="F14" s="9">
        <f>'Base Codificada'!P14</f>
        <v>2</v>
      </c>
    </row>
    <row r="15" spans="1:14" x14ac:dyDescent="0.25">
      <c r="A15" s="9">
        <v>12</v>
      </c>
      <c r="B15" s="9">
        <v>1</v>
      </c>
      <c r="C15" s="9">
        <v>1</v>
      </c>
      <c r="D15" s="9">
        <v>2</v>
      </c>
      <c r="E15" s="9">
        <f>'Base Codificada'!M15</f>
        <v>3</v>
      </c>
      <c r="F15" s="9">
        <f>'Base Codificada'!P15</f>
        <v>2</v>
      </c>
    </row>
    <row r="16" spans="1:14" x14ac:dyDescent="0.25">
      <c r="A16" s="9">
        <v>13</v>
      </c>
      <c r="B16" s="9">
        <v>1</v>
      </c>
      <c r="C16" s="9">
        <v>1</v>
      </c>
      <c r="D16" s="9">
        <v>2</v>
      </c>
      <c r="E16" s="9">
        <f>'Base Codificada'!M16</f>
        <v>5</v>
      </c>
      <c r="F16" s="9">
        <f>'Base Codificada'!P16</f>
        <v>2</v>
      </c>
    </row>
    <row r="17" spans="1:6" x14ac:dyDescent="0.25">
      <c r="A17" s="9">
        <v>14</v>
      </c>
      <c r="B17" s="9">
        <v>1</v>
      </c>
      <c r="C17" s="9">
        <v>4</v>
      </c>
      <c r="D17" s="9">
        <v>2</v>
      </c>
      <c r="E17" s="9">
        <f>'Base Codificada'!M17</f>
        <v>3</v>
      </c>
      <c r="F17" s="9">
        <f>'Base Codificada'!P17</f>
        <v>2</v>
      </c>
    </row>
    <row r="18" spans="1:6" x14ac:dyDescent="0.25">
      <c r="A18" s="9">
        <v>15</v>
      </c>
      <c r="B18" s="9">
        <v>1</v>
      </c>
      <c r="C18" s="9">
        <v>2</v>
      </c>
      <c r="D18" s="9">
        <v>2</v>
      </c>
      <c r="E18" s="9">
        <f>'Base Codificada'!M18</f>
        <v>4</v>
      </c>
      <c r="F18" s="9">
        <f>'Base Codificada'!P18</f>
        <v>2</v>
      </c>
    </row>
    <row r="19" spans="1:6" x14ac:dyDescent="0.25">
      <c r="A19" s="9">
        <v>16</v>
      </c>
      <c r="B19" s="9">
        <v>1</v>
      </c>
      <c r="C19" s="9">
        <v>1</v>
      </c>
      <c r="D19" s="9">
        <v>2</v>
      </c>
      <c r="E19" s="9">
        <f>'Base Codificada'!M19</f>
        <v>0</v>
      </c>
      <c r="F19" s="9">
        <f>'Base Codificada'!P19</f>
        <v>3</v>
      </c>
    </row>
    <row r="20" spans="1:6" x14ac:dyDescent="0.25">
      <c r="A20" s="9">
        <v>17</v>
      </c>
      <c r="B20" s="9">
        <v>1</v>
      </c>
      <c r="C20" s="9">
        <v>1</v>
      </c>
      <c r="D20" s="9">
        <v>2</v>
      </c>
      <c r="E20" s="9">
        <f>'Base Codificada'!M20</f>
        <v>0</v>
      </c>
      <c r="F20" s="9">
        <f>'Base Codificada'!P20</f>
        <v>0</v>
      </c>
    </row>
    <row r="21" spans="1:6" x14ac:dyDescent="0.25">
      <c r="A21" s="9">
        <v>18</v>
      </c>
      <c r="B21" s="9">
        <v>1</v>
      </c>
      <c r="C21" s="9">
        <v>4</v>
      </c>
      <c r="D21" s="9">
        <v>2</v>
      </c>
      <c r="E21" s="9">
        <f>'Base Codificada'!M21</f>
        <v>3</v>
      </c>
      <c r="F21" s="9">
        <f>'Base Codificada'!P21</f>
        <v>3</v>
      </c>
    </row>
    <row r="22" spans="1:6" x14ac:dyDescent="0.25">
      <c r="A22" s="9">
        <v>19</v>
      </c>
      <c r="B22" s="9">
        <v>1</v>
      </c>
      <c r="C22" s="9">
        <v>5</v>
      </c>
      <c r="D22" s="9">
        <v>2</v>
      </c>
      <c r="E22" s="9">
        <f>'Base Codificada'!M22</f>
        <v>3</v>
      </c>
      <c r="F22" s="9">
        <f>'Base Codificada'!P22</f>
        <v>1</v>
      </c>
    </row>
    <row r="23" spans="1:6" x14ac:dyDescent="0.25">
      <c r="A23" s="9">
        <v>20</v>
      </c>
      <c r="B23" s="9">
        <v>1</v>
      </c>
      <c r="C23" s="9">
        <v>1</v>
      </c>
      <c r="D23" s="9">
        <v>2</v>
      </c>
      <c r="E23" s="9">
        <f>'Base Codificada'!M23</f>
        <v>4</v>
      </c>
      <c r="F23" s="9">
        <f>'Base Codificada'!P23</f>
        <v>2</v>
      </c>
    </row>
    <row r="24" spans="1:6" x14ac:dyDescent="0.25">
      <c r="A24" s="9">
        <v>21</v>
      </c>
      <c r="B24" s="9">
        <v>1</v>
      </c>
      <c r="C24" s="9">
        <v>3</v>
      </c>
      <c r="D24" s="9">
        <v>1</v>
      </c>
      <c r="E24" s="9">
        <f>'Base Codificada'!M24</f>
        <v>0</v>
      </c>
      <c r="F24" s="9">
        <f>'Base Codificada'!P24</f>
        <v>3</v>
      </c>
    </row>
    <row r="25" spans="1:6" x14ac:dyDescent="0.25">
      <c r="A25" s="9">
        <v>22</v>
      </c>
      <c r="B25" s="9">
        <v>1</v>
      </c>
      <c r="C25" s="9">
        <v>2</v>
      </c>
      <c r="D25" s="9">
        <v>1</v>
      </c>
      <c r="E25" s="9">
        <f>'Base Codificada'!M25</f>
        <v>2</v>
      </c>
      <c r="F25" s="9">
        <f>'Base Codificada'!P25</f>
        <v>3</v>
      </c>
    </row>
    <row r="26" spans="1:6" x14ac:dyDescent="0.25">
      <c r="A26" s="9">
        <v>23</v>
      </c>
      <c r="B26" s="9">
        <v>1</v>
      </c>
      <c r="C26" s="9">
        <v>1</v>
      </c>
      <c r="D26" s="9">
        <v>2</v>
      </c>
      <c r="E26" s="9">
        <f>'Base Codificada'!M26</f>
        <v>0</v>
      </c>
      <c r="F26" s="9">
        <f>'Base Codificada'!P26</f>
        <v>3</v>
      </c>
    </row>
    <row r="27" spans="1:6" x14ac:dyDescent="0.25">
      <c r="A27" s="9">
        <v>24</v>
      </c>
      <c r="B27" s="9">
        <v>2</v>
      </c>
      <c r="C27" s="9">
        <v>1</v>
      </c>
      <c r="D27" s="9">
        <v>2</v>
      </c>
      <c r="E27" s="9">
        <f>'Base Codificada'!M27</f>
        <v>3</v>
      </c>
      <c r="F27" s="9">
        <f>'Base Codificada'!P27</f>
        <v>1</v>
      </c>
    </row>
    <row r="28" spans="1:6" x14ac:dyDescent="0.25">
      <c r="A28" s="9">
        <v>25</v>
      </c>
      <c r="B28" s="9">
        <v>2</v>
      </c>
      <c r="C28" s="9">
        <v>2</v>
      </c>
      <c r="D28" s="9">
        <v>2</v>
      </c>
      <c r="E28" s="9">
        <f>'Base Codificada'!M28</f>
        <v>2</v>
      </c>
      <c r="F28" s="9">
        <f>'Base Codificada'!P28</f>
        <v>3</v>
      </c>
    </row>
    <row r="29" spans="1:6" x14ac:dyDescent="0.25">
      <c r="A29" s="9">
        <v>26</v>
      </c>
      <c r="B29" s="9">
        <v>2</v>
      </c>
      <c r="C29" s="9">
        <v>1</v>
      </c>
      <c r="D29" s="9">
        <v>2</v>
      </c>
      <c r="E29" s="9">
        <f>'Base Codificada'!M29</f>
        <v>0</v>
      </c>
      <c r="F29" s="9">
        <f>'Base Codificada'!P29</f>
        <v>0</v>
      </c>
    </row>
    <row r="30" spans="1:6" x14ac:dyDescent="0.25">
      <c r="A30" s="9">
        <v>27</v>
      </c>
      <c r="B30" s="9">
        <v>2</v>
      </c>
      <c r="C30" s="9">
        <v>1</v>
      </c>
      <c r="D30" s="9">
        <v>2</v>
      </c>
      <c r="E30" s="9">
        <f>'Base Codificada'!M30</f>
        <v>0</v>
      </c>
      <c r="F30" s="9">
        <f>'Base Codificada'!P30</f>
        <v>3</v>
      </c>
    </row>
    <row r="31" spans="1:6" x14ac:dyDescent="0.25">
      <c r="A31" s="9">
        <v>28</v>
      </c>
      <c r="B31" s="9">
        <v>2</v>
      </c>
      <c r="C31" s="9">
        <v>4</v>
      </c>
      <c r="D31" s="9">
        <v>2</v>
      </c>
      <c r="E31" s="9">
        <f>'Base Codificada'!M31</f>
        <v>0</v>
      </c>
      <c r="F31" s="9">
        <f>'Base Codificada'!P31</f>
        <v>0</v>
      </c>
    </row>
    <row r="32" spans="1:6" x14ac:dyDescent="0.25">
      <c r="A32" s="9">
        <v>29</v>
      </c>
      <c r="B32" s="9">
        <v>2</v>
      </c>
      <c r="C32" s="9">
        <v>4</v>
      </c>
      <c r="D32" s="9">
        <v>2</v>
      </c>
      <c r="E32" s="9">
        <f>'Base Codificada'!M32</f>
        <v>5</v>
      </c>
      <c r="F32" s="9">
        <f>'Base Codificada'!P32</f>
        <v>2</v>
      </c>
    </row>
    <row r="33" spans="1:6" x14ac:dyDescent="0.25">
      <c r="A33" s="9">
        <v>30</v>
      </c>
      <c r="B33" s="9">
        <v>2</v>
      </c>
      <c r="C33" s="9">
        <v>1</v>
      </c>
      <c r="D33" s="9">
        <v>2</v>
      </c>
      <c r="E33" s="9">
        <f>'Base Codificada'!M33</f>
        <v>5</v>
      </c>
      <c r="F33" s="9">
        <f>'Base Codificada'!P33</f>
        <v>2</v>
      </c>
    </row>
    <row r="34" spans="1:6" x14ac:dyDescent="0.25">
      <c r="A34" s="9">
        <v>31</v>
      </c>
      <c r="B34" s="9">
        <v>2</v>
      </c>
      <c r="C34" s="9">
        <v>1</v>
      </c>
      <c r="D34" s="9">
        <v>1</v>
      </c>
      <c r="E34" s="9">
        <f>'Base Codificada'!M34</f>
        <v>1</v>
      </c>
      <c r="F34" s="9">
        <f>'Base Codificada'!P34</f>
        <v>2</v>
      </c>
    </row>
    <row r="35" spans="1:6" x14ac:dyDescent="0.25">
      <c r="A35" s="9">
        <v>32</v>
      </c>
      <c r="B35" s="9">
        <v>2</v>
      </c>
      <c r="C35" s="9">
        <v>2</v>
      </c>
      <c r="D35" s="9">
        <v>2</v>
      </c>
      <c r="E35" s="9">
        <f>'Base Codificada'!M35</f>
        <v>0</v>
      </c>
      <c r="F35" s="9">
        <f>'Base Codificada'!P35</f>
        <v>2</v>
      </c>
    </row>
    <row r="36" spans="1:6" x14ac:dyDescent="0.25">
      <c r="A36" s="9">
        <v>33</v>
      </c>
      <c r="B36" s="9">
        <v>2</v>
      </c>
      <c r="C36" s="9">
        <v>1</v>
      </c>
      <c r="D36" s="9">
        <v>2</v>
      </c>
      <c r="E36" s="9">
        <f>'Base Codificada'!M36</f>
        <v>1</v>
      </c>
      <c r="F36" s="9">
        <f>'Base Codificada'!P36</f>
        <v>0</v>
      </c>
    </row>
    <row r="37" spans="1:6" x14ac:dyDescent="0.25">
      <c r="A37" s="9">
        <v>34</v>
      </c>
      <c r="B37" s="9">
        <v>2</v>
      </c>
      <c r="C37" s="9">
        <v>1</v>
      </c>
      <c r="D37" s="9">
        <v>2</v>
      </c>
      <c r="E37" s="9">
        <f>'Base Codificada'!M37</f>
        <v>0</v>
      </c>
      <c r="F37" s="9">
        <f>'Base Codificada'!P37</f>
        <v>1</v>
      </c>
    </row>
    <row r="38" spans="1:6" x14ac:dyDescent="0.25">
      <c r="A38" s="9">
        <v>35</v>
      </c>
      <c r="B38" s="9">
        <v>2</v>
      </c>
      <c r="C38" s="9">
        <v>1</v>
      </c>
      <c r="D38" s="9">
        <v>2</v>
      </c>
      <c r="E38" s="9">
        <f>'Base Codificada'!M38</f>
        <v>5</v>
      </c>
      <c r="F38" s="9">
        <f>'Base Codificada'!P38</f>
        <v>0</v>
      </c>
    </row>
    <row r="39" spans="1:6" x14ac:dyDescent="0.25">
      <c r="A39" s="9">
        <v>36</v>
      </c>
      <c r="B39" s="9">
        <v>2</v>
      </c>
      <c r="C39" s="9">
        <v>1</v>
      </c>
      <c r="D39" s="9">
        <v>2</v>
      </c>
      <c r="E39" s="9">
        <f>'Base Codificada'!M39</f>
        <v>1</v>
      </c>
      <c r="F39" s="9">
        <f>'Base Codificada'!P39</f>
        <v>0</v>
      </c>
    </row>
    <row r="40" spans="1:6" x14ac:dyDescent="0.25">
      <c r="A40" s="9">
        <v>37</v>
      </c>
      <c r="B40" s="9">
        <v>2</v>
      </c>
      <c r="C40" s="9">
        <v>2</v>
      </c>
      <c r="D40" s="9">
        <v>2</v>
      </c>
      <c r="E40" s="9">
        <f>'Base Codificada'!M40</f>
        <v>3</v>
      </c>
      <c r="F40" s="9">
        <f>'Base Codificada'!P40</f>
        <v>1</v>
      </c>
    </row>
    <row r="41" spans="1:6" x14ac:dyDescent="0.25">
      <c r="A41" s="9">
        <v>38</v>
      </c>
      <c r="B41" s="9">
        <v>2</v>
      </c>
      <c r="C41" s="9">
        <v>1</v>
      </c>
      <c r="D41" s="9">
        <v>2</v>
      </c>
      <c r="E41" s="9">
        <f>'Base Codificada'!M41</f>
        <v>0</v>
      </c>
      <c r="F41" s="9">
        <f>'Base Codificada'!P41</f>
        <v>2</v>
      </c>
    </row>
    <row r="42" spans="1:6" x14ac:dyDescent="0.25">
      <c r="A42" s="9">
        <v>39</v>
      </c>
      <c r="B42" s="9">
        <v>2</v>
      </c>
      <c r="C42" s="9">
        <v>1</v>
      </c>
      <c r="D42" s="9">
        <v>2</v>
      </c>
      <c r="E42" s="9">
        <f>'Base Codificada'!M42</f>
        <v>0</v>
      </c>
      <c r="F42" s="9">
        <f>'Base Codificada'!P42</f>
        <v>3</v>
      </c>
    </row>
    <row r="43" spans="1:6" x14ac:dyDescent="0.25">
      <c r="A43" s="9">
        <v>40</v>
      </c>
      <c r="B43" s="9">
        <v>2</v>
      </c>
      <c r="C43" s="9">
        <v>1</v>
      </c>
      <c r="D43" s="9">
        <v>2</v>
      </c>
      <c r="E43" s="9">
        <f>'Base Codificada'!M43</f>
        <v>3</v>
      </c>
      <c r="F43" s="9">
        <f>'Base Codificada'!P43</f>
        <v>3</v>
      </c>
    </row>
    <row r="44" spans="1:6" x14ac:dyDescent="0.25">
      <c r="A44" s="9">
        <v>41</v>
      </c>
      <c r="B44" s="9">
        <v>2</v>
      </c>
      <c r="C44" s="9">
        <v>1</v>
      </c>
      <c r="D44" s="9">
        <v>2</v>
      </c>
      <c r="E44" s="9">
        <f>'Base Codificada'!M44</f>
        <v>3</v>
      </c>
      <c r="F44" s="9">
        <f>'Base Codificada'!P44</f>
        <v>0</v>
      </c>
    </row>
    <row r="45" spans="1:6" x14ac:dyDescent="0.25">
      <c r="A45" s="9">
        <v>42</v>
      </c>
      <c r="B45" s="9">
        <v>2</v>
      </c>
      <c r="C45" s="9">
        <v>2</v>
      </c>
      <c r="D45" s="9">
        <v>2</v>
      </c>
      <c r="E45" s="9">
        <f>'Base Codificada'!M45</f>
        <v>3</v>
      </c>
      <c r="F45" s="9">
        <f>'Base Codificada'!P45</f>
        <v>0</v>
      </c>
    </row>
    <row r="46" spans="1:6" x14ac:dyDescent="0.25">
      <c r="A46" s="9">
        <v>43</v>
      </c>
      <c r="B46" s="9">
        <v>2</v>
      </c>
      <c r="C46" s="9">
        <v>3</v>
      </c>
      <c r="D46" s="9">
        <v>2</v>
      </c>
      <c r="E46" s="9">
        <f>'Base Codificada'!M46</f>
        <v>3</v>
      </c>
      <c r="F46" s="9">
        <f>'Base Codificada'!P46</f>
        <v>1</v>
      </c>
    </row>
    <row r="47" spans="1:6" x14ac:dyDescent="0.25">
      <c r="A47" s="9">
        <v>44</v>
      </c>
      <c r="B47" s="9">
        <v>2</v>
      </c>
      <c r="C47" s="9">
        <v>4</v>
      </c>
      <c r="D47" s="9">
        <v>2</v>
      </c>
      <c r="E47" s="9">
        <f>'Base Codificada'!M47</f>
        <v>3</v>
      </c>
      <c r="F47" s="9">
        <f>'Base Codificada'!P47</f>
        <v>3</v>
      </c>
    </row>
    <row r="48" spans="1:6" x14ac:dyDescent="0.25">
      <c r="A48" s="9">
        <v>45</v>
      </c>
      <c r="B48" s="9">
        <v>2</v>
      </c>
      <c r="C48" s="9">
        <v>1</v>
      </c>
      <c r="D48" s="9">
        <v>1</v>
      </c>
      <c r="E48" s="9">
        <f>'Base Codificada'!M48</f>
        <v>4</v>
      </c>
      <c r="F48" s="9">
        <f>'Base Codificada'!P48</f>
        <v>3</v>
      </c>
    </row>
    <row r="49" spans="1:9" x14ac:dyDescent="0.25">
      <c r="A49" s="9">
        <v>46</v>
      </c>
      <c r="B49" s="9">
        <v>2</v>
      </c>
      <c r="C49" s="9">
        <v>1</v>
      </c>
      <c r="D49" s="9">
        <v>2</v>
      </c>
      <c r="E49" s="9">
        <f>'Base Codificada'!M49</f>
        <v>1</v>
      </c>
      <c r="F49" s="9">
        <f>'Base Codificada'!P49</f>
        <v>3</v>
      </c>
    </row>
    <row r="50" spans="1:9" x14ac:dyDescent="0.25">
      <c r="A50" s="9">
        <v>47</v>
      </c>
      <c r="B50" s="9">
        <v>2</v>
      </c>
      <c r="C50" s="9">
        <v>5</v>
      </c>
      <c r="D50" s="9">
        <v>2</v>
      </c>
      <c r="E50" s="9">
        <f>'Base Codificada'!M50</f>
        <v>5</v>
      </c>
      <c r="F50" s="9">
        <f>'Base Codificada'!P50</f>
        <v>0</v>
      </c>
    </row>
    <row r="51" spans="1:9" x14ac:dyDescent="0.25">
      <c r="A51" s="9">
        <v>48</v>
      </c>
      <c r="B51" s="9">
        <v>2</v>
      </c>
      <c r="C51" s="9">
        <v>3</v>
      </c>
      <c r="D51" s="9">
        <v>2</v>
      </c>
      <c r="E51" s="9">
        <f>'Base Codificada'!M51</f>
        <v>3</v>
      </c>
      <c r="F51" s="9">
        <f>'Base Codificada'!P51</f>
        <v>3</v>
      </c>
    </row>
    <row r="52" spans="1:9" x14ac:dyDescent="0.25">
      <c r="A52" s="9">
        <v>49</v>
      </c>
      <c r="B52" s="9">
        <v>2</v>
      </c>
      <c r="C52" s="9">
        <v>3</v>
      </c>
      <c r="D52" s="9">
        <v>2</v>
      </c>
      <c r="E52" s="9">
        <f>'Base Codificada'!M52</f>
        <v>0</v>
      </c>
      <c r="F52" s="9">
        <f>'Base Codificada'!P52</f>
        <v>3</v>
      </c>
    </row>
    <row r="53" spans="1:9" x14ac:dyDescent="0.25">
      <c r="A53" s="9">
        <v>50</v>
      </c>
      <c r="B53" s="9">
        <v>2</v>
      </c>
      <c r="C53" s="9">
        <v>3</v>
      </c>
      <c r="D53" s="9">
        <v>2</v>
      </c>
      <c r="E53" s="9">
        <f>'Base Codificada'!M53</f>
        <v>3</v>
      </c>
      <c r="F53" s="9">
        <f>'Base Codificada'!P53</f>
        <v>2</v>
      </c>
    </row>
    <row r="55" spans="1:9" x14ac:dyDescent="0.25">
      <c r="A55" s="17" t="s">
        <v>187</v>
      </c>
    </row>
    <row r="56" spans="1:9" x14ac:dyDescent="0.25">
      <c r="A56" s="9" t="s">
        <v>153</v>
      </c>
      <c r="B56" s="9" t="s">
        <v>152</v>
      </c>
      <c r="C56" s="9" t="s">
        <v>9</v>
      </c>
      <c r="D56" s="9" t="s">
        <v>11</v>
      </c>
      <c r="E56" s="9" t="s">
        <v>12</v>
      </c>
      <c r="F56" s="9" t="s">
        <v>179</v>
      </c>
      <c r="G56" s="9" t="s">
        <v>178</v>
      </c>
    </row>
    <row r="57" spans="1:9" x14ac:dyDescent="0.25">
      <c r="A57" s="9">
        <v>1</v>
      </c>
      <c r="B57" s="10">
        <v>39</v>
      </c>
      <c r="C57" s="9">
        <f t="array" ref="C57">SUM(IF($B57=$A$4:$A$53,B$4:B$53))</f>
        <v>2</v>
      </c>
      <c r="D57" s="9">
        <f t="array" ref="D57">SUM(IF($B57=$A$4:$A$53,C$4:C$53))</f>
        <v>1</v>
      </c>
      <c r="E57" s="9">
        <f t="array" ref="E57">SUM(IF($B57=$A$4:$A$53,D$4:D$53))</f>
        <v>2</v>
      </c>
      <c r="F57" s="9">
        <f t="array" ref="F57">SUM(IF($B57=$A$4:$A$53,E$4:E$53))</f>
        <v>0</v>
      </c>
      <c r="G57" s="9">
        <f t="array" ref="G57">SUM(IF($B57=$A$4:$A$53,F$4:F$53))</f>
        <v>3</v>
      </c>
    </row>
    <row r="58" spans="1:9" x14ac:dyDescent="0.25">
      <c r="A58" s="9">
        <v>2</v>
      </c>
      <c r="B58" s="10">
        <v>35</v>
      </c>
      <c r="C58" s="9">
        <f t="array" ref="C58">SUM(IF($B58=$A$4:$A$53,B$4:B$53))</f>
        <v>2</v>
      </c>
      <c r="D58" s="9">
        <f t="array" ref="D58">SUM(IF($B58=$A$4:$A$53,C$4:C$53))</f>
        <v>1</v>
      </c>
      <c r="E58" s="9">
        <f t="array" ref="E58">SUM(IF($B58=$A$4:$A$53,D$4:D$53))</f>
        <v>2</v>
      </c>
      <c r="F58" s="9">
        <f t="array" ref="F58">SUM(IF($B58=$A$4:$A$53,E$4:E$53))</f>
        <v>5</v>
      </c>
      <c r="G58" s="9">
        <f t="array" ref="G58">SUM(IF($B58=$A$4:$A$53,F$4:F$53))</f>
        <v>0</v>
      </c>
    </row>
    <row r="59" spans="1:9" x14ac:dyDescent="0.25">
      <c r="A59" s="9">
        <v>3</v>
      </c>
      <c r="B59" s="10">
        <v>12</v>
      </c>
      <c r="C59" s="9">
        <f t="array" ref="C59">SUM(IF($B59=$A$4:$A$53,B$4:B$53))</f>
        <v>1</v>
      </c>
      <c r="D59" s="9">
        <f t="array" ref="D59">SUM(IF($B59=$A$4:$A$53,C$4:C$53))</f>
        <v>1</v>
      </c>
      <c r="E59" s="9">
        <f t="array" ref="E59">SUM(IF($B59=$A$4:$A$53,D$4:D$53))</f>
        <v>2</v>
      </c>
      <c r="F59" s="9">
        <f t="array" ref="F59">SUM(IF($B59=$A$4:$A$53,E$4:E$53))</f>
        <v>3</v>
      </c>
      <c r="G59" s="9">
        <f t="array" ref="G59">SUM(IF($B59=$A$4:$A$53,F$4:F$53))</f>
        <v>2</v>
      </c>
    </row>
    <row r="60" spans="1:9" x14ac:dyDescent="0.25">
      <c r="A60" s="9">
        <v>4</v>
      </c>
      <c r="B60" s="10">
        <v>43</v>
      </c>
      <c r="C60" s="9">
        <f t="array" ref="C60">SUM(IF($B60=$A$4:$A$53,B$4:B$53))</f>
        <v>2</v>
      </c>
      <c r="D60" s="9">
        <f t="array" ref="D60">SUM(IF($B60=$A$4:$A$53,C$4:C$53))</f>
        <v>3</v>
      </c>
      <c r="E60" s="9">
        <f t="array" ref="E60">SUM(IF($B60=$A$4:$A$53,D$4:D$53))</f>
        <v>2</v>
      </c>
      <c r="F60" s="9">
        <f t="array" ref="F60">SUM(IF($B60=$A$4:$A$53,E$4:E$53))</f>
        <v>3</v>
      </c>
      <c r="G60" s="9">
        <f t="array" ref="G60">SUM(IF($B60=$A$4:$A$53,F$4:F$53))</f>
        <v>1</v>
      </c>
    </row>
    <row r="61" spans="1:9" x14ac:dyDescent="0.25">
      <c r="A61" s="9">
        <v>5</v>
      </c>
      <c r="B61" s="10">
        <v>17</v>
      </c>
      <c r="C61" s="9">
        <f t="array" ref="C61">SUM(IF($B61=$A$4:$A$53,B$4:B$53))</f>
        <v>1</v>
      </c>
      <c r="D61" s="9">
        <f t="array" ref="D61">SUM(IF($B61=$A$4:$A$53,C$4:C$53))</f>
        <v>1</v>
      </c>
      <c r="E61" s="9">
        <f t="array" ref="E61">SUM(IF($B61=$A$4:$A$53,D$4:D$53))</f>
        <v>2</v>
      </c>
      <c r="F61" s="9">
        <f t="array" ref="F61">SUM(IF($B61=$A$4:$A$53,E$4:E$53))</f>
        <v>0</v>
      </c>
      <c r="G61" s="9">
        <f t="array" ref="G61">SUM(IF($B61=$A$4:$A$53,F$4:F$53))</f>
        <v>0</v>
      </c>
    </row>
    <row r="63" spans="1:9" ht="30" x14ac:dyDescent="0.25">
      <c r="A63" s="9" t="s">
        <v>154</v>
      </c>
      <c r="B63" s="9" t="s">
        <v>155</v>
      </c>
      <c r="C63" s="9" t="s">
        <v>156</v>
      </c>
      <c r="D63" s="9" t="s">
        <v>157</v>
      </c>
      <c r="E63" s="9" t="s">
        <v>158</v>
      </c>
      <c r="F63" s="9" t="s">
        <v>171</v>
      </c>
      <c r="G63" s="16" t="s">
        <v>168</v>
      </c>
      <c r="H63" s="16" t="s">
        <v>170</v>
      </c>
    </row>
    <row r="64" spans="1:9" ht="30" x14ac:dyDescent="0.25">
      <c r="A64" s="9">
        <v>1</v>
      </c>
      <c r="B64" s="9" cm="1">
        <f t="array" ref="B64">-SUM(IF($C$57:$G$57=$B4:$F4,$J$1:$N$1))</f>
        <v>-3</v>
      </c>
      <c r="C64" s="9" cm="1">
        <f t="array" ref="C64">-SUM(IF($C$58:$G$58=$B4:$F4,$J$1:$N$1))</f>
        <v>-3</v>
      </c>
      <c r="D64" s="9" cm="1">
        <f t="array" ref="D64">-SUM(IF($C$59:$G$59=$B4:$F4,$J$1:$N$1))</f>
        <v>-3</v>
      </c>
      <c r="E64" s="9" cm="1">
        <f t="array" ref="E64">-SUM(IF($C$60:$G$60=$B4:$F4,$J$1:$N$1))</f>
        <v>-1</v>
      </c>
      <c r="F64" s="9" cm="1">
        <f t="array" ref="F64">-SUM(IF($C$61:$G$61=$B4:$F4,$J$1:$N$1))</f>
        <v>-5</v>
      </c>
      <c r="G64" s="9">
        <f t="shared" ref="G64:G66" si="0">MIN(B64:F64)</f>
        <v>-5</v>
      </c>
      <c r="H64" s="9">
        <f t="shared" ref="H64:H66" si="1">MATCH(G64,B64:F64,0)</f>
        <v>5</v>
      </c>
      <c r="I64" s="16" t="s">
        <v>169</v>
      </c>
    </row>
    <row r="65" spans="1:11" x14ac:dyDescent="0.25">
      <c r="A65" s="9">
        <v>2</v>
      </c>
      <c r="B65" s="9" cm="1">
        <f t="array" ref="B65">-SUM(IF($C$57:$G$57=$B5:$F5,$J$1:$N$1))</f>
        <v>-1</v>
      </c>
      <c r="C65" s="9" cm="1">
        <f t="array" ref="C65">-SUM(IF($C$58:$G$58=$B5:$F5,$J$1:$N$1))</f>
        <v>0</v>
      </c>
      <c r="D65" s="9" cm="1">
        <f t="array" ref="D65">-SUM(IF($C$59:$G$59=$B5:$F5,$J$1:$N$1))</f>
        <v>-1</v>
      </c>
      <c r="E65" s="9" cm="1">
        <f t="array" ref="E65">-SUM(IF($C$60:$G$60=$B5:$F5,$J$1:$N$1))</f>
        <v>-1</v>
      </c>
      <c r="F65" s="9" cm="1">
        <f t="array" ref="F65">-SUM(IF($C$61:$G$61=$B5:$F5,$J$1:$N$1))</f>
        <v>-2</v>
      </c>
      <c r="G65" s="9">
        <f t="shared" si="0"/>
        <v>-2</v>
      </c>
      <c r="H65" s="9">
        <f t="shared" si="1"/>
        <v>5</v>
      </c>
      <c r="I65" s="10">
        <f>SUM(G64:G113)</f>
        <v>-189</v>
      </c>
    </row>
    <row r="66" spans="1:11" x14ac:dyDescent="0.25">
      <c r="A66" s="9">
        <v>3</v>
      </c>
      <c r="B66" s="9" cm="1">
        <f t="array" ref="B66">-SUM(IF($C$57:$G$57=$B6:$F6,$J$1:$N$1))</f>
        <v>-2</v>
      </c>
      <c r="C66" s="9" cm="1">
        <f t="array" ref="C66">-SUM(IF($C$58:$G$58=$B6:$F6,$J$1:$N$1))</f>
        <v>-2</v>
      </c>
      <c r="D66" s="9" cm="1">
        <f t="array" ref="D66">-SUM(IF($C$59:$G$59=$B6:$F6,$J$1:$N$1))</f>
        <v>-2</v>
      </c>
      <c r="E66" s="9" cm="1">
        <f t="array" ref="E66">-SUM(IF($C$60:$G$60=$B6:$F6,$J$1:$N$1))</f>
        <v>-1</v>
      </c>
      <c r="F66" s="9" cm="1">
        <f t="array" ref="F66">-SUM(IF($C$61:$G$61=$B6:$F6,$J$1:$N$1))</f>
        <v>-4</v>
      </c>
      <c r="G66" s="9">
        <f t="shared" si="0"/>
        <v>-4</v>
      </c>
      <c r="H66" s="9">
        <f t="shared" si="1"/>
        <v>5</v>
      </c>
    </row>
    <row r="67" spans="1:11" x14ac:dyDescent="0.25">
      <c r="A67" s="9">
        <v>4</v>
      </c>
      <c r="B67" s="9" cm="1">
        <f t="array" ref="B67">-SUM(IF($C$57:$G$57=$B7:$F7,$J$1:$N$1))</f>
        <v>-3</v>
      </c>
      <c r="C67" s="9" cm="1">
        <f t="array" ref="C67">-SUM(IF($C$58:$G$58=$B7:$F7,$J$1:$N$1))</f>
        <v>-3</v>
      </c>
      <c r="D67" s="9" cm="1">
        <f t="array" ref="D67">-SUM(IF($C$59:$G$59=$B7:$F7,$J$1:$N$1))</f>
        <v>-3</v>
      </c>
      <c r="E67" s="9" cm="1">
        <f t="array" ref="E67">-SUM(IF($C$60:$G$60=$B7:$F7,$J$1:$N$1))</f>
        <v>-1</v>
      </c>
      <c r="F67" s="9" cm="1">
        <f t="array" ref="F67">-SUM(IF($C$61:$G$61=$B7:$F7,$J$1:$N$1))</f>
        <v>-5</v>
      </c>
      <c r="G67" s="9">
        <f>MIN(B67:F67)</f>
        <v>-5</v>
      </c>
      <c r="H67" s="9">
        <f t="shared" ref="H67:H113" si="2">MATCH(G67,B67:F67,0)</f>
        <v>5</v>
      </c>
    </row>
    <row r="68" spans="1:11" x14ac:dyDescent="0.25">
      <c r="A68" s="9">
        <v>5</v>
      </c>
      <c r="B68" s="9" cm="1">
        <f t="array" ref="B68">-SUM(IF($C$57:$G$57=$B8:$F8,$J$1:$N$1))</f>
        <v>-2</v>
      </c>
      <c r="C68" s="9" cm="1">
        <f t="array" ref="C68">-SUM(IF($C$58:$G$58=$B8:$F8,$J$1:$N$1))</f>
        <v>-2</v>
      </c>
      <c r="D68" s="9" cm="1">
        <f t="array" ref="D68">-SUM(IF($C$59:$G$59=$B8:$F8,$J$1:$N$1))</f>
        <v>-3</v>
      </c>
      <c r="E68" s="9" cm="1">
        <f t="array" ref="E68">-SUM(IF($C$60:$G$60=$B8:$F8,$J$1:$N$1))</f>
        <v>-2</v>
      </c>
      <c r="F68" s="9" cm="1">
        <f t="array" ref="F68">-SUM(IF($C$61:$G$61=$B8:$F8,$J$1:$N$1))</f>
        <v>-3</v>
      </c>
      <c r="G68" s="9">
        <f t="shared" ref="G68:G113" si="3">MIN(B68:F68)</f>
        <v>-3</v>
      </c>
      <c r="H68" s="9">
        <f t="shared" si="2"/>
        <v>3</v>
      </c>
    </row>
    <row r="69" spans="1:11" x14ac:dyDescent="0.25">
      <c r="A69" s="9">
        <v>6</v>
      </c>
      <c r="B69" s="9" cm="1">
        <f t="array" ref="B69">-SUM(IF($C$57:$G$57=$B9:$F9,$J$1:$N$1))</f>
        <v>-2</v>
      </c>
      <c r="C69" s="9" cm="1">
        <f t="array" ref="C69">-SUM(IF($C$58:$G$58=$B9:$F9,$J$1:$N$1))</f>
        <v>-2</v>
      </c>
      <c r="D69" s="9" cm="1">
        <f t="array" ref="D69">-SUM(IF($C$59:$G$59=$B9:$F9,$J$1:$N$1))</f>
        <v>-5</v>
      </c>
      <c r="E69" s="9" cm="1">
        <f t="array" ref="E69">-SUM(IF($C$60:$G$60=$B9:$F9,$J$1:$N$1))</f>
        <v>-2</v>
      </c>
      <c r="F69" s="9" cm="1">
        <f t="array" ref="F69">-SUM(IF($C$61:$G$61=$B9:$F9,$J$1:$N$1))</f>
        <v>-3</v>
      </c>
      <c r="G69" s="9">
        <f t="shared" si="3"/>
        <v>-5</v>
      </c>
      <c r="H69" s="9">
        <f t="shared" si="2"/>
        <v>3</v>
      </c>
    </row>
    <row r="70" spans="1:11" x14ac:dyDescent="0.25">
      <c r="A70" s="9">
        <v>7</v>
      </c>
      <c r="B70" s="9" cm="1">
        <f t="array" ref="B70">-SUM(IF($C$57:$G$57=$B10:$F10,$J$1:$N$1))</f>
        <v>-2</v>
      </c>
      <c r="C70" s="9" cm="1">
        <f t="array" ref="C70">-SUM(IF($C$58:$G$58=$B10:$F10,$J$1:$N$1))</f>
        <v>-3</v>
      </c>
      <c r="D70" s="9" cm="1">
        <f t="array" ref="D70">-SUM(IF($C$59:$G$59=$B10:$F10,$J$1:$N$1))</f>
        <v>-3</v>
      </c>
      <c r="E70" s="9" cm="1">
        <f t="array" ref="E70">-SUM(IF($C$60:$G$60=$B10:$F10,$J$1:$N$1))</f>
        <v>-1</v>
      </c>
      <c r="F70" s="9" cm="1">
        <f t="array" ref="F70">-SUM(IF($C$61:$G$61=$B10:$F10,$J$1:$N$1))</f>
        <v>-4</v>
      </c>
      <c r="G70" s="9">
        <f t="shared" si="3"/>
        <v>-4</v>
      </c>
      <c r="H70" s="9">
        <f t="shared" si="2"/>
        <v>5</v>
      </c>
      <c r="J70" s="18">
        <f>COMBIN(50,5)</f>
        <v>2118760</v>
      </c>
      <c r="K70" s="61" t="s">
        <v>272</v>
      </c>
    </row>
    <row r="71" spans="1:11" x14ac:dyDescent="0.25">
      <c r="A71" s="9">
        <v>8</v>
      </c>
      <c r="B71" s="9" cm="1">
        <f t="array" ref="B71">-SUM(IF($C$57:$G$57=$B11:$F11,$J$1:$N$1))</f>
        <v>-2</v>
      </c>
      <c r="C71" s="9" cm="1">
        <f t="array" ref="C71">-SUM(IF($C$58:$G$58=$B11:$F11,$J$1:$N$1))</f>
        <v>-2</v>
      </c>
      <c r="D71" s="9" cm="1">
        <f t="array" ref="D71">-SUM(IF($C$59:$G$59=$B11:$F11,$J$1:$N$1))</f>
        <v>-2</v>
      </c>
      <c r="E71" s="9" cm="1">
        <f t="array" ref="E71">-SUM(IF($C$60:$G$60=$B11:$F11,$J$1:$N$1))</f>
        <v>-1</v>
      </c>
      <c r="F71" s="9" cm="1">
        <f t="array" ref="F71">-SUM(IF($C$61:$G$61=$B11:$F11,$J$1:$N$1))</f>
        <v>-4</v>
      </c>
      <c r="G71" s="9">
        <f t="shared" si="3"/>
        <v>-4</v>
      </c>
      <c r="H71" s="9">
        <f t="shared" si="2"/>
        <v>5</v>
      </c>
    </row>
    <row r="72" spans="1:11" x14ac:dyDescent="0.25">
      <c r="A72" s="9">
        <v>9</v>
      </c>
      <c r="B72" s="9" cm="1">
        <f t="array" ref="B72">-SUM(IF($C$57:$G$57=$B12:$F12,$J$1:$N$1))</f>
        <v>-2</v>
      </c>
      <c r="C72" s="9" cm="1">
        <f t="array" ref="C72">-SUM(IF($C$58:$G$58=$B12:$F12,$J$1:$N$1))</f>
        <v>-3</v>
      </c>
      <c r="D72" s="9" cm="1">
        <f t="array" ref="D72">-SUM(IF($C$59:$G$59=$B12:$F12,$J$1:$N$1))</f>
        <v>-4</v>
      </c>
      <c r="E72" s="9" cm="1">
        <f t="array" ref="E72">-SUM(IF($C$60:$G$60=$B12:$F12,$J$1:$N$1))</f>
        <v>-2</v>
      </c>
      <c r="F72" s="9" cm="1">
        <f t="array" ref="F72">-SUM(IF($C$61:$G$61=$B12:$F12,$J$1:$N$1))</f>
        <v>-4</v>
      </c>
      <c r="G72" s="9">
        <f t="shared" si="3"/>
        <v>-4</v>
      </c>
      <c r="H72" s="9">
        <f>MATCH(G72,B72:F72,0)</f>
        <v>3</v>
      </c>
      <c r="J72" s="18"/>
    </row>
    <row r="73" spans="1:11" x14ac:dyDescent="0.25">
      <c r="A73" s="9">
        <v>10</v>
      </c>
      <c r="B73" s="9" cm="1">
        <f t="array" ref="B73">-SUM(IF($C$57:$G$57=$B13:$F13,$J$1:$N$1))</f>
        <v>-2</v>
      </c>
      <c r="C73" s="9" cm="1">
        <f t="array" ref="C73">-SUM(IF($C$58:$G$58=$B13:$F13,$J$1:$N$1))</f>
        <v>-2</v>
      </c>
      <c r="D73" s="9" cm="1">
        <f t="array" ref="D73">-SUM(IF($C$59:$G$59=$B13:$F13,$J$1:$N$1))</f>
        <v>-2</v>
      </c>
      <c r="E73" s="9" cm="1">
        <f t="array" ref="E73">-SUM(IF($C$60:$G$60=$B13:$F13,$J$1:$N$1))</f>
        <v>-2</v>
      </c>
      <c r="F73" s="9" cm="1">
        <f t="array" ref="F73">-SUM(IF($C$61:$G$61=$B13:$F13,$J$1:$N$1))</f>
        <v>-4</v>
      </c>
      <c r="G73" s="9">
        <f t="shared" si="3"/>
        <v>-4</v>
      </c>
      <c r="H73" s="9">
        <f t="shared" si="2"/>
        <v>5</v>
      </c>
    </row>
    <row r="74" spans="1:11" x14ac:dyDescent="0.25">
      <c r="A74" s="9">
        <v>11</v>
      </c>
      <c r="B74" s="9" cm="1">
        <f t="array" ref="B74">-SUM(IF($C$57:$G$57=$B14:$F14,$J$1:$N$1))</f>
        <v>-2</v>
      </c>
      <c r="C74" s="9" cm="1">
        <f t="array" ref="C74">-SUM(IF($C$58:$G$58=$B14:$F14,$J$1:$N$1))</f>
        <v>-2</v>
      </c>
      <c r="D74" s="9" cm="1">
        <f t="array" ref="D74">-SUM(IF($C$59:$G$59=$B14:$F14,$J$1:$N$1))</f>
        <v>-4</v>
      </c>
      <c r="E74" s="9" cm="1">
        <f t="array" ref="E74">-SUM(IF($C$60:$G$60=$B14:$F14,$J$1:$N$1))</f>
        <v>-1</v>
      </c>
      <c r="F74" s="9" cm="1">
        <f t="array" ref="F74">-SUM(IF($C$61:$G$61=$B14:$F14,$J$1:$N$1))</f>
        <v>-3</v>
      </c>
      <c r="G74" s="9">
        <f t="shared" si="3"/>
        <v>-4</v>
      </c>
      <c r="H74" s="9">
        <f t="shared" si="2"/>
        <v>3</v>
      </c>
    </row>
    <row r="75" spans="1:11" x14ac:dyDescent="0.25">
      <c r="A75" s="9">
        <v>12</v>
      </c>
      <c r="B75" s="9" cm="1">
        <f t="array" ref="B75">-SUM(IF($C$57:$G$57=$B15:$F15,$J$1:$N$1))</f>
        <v>-2</v>
      </c>
      <c r="C75" s="9" cm="1">
        <f t="array" ref="C75">-SUM(IF($C$58:$G$58=$B15:$F15,$J$1:$N$1))</f>
        <v>-2</v>
      </c>
      <c r="D75" s="9" cm="1">
        <f t="array" ref="D75">-SUM(IF($C$59:$G$59=$B15:$F15,$J$1:$N$1))</f>
        <v>-5</v>
      </c>
      <c r="E75" s="9" cm="1">
        <f t="array" ref="E75">-SUM(IF($C$60:$G$60=$B15:$F15,$J$1:$N$1))</f>
        <v>-2</v>
      </c>
      <c r="F75" s="9" cm="1">
        <f t="array" ref="F75">-SUM(IF($C$61:$G$61=$B15:$F15,$J$1:$N$1))</f>
        <v>-3</v>
      </c>
      <c r="G75" s="9">
        <f t="shared" si="3"/>
        <v>-5</v>
      </c>
      <c r="H75" s="9">
        <f t="shared" si="2"/>
        <v>3</v>
      </c>
    </row>
    <row r="76" spans="1:11" x14ac:dyDescent="0.25">
      <c r="A76" s="9">
        <v>13</v>
      </c>
      <c r="B76" s="9" cm="1">
        <f t="array" ref="B76">-SUM(IF($C$57:$G$57=$B16:$F16,$J$1:$N$1))</f>
        <v>-2</v>
      </c>
      <c r="C76" s="9" cm="1">
        <f t="array" ref="C76">-SUM(IF($C$58:$G$58=$B16:$F16,$J$1:$N$1))</f>
        <v>-3</v>
      </c>
      <c r="D76" s="9" cm="1">
        <f t="array" ref="D76">-SUM(IF($C$59:$G$59=$B16:$F16,$J$1:$N$1))</f>
        <v>-4</v>
      </c>
      <c r="E76" s="9" cm="1">
        <f t="array" ref="E76">-SUM(IF($C$60:$G$60=$B16:$F16,$J$1:$N$1))</f>
        <v>-1</v>
      </c>
      <c r="F76" s="9" cm="1">
        <f t="array" ref="F76">-SUM(IF($C$61:$G$61=$B16:$F16,$J$1:$N$1))</f>
        <v>-3</v>
      </c>
      <c r="G76" s="9">
        <f t="shared" si="3"/>
        <v>-4</v>
      </c>
      <c r="H76" s="9">
        <f t="shared" si="2"/>
        <v>3</v>
      </c>
    </row>
    <row r="77" spans="1:11" x14ac:dyDescent="0.25">
      <c r="A77" s="9">
        <v>14</v>
      </c>
      <c r="B77" s="9" cm="1">
        <f t="array" ref="B77">-SUM(IF($C$57:$G$57=$B17:$F17,$J$1:$N$1))</f>
        <v>-1</v>
      </c>
      <c r="C77" s="9" cm="1">
        <f t="array" ref="C77">-SUM(IF($C$58:$G$58=$B17:$F17,$J$1:$N$1))</f>
        <v>-1</v>
      </c>
      <c r="D77" s="9" cm="1">
        <f t="array" ref="D77">-SUM(IF($C$59:$G$59=$B17:$F17,$J$1:$N$1))</f>
        <v>-4</v>
      </c>
      <c r="E77" s="9" cm="1">
        <f t="array" ref="E77">-SUM(IF($C$60:$G$60=$B17:$F17,$J$1:$N$1))</f>
        <v>-2</v>
      </c>
      <c r="F77" s="9" cm="1">
        <f t="array" ref="F77">-SUM(IF($C$61:$G$61=$B17:$F17,$J$1:$N$1))</f>
        <v>-2</v>
      </c>
      <c r="G77" s="9">
        <f t="shared" si="3"/>
        <v>-4</v>
      </c>
      <c r="H77" s="9">
        <f t="shared" si="2"/>
        <v>3</v>
      </c>
    </row>
    <row r="78" spans="1:11" x14ac:dyDescent="0.25">
      <c r="A78" s="9">
        <v>15</v>
      </c>
      <c r="B78" s="9" cm="1">
        <f t="array" ref="B78">-SUM(IF($C$57:$G$57=$B18:$F18,$J$1:$N$1))</f>
        <v>-1</v>
      </c>
      <c r="C78" s="9" cm="1">
        <f t="array" ref="C78">-SUM(IF($C$58:$G$58=$B18:$F18,$J$1:$N$1))</f>
        <v>-1</v>
      </c>
      <c r="D78" s="9" cm="1">
        <f t="array" ref="D78">-SUM(IF($C$59:$G$59=$B18:$F18,$J$1:$N$1))</f>
        <v>-3</v>
      </c>
      <c r="E78" s="9" cm="1">
        <f t="array" ref="E78">-SUM(IF($C$60:$G$60=$B18:$F18,$J$1:$N$1))</f>
        <v>-1</v>
      </c>
      <c r="F78" s="9" cm="1">
        <f t="array" ref="F78">-SUM(IF($C$61:$G$61=$B18:$F18,$J$1:$N$1))</f>
        <v>-2</v>
      </c>
      <c r="G78" s="9">
        <f t="shared" si="3"/>
        <v>-3</v>
      </c>
      <c r="H78" s="9">
        <f t="shared" si="2"/>
        <v>3</v>
      </c>
    </row>
    <row r="79" spans="1:11" x14ac:dyDescent="0.25">
      <c r="A79" s="9">
        <v>16</v>
      </c>
      <c r="B79" s="9" cm="1">
        <f t="array" ref="B79">-SUM(IF($C$57:$G$57=$B19:$F19,$J$1:$N$1))</f>
        <v>-4</v>
      </c>
      <c r="C79" s="9" cm="1">
        <f t="array" ref="C79">-SUM(IF($C$58:$G$58=$B19:$F19,$J$1:$N$1))</f>
        <v>-2</v>
      </c>
      <c r="D79" s="9" cm="1">
        <f t="array" ref="D79">-SUM(IF($C$59:$G$59=$B19:$F19,$J$1:$N$1))</f>
        <v>-3</v>
      </c>
      <c r="E79" s="9" cm="1">
        <f t="array" ref="E79">-SUM(IF($C$60:$G$60=$B19:$F19,$J$1:$N$1))</f>
        <v>-1</v>
      </c>
      <c r="F79" s="9" cm="1">
        <f t="array" ref="F79">-SUM(IF($C$61:$G$61=$B19:$F19,$J$1:$N$1))</f>
        <v>-4</v>
      </c>
      <c r="G79" s="9">
        <f t="shared" si="3"/>
        <v>-4</v>
      </c>
      <c r="H79" s="9">
        <f t="shared" si="2"/>
        <v>1</v>
      </c>
    </row>
    <row r="80" spans="1:11" x14ac:dyDescent="0.25">
      <c r="A80" s="9">
        <v>17</v>
      </c>
      <c r="B80" s="9" cm="1">
        <f t="array" ref="B80">-SUM(IF($C$57:$G$57=$B20:$F20,$J$1:$N$1))</f>
        <v>-3</v>
      </c>
      <c r="C80" s="9" cm="1">
        <f t="array" ref="C80">-SUM(IF($C$58:$G$58=$B20:$F20,$J$1:$N$1))</f>
        <v>-3</v>
      </c>
      <c r="D80" s="9" cm="1">
        <f t="array" ref="D80">-SUM(IF($C$59:$G$59=$B20:$F20,$J$1:$N$1))</f>
        <v>-3</v>
      </c>
      <c r="E80" s="9" cm="1">
        <f t="array" ref="E80">-SUM(IF($C$60:$G$60=$B20:$F20,$J$1:$N$1))</f>
        <v>-1</v>
      </c>
      <c r="F80" s="9" cm="1">
        <f t="array" ref="F80">-SUM(IF($C$61:$G$61=$B20:$F20,$J$1:$N$1))</f>
        <v>-5</v>
      </c>
      <c r="G80" s="9">
        <f t="shared" si="3"/>
        <v>-5</v>
      </c>
      <c r="H80" s="9">
        <f t="shared" si="2"/>
        <v>5</v>
      </c>
    </row>
    <row r="81" spans="1:8" x14ac:dyDescent="0.25">
      <c r="A81" s="9">
        <v>18</v>
      </c>
      <c r="B81" s="9" cm="1">
        <f t="array" ref="B81">-SUM(IF($C$57:$G$57=$B21:$F21,$J$1:$N$1))</f>
        <v>-2</v>
      </c>
      <c r="C81" s="9" cm="1">
        <f t="array" ref="C81">-SUM(IF($C$58:$G$58=$B21:$F21,$J$1:$N$1))</f>
        <v>-1</v>
      </c>
      <c r="D81" s="9" cm="1">
        <f t="array" ref="D81">-SUM(IF($C$59:$G$59=$B21:$F21,$J$1:$N$1))</f>
        <v>-3</v>
      </c>
      <c r="E81" s="9" cm="1">
        <f t="array" ref="E81">-SUM(IF($C$60:$G$60=$B21:$F21,$J$1:$N$1))</f>
        <v>-2</v>
      </c>
      <c r="F81" s="9" cm="1">
        <f t="array" ref="F81">-SUM(IF($C$61:$G$61=$B21:$F21,$J$1:$N$1))</f>
        <v>-2</v>
      </c>
      <c r="G81" s="9">
        <f t="shared" si="3"/>
        <v>-3</v>
      </c>
      <c r="H81" s="9">
        <f t="shared" si="2"/>
        <v>3</v>
      </c>
    </row>
    <row r="82" spans="1:8" x14ac:dyDescent="0.25">
      <c r="A82" s="9">
        <v>19</v>
      </c>
      <c r="B82" s="9" cm="1">
        <f t="array" ref="B82">-SUM(IF($C$57:$G$57=$B22:$F22,$J$1:$N$1))</f>
        <v>-1</v>
      </c>
      <c r="C82" s="9" cm="1">
        <f t="array" ref="C82">-SUM(IF($C$58:$G$58=$B22:$F22,$J$1:$N$1))</f>
        <v>-1</v>
      </c>
      <c r="D82" s="9" cm="1">
        <f t="array" ref="D82">-SUM(IF($C$59:$G$59=$B22:$F22,$J$1:$N$1))</f>
        <v>-3</v>
      </c>
      <c r="E82" s="9" cm="1">
        <f t="array" ref="E82">-SUM(IF($C$60:$G$60=$B22:$F22,$J$1:$N$1))</f>
        <v>-3</v>
      </c>
      <c r="F82" s="9" cm="1">
        <f t="array" ref="F82">-SUM(IF($C$61:$G$61=$B22:$F22,$J$1:$N$1))</f>
        <v>-2</v>
      </c>
      <c r="G82" s="9">
        <f t="shared" si="3"/>
        <v>-3</v>
      </c>
      <c r="H82" s="9">
        <f t="shared" si="2"/>
        <v>3</v>
      </c>
    </row>
    <row r="83" spans="1:8" x14ac:dyDescent="0.25">
      <c r="A83" s="9">
        <v>20</v>
      </c>
      <c r="B83" s="9" cm="1">
        <f t="array" ref="B83">-SUM(IF($C$57:$G$57=$B23:$F23,$J$1:$N$1))</f>
        <v>-2</v>
      </c>
      <c r="C83" s="9" cm="1">
        <f t="array" ref="C83">-SUM(IF($C$58:$G$58=$B23:$F23,$J$1:$N$1))</f>
        <v>-2</v>
      </c>
      <c r="D83" s="9" cm="1">
        <f t="array" ref="D83">-SUM(IF($C$59:$G$59=$B23:$F23,$J$1:$N$1))</f>
        <v>-4</v>
      </c>
      <c r="E83" s="9" cm="1">
        <f t="array" ref="E83">-SUM(IF($C$60:$G$60=$B23:$F23,$J$1:$N$1))</f>
        <v>-1</v>
      </c>
      <c r="F83" s="9" cm="1">
        <f t="array" ref="F83">-SUM(IF($C$61:$G$61=$B23:$F23,$J$1:$N$1))</f>
        <v>-3</v>
      </c>
      <c r="G83" s="9">
        <f t="shared" si="3"/>
        <v>-4</v>
      </c>
      <c r="H83" s="9">
        <f t="shared" si="2"/>
        <v>3</v>
      </c>
    </row>
    <row r="84" spans="1:8" x14ac:dyDescent="0.25">
      <c r="A84" s="9">
        <v>21</v>
      </c>
      <c r="B84" s="9" cm="1">
        <f t="array" ref="B84">-SUM(IF($C$57:$G$57=$B24:$F24,$J$1:$N$1))</f>
        <v>-2</v>
      </c>
      <c r="C84" s="9" cm="1">
        <f t="array" ref="C84">-SUM(IF($C$58:$G$58=$B24:$F24,$J$1:$N$1))</f>
        <v>0</v>
      </c>
      <c r="D84" s="9" cm="1">
        <f t="array" ref="D84">-SUM(IF($C$59:$G$59=$B24:$F24,$J$1:$N$1))</f>
        <v>-1</v>
      </c>
      <c r="E84" s="9" cm="1">
        <f t="array" ref="E84">-SUM(IF($C$60:$G$60=$B24:$F24,$J$1:$N$1))</f>
        <v>-1</v>
      </c>
      <c r="F84" s="9" cm="1">
        <f t="array" ref="F84">-SUM(IF($C$61:$G$61=$B24:$F24,$J$1:$N$1))</f>
        <v>-2</v>
      </c>
      <c r="G84" s="9">
        <f t="shared" si="3"/>
        <v>-2</v>
      </c>
      <c r="H84" s="9">
        <f t="shared" si="2"/>
        <v>1</v>
      </c>
    </row>
    <row r="85" spans="1:8" x14ac:dyDescent="0.25">
      <c r="A85" s="9">
        <v>22</v>
      </c>
      <c r="B85" s="9" cm="1">
        <f t="array" ref="B85">-SUM(IF($C$57:$G$57=$B25:$F25,$J$1:$N$1))</f>
        <v>-1</v>
      </c>
      <c r="C85" s="9" cm="1">
        <f t="array" ref="C85">-SUM(IF($C$58:$G$58=$B25:$F25,$J$1:$N$1))</f>
        <v>0</v>
      </c>
      <c r="D85" s="9" cm="1">
        <f t="array" ref="D85">-SUM(IF($C$59:$G$59=$B25:$F25,$J$1:$N$1))</f>
        <v>-1</v>
      </c>
      <c r="E85" s="9" cm="1">
        <f t="array" ref="E85">-SUM(IF($C$60:$G$60=$B25:$F25,$J$1:$N$1))</f>
        <v>0</v>
      </c>
      <c r="F85" s="9" cm="1">
        <f t="array" ref="F85">-SUM(IF($C$61:$G$61=$B25:$F25,$J$1:$N$1))</f>
        <v>-1</v>
      </c>
      <c r="G85" s="9">
        <f t="shared" si="3"/>
        <v>-1</v>
      </c>
      <c r="H85" s="9">
        <f t="shared" si="2"/>
        <v>1</v>
      </c>
    </row>
    <row r="86" spans="1:8" x14ac:dyDescent="0.25">
      <c r="A86" s="9">
        <v>23</v>
      </c>
      <c r="B86" s="9" cm="1">
        <f t="array" ref="B86">-SUM(IF($C$57:$G$57=$B26:$F26,$J$1:$N$1))</f>
        <v>-4</v>
      </c>
      <c r="C86" s="9" cm="1">
        <f t="array" ref="C86">-SUM(IF($C$58:$G$58=$B26:$F26,$J$1:$N$1))</f>
        <v>-2</v>
      </c>
      <c r="D86" s="9" cm="1">
        <f t="array" ref="D86">-SUM(IF($C$59:$G$59=$B26:$F26,$J$1:$N$1))</f>
        <v>-3</v>
      </c>
      <c r="E86" s="9" cm="1">
        <f t="array" ref="E86">-SUM(IF($C$60:$G$60=$B26:$F26,$J$1:$N$1))</f>
        <v>-1</v>
      </c>
      <c r="F86" s="9" cm="1">
        <f t="array" ref="F86">-SUM(IF($C$61:$G$61=$B26:$F26,$J$1:$N$1))</f>
        <v>-4</v>
      </c>
      <c r="G86" s="9">
        <f t="shared" si="3"/>
        <v>-4</v>
      </c>
      <c r="H86" s="9">
        <f t="shared" si="2"/>
        <v>1</v>
      </c>
    </row>
    <row r="87" spans="1:8" x14ac:dyDescent="0.25">
      <c r="A87" s="9">
        <v>24</v>
      </c>
      <c r="B87" s="9" cm="1">
        <f t="array" ref="B87">-SUM(IF($C$57:$G$57=$B27:$F27,$J$1:$N$1))</f>
        <v>-3</v>
      </c>
      <c r="C87" s="9" cm="1">
        <f t="array" ref="C87">-SUM(IF($C$58:$G$58=$B27:$F27,$J$1:$N$1))</f>
        <v>-3</v>
      </c>
      <c r="D87" s="9" cm="1">
        <f t="array" ref="D87">-SUM(IF($C$59:$G$59=$B27:$F27,$J$1:$N$1))</f>
        <v>-3</v>
      </c>
      <c r="E87" s="9" cm="1">
        <f t="array" ref="E87">-SUM(IF($C$60:$G$60=$B27:$F27,$J$1:$N$1))</f>
        <v>-4</v>
      </c>
      <c r="F87" s="9" cm="1">
        <f t="array" ref="F87">-SUM(IF($C$61:$G$61=$B27:$F27,$J$1:$N$1))</f>
        <v>-2</v>
      </c>
      <c r="G87" s="9">
        <f t="shared" si="3"/>
        <v>-4</v>
      </c>
      <c r="H87" s="9">
        <f t="shared" si="2"/>
        <v>4</v>
      </c>
    </row>
    <row r="88" spans="1:8" x14ac:dyDescent="0.25">
      <c r="A88" s="9">
        <v>25</v>
      </c>
      <c r="B88" s="9" cm="1">
        <f t="array" ref="B88">-SUM(IF($C$57:$G$57=$B28:$F28,$J$1:$N$1))</f>
        <v>-3</v>
      </c>
      <c r="C88" s="9" cm="1">
        <f t="array" ref="C88">-SUM(IF($C$58:$G$58=$B28:$F28,$J$1:$N$1))</f>
        <v>-2</v>
      </c>
      <c r="D88" s="9" cm="1">
        <f t="array" ref="D88">-SUM(IF($C$59:$G$59=$B28:$F28,$J$1:$N$1))</f>
        <v>-1</v>
      </c>
      <c r="E88" s="9" cm="1">
        <f t="array" ref="E88">-SUM(IF($C$60:$G$60=$B28:$F28,$J$1:$N$1))</f>
        <v>-2</v>
      </c>
      <c r="F88" s="9" cm="1">
        <f t="array" ref="F88">-SUM(IF($C$61:$G$61=$B28:$F28,$J$1:$N$1))</f>
        <v>-1</v>
      </c>
      <c r="G88" s="9">
        <f t="shared" si="3"/>
        <v>-3</v>
      </c>
      <c r="H88" s="9">
        <f t="shared" si="2"/>
        <v>1</v>
      </c>
    </row>
    <row r="89" spans="1:8" x14ac:dyDescent="0.25">
      <c r="A89" s="9">
        <v>26</v>
      </c>
      <c r="B89" s="9" cm="1">
        <f t="array" ref="B89">-SUM(IF($C$57:$G$57=$B29:$F29,$J$1:$N$1))</f>
        <v>-4</v>
      </c>
      <c r="C89" s="9" cm="1">
        <f t="array" ref="C89">-SUM(IF($C$58:$G$58=$B29:$F29,$J$1:$N$1))</f>
        <v>-4</v>
      </c>
      <c r="D89" s="9" cm="1">
        <f t="array" ref="D89">-SUM(IF($C$59:$G$59=$B29:$F29,$J$1:$N$1))</f>
        <v>-2</v>
      </c>
      <c r="E89" s="9" cm="1">
        <f t="array" ref="E89">-SUM(IF($C$60:$G$60=$B29:$F29,$J$1:$N$1))</f>
        <v>-2</v>
      </c>
      <c r="F89" s="9" cm="1">
        <f t="array" ref="F89">-SUM(IF($C$61:$G$61=$B29:$F29,$J$1:$N$1))</f>
        <v>-4</v>
      </c>
      <c r="G89" s="9">
        <f t="shared" si="3"/>
        <v>-4</v>
      </c>
      <c r="H89" s="9">
        <f t="shared" si="2"/>
        <v>1</v>
      </c>
    </row>
    <row r="90" spans="1:8" x14ac:dyDescent="0.25">
      <c r="A90" s="9">
        <v>27</v>
      </c>
      <c r="B90" s="9" cm="1">
        <f t="array" ref="B90">-SUM(IF($C$57:$G$57=$B30:$F30,$J$1:$N$1))</f>
        <v>-5</v>
      </c>
      <c r="C90" s="9" cm="1">
        <f t="array" ref="C90">-SUM(IF($C$58:$G$58=$B30:$F30,$J$1:$N$1))</f>
        <v>-3</v>
      </c>
      <c r="D90" s="9" cm="1">
        <f t="array" ref="D90">-SUM(IF($C$59:$G$59=$B30:$F30,$J$1:$N$1))</f>
        <v>-2</v>
      </c>
      <c r="E90" s="9" cm="1">
        <f t="array" ref="E90">-SUM(IF($C$60:$G$60=$B30:$F30,$J$1:$N$1))</f>
        <v>-2</v>
      </c>
      <c r="F90" s="9" cm="1">
        <f t="array" ref="F90">-SUM(IF($C$61:$G$61=$B30:$F30,$J$1:$N$1))</f>
        <v>-3</v>
      </c>
      <c r="G90" s="9">
        <f t="shared" si="3"/>
        <v>-5</v>
      </c>
      <c r="H90" s="9">
        <f t="shared" si="2"/>
        <v>1</v>
      </c>
    </row>
    <row r="91" spans="1:8" x14ac:dyDescent="0.25">
      <c r="A91" s="9">
        <v>28</v>
      </c>
      <c r="B91" s="9" cm="1">
        <f t="array" ref="B91">-SUM(IF($C$57:$G$57=$B31:$F31,$J$1:$N$1))</f>
        <v>-3</v>
      </c>
      <c r="C91" s="9" cm="1">
        <f t="array" ref="C91">-SUM(IF($C$58:$G$58=$B31:$F31,$J$1:$N$1))</f>
        <v>-3</v>
      </c>
      <c r="D91" s="9" cm="1">
        <f t="array" ref="D91">-SUM(IF($C$59:$G$59=$B31:$F31,$J$1:$N$1))</f>
        <v>-1</v>
      </c>
      <c r="E91" s="9" cm="1">
        <f t="array" ref="E91">-SUM(IF($C$60:$G$60=$B31:$F31,$J$1:$N$1))</f>
        <v>-2</v>
      </c>
      <c r="F91" s="9" cm="1">
        <f t="array" ref="F91">-SUM(IF($C$61:$G$61=$B31:$F31,$J$1:$N$1))</f>
        <v>-3</v>
      </c>
      <c r="G91" s="9">
        <f t="shared" si="3"/>
        <v>-3</v>
      </c>
      <c r="H91" s="9">
        <f t="shared" si="2"/>
        <v>1</v>
      </c>
    </row>
    <row r="92" spans="1:8" x14ac:dyDescent="0.25">
      <c r="A92" s="9">
        <v>29</v>
      </c>
      <c r="B92" s="9" cm="1">
        <f t="array" ref="B92">-SUM(IF($C$57:$G$57=$B32:$F32,$J$1:$N$1))</f>
        <v>-2</v>
      </c>
      <c r="C92" s="9" cm="1">
        <f t="array" ref="C92">-SUM(IF($C$58:$G$58=$B32:$F32,$J$1:$N$1))</f>
        <v>-3</v>
      </c>
      <c r="D92" s="9" cm="1">
        <f t="array" ref="D92">-SUM(IF($C$59:$G$59=$B32:$F32,$J$1:$N$1))</f>
        <v>-2</v>
      </c>
      <c r="E92" s="9" cm="1">
        <f t="array" ref="E92">-SUM(IF($C$60:$G$60=$B32:$F32,$J$1:$N$1))</f>
        <v>-2</v>
      </c>
      <c r="F92" s="9" cm="1">
        <f t="array" ref="F92">-SUM(IF($C$61:$G$61=$B32:$F32,$J$1:$N$1))</f>
        <v>-1</v>
      </c>
      <c r="G92" s="9">
        <f t="shared" si="3"/>
        <v>-3</v>
      </c>
      <c r="H92" s="9">
        <f t="shared" si="2"/>
        <v>2</v>
      </c>
    </row>
    <row r="93" spans="1:8" x14ac:dyDescent="0.25">
      <c r="A93" s="9">
        <v>30</v>
      </c>
      <c r="B93" s="9" cm="1">
        <f t="array" ref="B93">-SUM(IF($C$57:$G$57=$B33:$F33,$J$1:$N$1))</f>
        <v>-3</v>
      </c>
      <c r="C93" s="9" cm="1">
        <f t="array" ref="C93">-SUM(IF($C$58:$G$58=$B33:$F33,$J$1:$N$1))</f>
        <v>-4</v>
      </c>
      <c r="D93" s="9" cm="1">
        <f t="array" ref="D93">-SUM(IF($C$59:$G$59=$B33:$F33,$J$1:$N$1))</f>
        <v>-3</v>
      </c>
      <c r="E93" s="9" cm="1">
        <f t="array" ref="E93">-SUM(IF($C$60:$G$60=$B33:$F33,$J$1:$N$1))</f>
        <v>-2</v>
      </c>
      <c r="F93" s="9" cm="1">
        <f t="array" ref="F93">-SUM(IF($C$61:$G$61=$B33:$F33,$J$1:$N$1))</f>
        <v>-2</v>
      </c>
      <c r="G93" s="9">
        <f t="shared" si="3"/>
        <v>-4</v>
      </c>
      <c r="H93" s="9">
        <f t="shared" si="2"/>
        <v>2</v>
      </c>
    </row>
    <row r="94" spans="1:8" x14ac:dyDescent="0.25">
      <c r="A94" s="9">
        <v>31</v>
      </c>
      <c r="B94" s="9" cm="1">
        <f t="array" ref="B94">-SUM(IF($C$57:$G$57=$B34:$F34,$J$1:$N$1))</f>
        <v>-2</v>
      </c>
      <c r="C94" s="9" cm="1">
        <f t="array" ref="C94">-SUM(IF($C$58:$G$58=$B34:$F34,$J$1:$N$1))</f>
        <v>-2</v>
      </c>
      <c r="D94" s="9" cm="1">
        <f t="array" ref="D94">-SUM(IF($C$59:$G$59=$B34:$F34,$J$1:$N$1))</f>
        <v>-2</v>
      </c>
      <c r="E94" s="9" cm="1">
        <f t="array" ref="E94">-SUM(IF($C$60:$G$60=$B34:$F34,$J$1:$N$1))</f>
        <v>-1</v>
      </c>
      <c r="F94" s="9" cm="1">
        <f t="array" ref="F94">-SUM(IF($C$61:$G$61=$B34:$F34,$J$1:$N$1))</f>
        <v>-1</v>
      </c>
      <c r="G94" s="9">
        <f t="shared" si="3"/>
        <v>-2</v>
      </c>
      <c r="H94" s="9">
        <f t="shared" si="2"/>
        <v>1</v>
      </c>
    </row>
    <row r="95" spans="1:8" x14ac:dyDescent="0.25">
      <c r="A95" s="9">
        <v>32</v>
      </c>
      <c r="B95" s="9" cm="1">
        <f t="array" ref="B95">-SUM(IF($C$57:$G$57=$B35:$F35,$J$1:$N$1))</f>
        <v>-3</v>
      </c>
      <c r="C95" s="9" cm="1">
        <f t="array" ref="C95">-SUM(IF($C$58:$G$58=$B35:$F35,$J$1:$N$1))</f>
        <v>-2</v>
      </c>
      <c r="D95" s="9" cm="1">
        <f t="array" ref="D95">-SUM(IF($C$59:$G$59=$B35:$F35,$J$1:$N$1))</f>
        <v>-2</v>
      </c>
      <c r="E95" s="9" cm="1">
        <f t="array" ref="E95">-SUM(IF($C$60:$G$60=$B35:$F35,$J$1:$N$1))</f>
        <v>-2</v>
      </c>
      <c r="F95" s="9" cm="1">
        <f t="array" ref="F95">-SUM(IF($C$61:$G$61=$B35:$F35,$J$1:$N$1))</f>
        <v>-2</v>
      </c>
      <c r="G95" s="9">
        <f t="shared" si="3"/>
        <v>-3</v>
      </c>
      <c r="H95" s="9">
        <f t="shared" si="2"/>
        <v>1</v>
      </c>
    </row>
    <row r="96" spans="1:8" x14ac:dyDescent="0.25">
      <c r="A96" s="9">
        <v>33</v>
      </c>
      <c r="B96" s="9" cm="1">
        <f t="array" ref="B96">-SUM(IF($C$57:$G$57=$B36:$F36,$J$1:$N$1))</f>
        <v>-3</v>
      </c>
      <c r="C96" s="9" cm="1">
        <f t="array" ref="C96">-SUM(IF($C$58:$G$58=$B36:$F36,$J$1:$N$1))</f>
        <v>-4</v>
      </c>
      <c r="D96" s="9" cm="1">
        <f t="array" ref="D96">-SUM(IF($C$59:$G$59=$B36:$F36,$J$1:$N$1))</f>
        <v>-2</v>
      </c>
      <c r="E96" s="9" cm="1">
        <f t="array" ref="E96">-SUM(IF($C$60:$G$60=$B36:$F36,$J$1:$N$1))</f>
        <v>-2</v>
      </c>
      <c r="F96" s="9" cm="1">
        <f t="array" ref="F96">-SUM(IF($C$61:$G$61=$B36:$F36,$J$1:$N$1))</f>
        <v>-3</v>
      </c>
      <c r="G96" s="9">
        <f t="shared" si="3"/>
        <v>-4</v>
      </c>
      <c r="H96" s="9">
        <f t="shared" si="2"/>
        <v>2</v>
      </c>
    </row>
    <row r="97" spans="1:8" x14ac:dyDescent="0.25">
      <c r="A97" s="9">
        <v>34</v>
      </c>
      <c r="B97" s="9" cm="1">
        <f t="array" ref="B97">-SUM(IF($C$57:$G$57=$B37:$F37,$J$1:$N$1))</f>
        <v>-4</v>
      </c>
      <c r="C97" s="9" cm="1">
        <f t="array" ref="C97">-SUM(IF($C$58:$G$58=$B37:$F37,$J$1:$N$1))</f>
        <v>-3</v>
      </c>
      <c r="D97" s="9" cm="1">
        <f t="array" ref="D97">-SUM(IF($C$59:$G$59=$B37:$F37,$J$1:$N$1))</f>
        <v>-2</v>
      </c>
      <c r="E97" s="9" cm="1">
        <f t="array" ref="E97">-SUM(IF($C$60:$G$60=$B37:$F37,$J$1:$N$1))</f>
        <v>-3</v>
      </c>
      <c r="F97" s="9" cm="1">
        <f t="array" ref="F97">-SUM(IF($C$61:$G$61=$B37:$F37,$J$1:$N$1))</f>
        <v>-3</v>
      </c>
      <c r="G97" s="9">
        <f t="shared" si="3"/>
        <v>-4</v>
      </c>
      <c r="H97" s="9">
        <f t="shared" si="2"/>
        <v>1</v>
      </c>
    </row>
    <row r="98" spans="1:8" x14ac:dyDescent="0.25">
      <c r="A98" s="9">
        <v>35</v>
      </c>
      <c r="B98" s="9" cm="1">
        <f t="array" ref="B98">-SUM(IF($C$57:$G$57=$B38:$F38,$J$1:$N$1))</f>
        <v>-3</v>
      </c>
      <c r="C98" s="9" cm="1">
        <f t="array" ref="C98">-SUM(IF($C$58:$G$58=$B38:$F38,$J$1:$N$1))</f>
        <v>-5</v>
      </c>
      <c r="D98" s="9" cm="1">
        <f t="array" ref="D98">-SUM(IF($C$59:$G$59=$B38:$F38,$J$1:$N$1))</f>
        <v>-2</v>
      </c>
      <c r="E98" s="9" cm="1">
        <f t="array" ref="E98">-SUM(IF($C$60:$G$60=$B38:$F38,$J$1:$N$1))</f>
        <v>-2</v>
      </c>
      <c r="F98" s="9" cm="1">
        <f t="array" ref="F98">-SUM(IF($C$61:$G$61=$B38:$F38,$J$1:$N$1))</f>
        <v>-3</v>
      </c>
      <c r="G98" s="9">
        <f t="shared" si="3"/>
        <v>-5</v>
      </c>
      <c r="H98" s="9">
        <f t="shared" si="2"/>
        <v>2</v>
      </c>
    </row>
    <row r="99" spans="1:8" x14ac:dyDescent="0.25">
      <c r="A99" s="9">
        <v>36</v>
      </c>
      <c r="B99" s="9" cm="1">
        <f t="array" ref="B99">-SUM(IF($C$57:$G$57=$B39:$F39,$J$1:$N$1))</f>
        <v>-3</v>
      </c>
      <c r="C99" s="9" cm="1">
        <f t="array" ref="C99">-SUM(IF($C$58:$G$58=$B39:$F39,$J$1:$N$1))</f>
        <v>-4</v>
      </c>
      <c r="D99" s="9" cm="1">
        <f t="array" ref="D99">-SUM(IF($C$59:$G$59=$B39:$F39,$J$1:$N$1))</f>
        <v>-2</v>
      </c>
      <c r="E99" s="9" cm="1">
        <f t="array" ref="E99">-SUM(IF($C$60:$G$60=$B39:$F39,$J$1:$N$1))</f>
        <v>-2</v>
      </c>
      <c r="F99" s="9" cm="1">
        <f t="array" ref="F99">-SUM(IF($C$61:$G$61=$B39:$F39,$J$1:$N$1))</f>
        <v>-3</v>
      </c>
      <c r="G99" s="9">
        <f t="shared" si="3"/>
        <v>-4</v>
      </c>
      <c r="H99" s="9">
        <f t="shared" si="2"/>
        <v>2</v>
      </c>
    </row>
    <row r="100" spans="1:8" x14ac:dyDescent="0.25">
      <c r="A100" s="9">
        <v>37</v>
      </c>
      <c r="B100" s="9" cm="1">
        <f t="array" ref="B100">-SUM(IF($C$57:$G$57=$B40:$F40,$J$1:$N$1))</f>
        <v>-2</v>
      </c>
      <c r="C100" s="9" cm="1">
        <f t="array" ref="C100">-SUM(IF($C$58:$G$58=$B40:$F40,$J$1:$N$1))</f>
        <v>-2</v>
      </c>
      <c r="D100" s="9" cm="1">
        <f t="array" ref="D100">-SUM(IF($C$59:$G$59=$B40:$F40,$J$1:$N$1))</f>
        <v>-2</v>
      </c>
      <c r="E100" s="9" cm="1">
        <f t="array" ref="E100">-SUM(IF($C$60:$G$60=$B40:$F40,$J$1:$N$1))</f>
        <v>-4</v>
      </c>
      <c r="F100" s="9" cm="1">
        <f t="array" ref="F100">-SUM(IF($C$61:$G$61=$B40:$F40,$J$1:$N$1))</f>
        <v>-1</v>
      </c>
      <c r="G100" s="9">
        <f t="shared" si="3"/>
        <v>-4</v>
      </c>
      <c r="H100" s="9">
        <f t="shared" si="2"/>
        <v>4</v>
      </c>
    </row>
    <row r="101" spans="1:8" x14ac:dyDescent="0.25">
      <c r="A101" s="9">
        <v>38</v>
      </c>
      <c r="B101" s="9" cm="1">
        <f t="array" ref="B101">-SUM(IF($C$57:$G$57=$B41:$F41,$J$1:$N$1))</f>
        <v>-4</v>
      </c>
      <c r="C101" s="9" cm="1">
        <f t="array" ref="C101">-SUM(IF($C$58:$G$58=$B41:$F41,$J$1:$N$1))</f>
        <v>-3</v>
      </c>
      <c r="D101" s="9" cm="1">
        <f t="array" ref="D101">-SUM(IF($C$59:$G$59=$B41:$F41,$J$1:$N$1))</f>
        <v>-3</v>
      </c>
      <c r="E101" s="9" cm="1">
        <f t="array" ref="E101">-SUM(IF($C$60:$G$60=$B41:$F41,$J$1:$N$1))</f>
        <v>-2</v>
      </c>
      <c r="F101" s="9" cm="1">
        <f t="array" ref="F101">-SUM(IF($C$61:$G$61=$B41:$F41,$J$1:$N$1))</f>
        <v>-3</v>
      </c>
      <c r="G101" s="9">
        <f t="shared" si="3"/>
        <v>-4</v>
      </c>
      <c r="H101" s="9">
        <f t="shared" si="2"/>
        <v>1</v>
      </c>
    </row>
    <row r="102" spans="1:8" x14ac:dyDescent="0.25">
      <c r="A102" s="9">
        <v>39</v>
      </c>
      <c r="B102" s="9" cm="1">
        <f t="array" ref="B102">-SUM(IF($C$57:$G$57=$B42:$F42,$J$1:$N$1))</f>
        <v>-5</v>
      </c>
      <c r="C102" s="9" cm="1">
        <f t="array" ref="C102">-SUM(IF($C$58:$G$58=$B42:$F42,$J$1:$N$1))</f>
        <v>-3</v>
      </c>
      <c r="D102" s="9" cm="1">
        <f t="array" ref="D102">-SUM(IF($C$59:$G$59=$B42:$F42,$J$1:$N$1))</f>
        <v>-2</v>
      </c>
      <c r="E102" s="9" cm="1">
        <f t="array" ref="E102">-SUM(IF($C$60:$G$60=$B42:$F42,$J$1:$N$1))</f>
        <v>-2</v>
      </c>
      <c r="F102" s="9" cm="1">
        <f t="array" ref="F102">-SUM(IF($C$61:$G$61=$B42:$F42,$J$1:$N$1))</f>
        <v>-3</v>
      </c>
      <c r="G102" s="9">
        <f t="shared" si="3"/>
        <v>-5</v>
      </c>
      <c r="H102" s="9">
        <f t="shared" si="2"/>
        <v>1</v>
      </c>
    </row>
    <row r="103" spans="1:8" x14ac:dyDescent="0.25">
      <c r="A103" s="9">
        <v>40</v>
      </c>
      <c r="B103" s="9" cm="1">
        <f t="array" ref="B103">-SUM(IF($C$57:$G$57=$B43:$F43,$J$1:$N$1))</f>
        <v>-4</v>
      </c>
      <c r="C103" s="9" cm="1">
        <f t="array" ref="C103">-SUM(IF($C$58:$G$58=$B43:$F43,$J$1:$N$1))</f>
        <v>-3</v>
      </c>
      <c r="D103" s="9" cm="1">
        <f t="array" ref="D103">-SUM(IF($C$59:$G$59=$B43:$F43,$J$1:$N$1))</f>
        <v>-3</v>
      </c>
      <c r="E103" s="9" cm="1">
        <f t="array" ref="E103">-SUM(IF($C$60:$G$60=$B43:$F43,$J$1:$N$1))</f>
        <v>-3</v>
      </c>
      <c r="F103" s="9" cm="1">
        <f t="array" ref="F103">-SUM(IF($C$61:$G$61=$B43:$F43,$J$1:$N$1))</f>
        <v>-2</v>
      </c>
      <c r="G103" s="9">
        <f t="shared" si="3"/>
        <v>-4</v>
      </c>
      <c r="H103" s="9">
        <f t="shared" si="2"/>
        <v>1</v>
      </c>
    </row>
    <row r="104" spans="1:8" x14ac:dyDescent="0.25">
      <c r="A104" s="9">
        <v>41</v>
      </c>
      <c r="B104" s="9" cm="1">
        <f t="array" ref="B104">-SUM(IF($C$57:$G$57=$B44:$F44,$J$1:$N$1))</f>
        <v>-3</v>
      </c>
      <c r="C104" s="9" cm="1">
        <f t="array" ref="C104">-SUM(IF($C$58:$G$58=$B44:$F44,$J$1:$N$1))</f>
        <v>-4</v>
      </c>
      <c r="D104" s="9" cm="1">
        <f t="array" ref="D104">-SUM(IF($C$59:$G$59=$B44:$F44,$J$1:$N$1))</f>
        <v>-3</v>
      </c>
      <c r="E104" s="9" cm="1">
        <f t="array" ref="E104">-SUM(IF($C$60:$G$60=$B44:$F44,$J$1:$N$1))</f>
        <v>-3</v>
      </c>
      <c r="F104" s="9" cm="1">
        <f t="array" ref="F104">-SUM(IF($C$61:$G$61=$B44:$F44,$J$1:$N$1))</f>
        <v>-3</v>
      </c>
      <c r="G104" s="9">
        <f t="shared" si="3"/>
        <v>-4</v>
      </c>
      <c r="H104" s="9">
        <f t="shared" si="2"/>
        <v>2</v>
      </c>
    </row>
    <row r="105" spans="1:8" x14ac:dyDescent="0.25">
      <c r="A105" s="9">
        <v>42</v>
      </c>
      <c r="B105" s="9" cm="1">
        <f t="array" ref="B105">-SUM(IF($C$57:$G$57=$B45:$F45,$J$1:$N$1))</f>
        <v>-2</v>
      </c>
      <c r="C105" s="9" cm="1">
        <f t="array" ref="C105">-SUM(IF($C$58:$G$58=$B45:$F45,$J$1:$N$1))</f>
        <v>-3</v>
      </c>
      <c r="D105" s="9" cm="1">
        <f t="array" ref="D105">-SUM(IF($C$59:$G$59=$B45:$F45,$J$1:$N$1))</f>
        <v>-2</v>
      </c>
      <c r="E105" s="9" cm="1">
        <f t="array" ref="E105">-SUM(IF($C$60:$G$60=$B45:$F45,$J$1:$N$1))</f>
        <v>-3</v>
      </c>
      <c r="F105" s="9" cm="1">
        <f t="array" ref="F105">-SUM(IF($C$61:$G$61=$B45:$F45,$J$1:$N$1))</f>
        <v>-2</v>
      </c>
      <c r="G105" s="9">
        <f t="shared" si="3"/>
        <v>-3</v>
      </c>
      <c r="H105" s="9">
        <f t="shared" si="2"/>
        <v>2</v>
      </c>
    </row>
    <row r="106" spans="1:8" x14ac:dyDescent="0.25">
      <c r="A106" s="9">
        <v>43</v>
      </c>
      <c r="B106" s="9" cm="1">
        <f t="array" ref="B106">-SUM(IF($C$57:$G$57=$B46:$F46,$J$1:$N$1))</f>
        <v>-2</v>
      </c>
      <c r="C106" s="9" cm="1">
        <f t="array" ref="C106">-SUM(IF($C$58:$G$58=$B46:$F46,$J$1:$N$1))</f>
        <v>-2</v>
      </c>
      <c r="D106" s="9" cm="1">
        <f t="array" ref="D106">-SUM(IF($C$59:$G$59=$B46:$F46,$J$1:$N$1))</f>
        <v>-2</v>
      </c>
      <c r="E106" s="9" cm="1">
        <f t="array" ref="E106">-SUM(IF($C$60:$G$60=$B46:$F46,$J$1:$N$1))</f>
        <v>-5</v>
      </c>
      <c r="F106" s="9" cm="1">
        <f t="array" ref="F106">-SUM(IF($C$61:$G$61=$B46:$F46,$J$1:$N$1))</f>
        <v>-1</v>
      </c>
      <c r="G106" s="9">
        <f t="shared" si="3"/>
        <v>-5</v>
      </c>
      <c r="H106" s="9">
        <f t="shared" si="2"/>
        <v>4</v>
      </c>
    </row>
    <row r="107" spans="1:8" x14ac:dyDescent="0.25">
      <c r="A107" s="9">
        <v>44</v>
      </c>
      <c r="B107" s="9" cm="1">
        <f t="array" ref="B107">-SUM(IF($C$57:$G$57=$B47:$F47,$J$1:$N$1))</f>
        <v>-3</v>
      </c>
      <c r="C107" s="9" cm="1">
        <f t="array" ref="C107">-SUM(IF($C$58:$G$58=$B47:$F47,$J$1:$N$1))</f>
        <v>-2</v>
      </c>
      <c r="D107" s="9" cm="1">
        <f t="array" ref="D107">-SUM(IF($C$59:$G$59=$B47:$F47,$J$1:$N$1))</f>
        <v>-2</v>
      </c>
      <c r="E107" s="9" cm="1">
        <f t="array" ref="E107">-SUM(IF($C$60:$G$60=$B47:$F47,$J$1:$N$1))</f>
        <v>-3</v>
      </c>
      <c r="F107" s="9" cm="1">
        <f t="array" ref="F107">-SUM(IF($C$61:$G$61=$B47:$F47,$J$1:$N$1))</f>
        <v>-1</v>
      </c>
      <c r="G107" s="9">
        <f t="shared" si="3"/>
        <v>-3</v>
      </c>
      <c r="H107" s="9">
        <f t="shared" si="2"/>
        <v>1</v>
      </c>
    </row>
    <row r="108" spans="1:8" x14ac:dyDescent="0.25">
      <c r="A108" s="9">
        <v>45</v>
      </c>
      <c r="B108" s="9" cm="1">
        <f t="array" ref="B108">-SUM(IF($C$57:$G$57=$B48:$F48,$J$1:$N$1))</f>
        <v>-3</v>
      </c>
      <c r="C108" s="9" cm="1">
        <f t="array" ref="C108">-SUM(IF($C$58:$G$58=$B48:$F48,$J$1:$N$1))</f>
        <v>-2</v>
      </c>
      <c r="D108" s="9" cm="1">
        <f t="array" ref="D108">-SUM(IF($C$59:$G$59=$B48:$F48,$J$1:$N$1))</f>
        <v>-1</v>
      </c>
      <c r="E108" s="9" cm="1">
        <f t="array" ref="E108">-SUM(IF($C$60:$G$60=$B48:$F48,$J$1:$N$1))</f>
        <v>-1</v>
      </c>
      <c r="F108" s="9" cm="1">
        <f t="array" ref="F108">-SUM(IF($C$61:$G$61=$B48:$F48,$J$1:$N$1))</f>
        <v>-1</v>
      </c>
      <c r="G108" s="9">
        <f t="shared" si="3"/>
        <v>-3</v>
      </c>
      <c r="H108" s="9">
        <f t="shared" si="2"/>
        <v>1</v>
      </c>
    </row>
    <row r="109" spans="1:8" x14ac:dyDescent="0.25">
      <c r="A109" s="9">
        <v>46</v>
      </c>
      <c r="B109" s="9" cm="1">
        <f t="array" ref="B109">-SUM(IF($C$57:$G$57=$B49:$F49,$J$1:$N$1))</f>
        <v>-4</v>
      </c>
      <c r="C109" s="9" cm="1">
        <f t="array" ref="C109">-SUM(IF($C$58:$G$58=$B49:$F49,$J$1:$N$1))</f>
        <v>-3</v>
      </c>
      <c r="D109" s="9" cm="1">
        <f t="array" ref="D109">-SUM(IF($C$59:$G$59=$B49:$F49,$J$1:$N$1))</f>
        <v>-2</v>
      </c>
      <c r="E109" s="9" cm="1">
        <f t="array" ref="E109">-SUM(IF($C$60:$G$60=$B49:$F49,$J$1:$N$1))</f>
        <v>-2</v>
      </c>
      <c r="F109" s="9" cm="1">
        <f t="array" ref="F109">-SUM(IF($C$61:$G$61=$B49:$F49,$J$1:$N$1))</f>
        <v>-2</v>
      </c>
      <c r="G109" s="9">
        <f t="shared" si="3"/>
        <v>-4</v>
      </c>
      <c r="H109" s="9">
        <f t="shared" si="2"/>
        <v>1</v>
      </c>
    </row>
    <row r="110" spans="1:8" x14ac:dyDescent="0.25">
      <c r="A110" s="9">
        <v>47</v>
      </c>
      <c r="B110" s="9" cm="1">
        <f t="array" ref="B110">-SUM(IF($C$57:$G$57=$B50:$F50,$J$1:$N$1))</f>
        <v>-2</v>
      </c>
      <c r="C110" s="9" cm="1">
        <f t="array" ref="C110">-SUM(IF($C$58:$G$58=$B50:$F50,$J$1:$N$1))</f>
        <v>-4</v>
      </c>
      <c r="D110" s="9" cm="1">
        <f t="array" ref="D110">-SUM(IF($C$59:$G$59=$B50:$F50,$J$1:$N$1))</f>
        <v>-1</v>
      </c>
      <c r="E110" s="9" cm="1">
        <f t="array" ref="E110">-SUM(IF($C$60:$G$60=$B50:$F50,$J$1:$N$1))</f>
        <v>-2</v>
      </c>
      <c r="F110" s="9" cm="1">
        <f t="array" ref="F110">-SUM(IF($C$61:$G$61=$B50:$F50,$J$1:$N$1))</f>
        <v>-2</v>
      </c>
      <c r="G110" s="9">
        <f t="shared" si="3"/>
        <v>-4</v>
      </c>
      <c r="H110" s="9">
        <f t="shared" si="2"/>
        <v>2</v>
      </c>
    </row>
    <row r="111" spans="1:8" x14ac:dyDescent="0.25">
      <c r="A111" s="9">
        <v>48</v>
      </c>
      <c r="B111" s="9" cm="1">
        <f t="array" ref="B111">-SUM(IF($C$57:$G$57=$B51:$F51,$J$1:$N$1))</f>
        <v>-3</v>
      </c>
      <c r="C111" s="9" cm="1">
        <f t="array" ref="C111">-SUM(IF($C$58:$G$58=$B51:$F51,$J$1:$N$1))</f>
        <v>-2</v>
      </c>
      <c r="D111" s="9" cm="1">
        <f t="array" ref="D111">-SUM(IF($C$59:$G$59=$B51:$F51,$J$1:$N$1))</f>
        <v>-2</v>
      </c>
      <c r="E111" s="9" cm="1">
        <f t="array" ref="E111">-SUM(IF($C$60:$G$60=$B51:$F51,$J$1:$N$1))</f>
        <v>-4</v>
      </c>
      <c r="F111" s="9" cm="1">
        <f t="array" ref="F111">-SUM(IF($C$61:$G$61=$B51:$F51,$J$1:$N$1))</f>
        <v>-1</v>
      </c>
      <c r="G111" s="9">
        <f t="shared" si="3"/>
        <v>-4</v>
      </c>
      <c r="H111" s="9">
        <f t="shared" si="2"/>
        <v>4</v>
      </c>
    </row>
    <row r="112" spans="1:8" x14ac:dyDescent="0.25">
      <c r="A112" s="9">
        <v>49</v>
      </c>
      <c r="B112" s="9" cm="1">
        <f t="array" ref="B112">-SUM(IF($C$57:$G$57=$B52:$F52,$J$1:$N$1))</f>
        <v>-4</v>
      </c>
      <c r="C112" s="9" cm="1">
        <f t="array" ref="C112">-SUM(IF($C$58:$G$58=$B52:$F52,$J$1:$N$1))</f>
        <v>-2</v>
      </c>
      <c r="D112" s="9" cm="1">
        <f t="array" ref="D112">-SUM(IF($C$59:$G$59=$B52:$F52,$J$1:$N$1))</f>
        <v>-1</v>
      </c>
      <c r="E112" s="9" cm="1">
        <f t="array" ref="E112">-SUM(IF($C$60:$G$60=$B52:$F52,$J$1:$N$1))</f>
        <v>-3</v>
      </c>
      <c r="F112" s="9" cm="1">
        <f t="array" ref="F112">-SUM(IF($C$61:$G$61=$B52:$F52,$J$1:$N$1))</f>
        <v>-2</v>
      </c>
      <c r="G112" s="9">
        <f t="shared" si="3"/>
        <v>-4</v>
      </c>
      <c r="H112" s="9">
        <f t="shared" si="2"/>
        <v>1</v>
      </c>
    </row>
    <row r="113" spans="1:8" x14ac:dyDescent="0.25">
      <c r="A113" s="9">
        <v>50</v>
      </c>
      <c r="B113" s="9" cm="1">
        <f t="array" ref="B113">-SUM(IF($C$57:$G$57=$B53:$F53,$J$1:$N$1))</f>
        <v>-2</v>
      </c>
      <c r="C113" s="9" cm="1">
        <f t="array" ref="C113">-SUM(IF($C$58:$G$58=$B53:$F53,$J$1:$N$1))</f>
        <v>-2</v>
      </c>
      <c r="D113" s="9" cm="1">
        <f t="array" ref="D113">-SUM(IF($C$59:$G$59=$B53:$F53,$J$1:$N$1))</f>
        <v>-3</v>
      </c>
      <c r="E113" s="9" cm="1">
        <f t="array" ref="E113">-SUM(IF($C$60:$G$60=$B53:$F53,$J$1:$N$1))</f>
        <v>-4</v>
      </c>
      <c r="F113" s="9" cm="1">
        <f t="array" ref="F113">-SUM(IF($C$61:$G$61=$B53:$F53,$J$1:$N$1))</f>
        <v>-1</v>
      </c>
      <c r="G113" s="9">
        <f t="shared" si="3"/>
        <v>-4</v>
      </c>
      <c r="H113" s="9">
        <f t="shared" si="2"/>
        <v>4</v>
      </c>
    </row>
  </sheetData>
  <sheetProtection formatCells="0" formatColumns="0" formatRows="0" insertColumns="0" insertRows="0" insertHyperlinks="0" deleteColumns="0" deleteRows="0" sort="0" autoFilter="0" pivotTables="0"/>
  <autoFilter ref="A3:F53" xr:uid="{58D6BE35-B77A-48A2-9F52-B418CBE0E400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7053E-12D5-483F-8E92-5BEC9CBEB619}">
  <sheetPr codeName="Planilha6"/>
  <dimension ref="A1:P170"/>
  <sheetViews>
    <sheetView workbookViewId="0">
      <selection activeCell="E9" sqref="E9"/>
    </sheetView>
  </sheetViews>
  <sheetFormatPr defaultColWidth="18.5703125" defaultRowHeight="15" x14ac:dyDescent="0.25"/>
  <cols>
    <col min="1" max="6" width="18.5703125" style="1"/>
    <col min="7" max="7" width="18.5703125" style="2"/>
    <col min="8" max="16384" width="18.5703125" style="1"/>
  </cols>
  <sheetData>
    <row r="1" spans="1:16" x14ac:dyDescent="0.25">
      <c r="A1" t="s">
        <v>150</v>
      </c>
      <c r="G1" s="2">
        <f>IF(F1=1,120,IF(C1=1,100,IF(B1=1,80,IF(D1=1,50,IF(E1=1,30,0)))))</f>
        <v>0</v>
      </c>
    </row>
    <row r="3" spans="1:16" ht="105" x14ac:dyDescent="0.25">
      <c r="A3" s="1" t="s">
        <v>152</v>
      </c>
      <c r="B3" s="1" t="s">
        <v>1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9</v>
      </c>
      <c r="I3" s="1" t="s">
        <v>11</v>
      </c>
      <c r="J3" s="1" t="s">
        <v>12</v>
      </c>
      <c r="K3" s="1" t="s">
        <v>153</v>
      </c>
      <c r="L3" s="2" t="s">
        <v>149</v>
      </c>
      <c r="M3" s="1" t="s">
        <v>10</v>
      </c>
      <c r="O3" s="4" t="s">
        <v>166</v>
      </c>
      <c r="P3" s="4" t="s">
        <v>167</v>
      </c>
    </row>
    <row r="4" spans="1:16" x14ac:dyDescent="0.25">
      <c r="A4" s="1">
        <v>1</v>
      </c>
      <c r="B4" s="1">
        <v>5</v>
      </c>
      <c r="C4" s="1">
        <v>2</v>
      </c>
      <c r="E4" s="1">
        <v>2</v>
      </c>
      <c r="F4" s="1">
        <v>2</v>
      </c>
      <c r="G4" s="1"/>
      <c r="H4" s="1">
        <v>1</v>
      </c>
      <c r="I4" s="1">
        <v>1</v>
      </c>
      <c r="J4" s="1">
        <v>2</v>
      </c>
      <c r="K4" s="1">
        <f>'Padronização &amp; Def. Grupos'!H64</f>
        <v>5</v>
      </c>
      <c r="L4" s="2">
        <v>0</v>
      </c>
      <c r="M4" s="1">
        <v>35</v>
      </c>
      <c r="O4" s="1" t="b">
        <f>AND(M4&gt;35,M4&lt;50,H4=2,I4=1)</f>
        <v>0</v>
      </c>
      <c r="P4" s="1" t="b">
        <f>M4&lt;50</f>
        <v>1</v>
      </c>
    </row>
    <row r="5" spans="1:16" x14ac:dyDescent="0.25">
      <c r="A5" s="1">
        <v>2</v>
      </c>
      <c r="B5" s="1">
        <v>3</v>
      </c>
      <c r="C5" s="1">
        <v>2</v>
      </c>
      <c r="E5" s="1">
        <v>2</v>
      </c>
      <c r="F5" s="1">
        <v>2</v>
      </c>
      <c r="G5" s="1"/>
      <c r="H5" s="1">
        <v>1</v>
      </c>
      <c r="I5" s="1">
        <v>2</v>
      </c>
      <c r="J5" s="1">
        <v>1</v>
      </c>
      <c r="K5" s="1">
        <f>'Padronização &amp; Def. Grupos'!H65</f>
        <v>5</v>
      </c>
      <c r="L5" s="2">
        <v>0</v>
      </c>
      <c r="M5" s="1">
        <v>37</v>
      </c>
    </row>
    <row r="6" spans="1:16" x14ac:dyDescent="0.25">
      <c r="A6" s="1">
        <v>3</v>
      </c>
      <c r="B6" s="1">
        <v>3</v>
      </c>
      <c r="C6" s="1">
        <v>2</v>
      </c>
      <c r="E6" s="1">
        <v>2</v>
      </c>
      <c r="F6" s="1">
        <v>2</v>
      </c>
      <c r="G6" s="1"/>
      <c r="H6" s="1">
        <v>1</v>
      </c>
      <c r="I6" s="1">
        <v>4</v>
      </c>
      <c r="J6" s="1">
        <v>2</v>
      </c>
      <c r="K6" s="1">
        <f>'Padronização &amp; Def. Grupos'!H66</f>
        <v>5</v>
      </c>
      <c r="L6" s="2">
        <v>0</v>
      </c>
      <c r="M6" s="1">
        <v>34</v>
      </c>
    </row>
    <row r="7" spans="1:16" x14ac:dyDescent="0.25">
      <c r="A7" s="1">
        <v>4</v>
      </c>
      <c r="B7" s="1">
        <v>6</v>
      </c>
      <c r="C7" s="1">
        <v>2</v>
      </c>
      <c r="E7" s="1">
        <v>2</v>
      </c>
      <c r="F7" s="1">
        <v>2</v>
      </c>
      <c r="G7" s="1"/>
      <c r="H7" s="1">
        <v>1</v>
      </c>
      <c r="I7" s="1">
        <v>1</v>
      </c>
      <c r="J7" s="1">
        <v>2</v>
      </c>
      <c r="K7" s="1">
        <f>'Padronização &amp; Def. Grupos'!H67</f>
        <v>5</v>
      </c>
      <c r="L7" s="2">
        <v>0</v>
      </c>
      <c r="M7" s="1">
        <v>27</v>
      </c>
    </row>
    <row r="8" spans="1:16" x14ac:dyDescent="0.25">
      <c r="A8" s="1">
        <v>5</v>
      </c>
      <c r="B8" s="1">
        <v>5</v>
      </c>
      <c r="C8" s="1">
        <v>1</v>
      </c>
      <c r="D8" s="1">
        <v>1</v>
      </c>
      <c r="G8" s="1">
        <v>2</v>
      </c>
      <c r="H8" s="1">
        <v>1</v>
      </c>
      <c r="I8" s="1">
        <v>1</v>
      </c>
      <c r="J8" s="1">
        <v>2</v>
      </c>
      <c r="K8" s="1">
        <f>'Padronização &amp; Def. Grupos'!H68</f>
        <v>3</v>
      </c>
      <c r="L8" s="2">
        <v>100</v>
      </c>
      <c r="M8" s="1">
        <v>39</v>
      </c>
    </row>
    <row r="9" spans="1:16" x14ac:dyDescent="0.25">
      <c r="A9" s="1">
        <v>6</v>
      </c>
      <c r="B9" s="1">
        <v>6</v>
      </c>
      <c r="C9" s="1">
        <v>1</v>
      </c>
      <c r="D9" s="1">
        <v>2</v>
      </c>
      <c r="G9" s="1"/>
      <c r="H9" s="1">
        <v>1</v>
      </c>
      <c r="I9" s="1">
        <v>1</v>
      </c>
      <c r="J9" s="1">
        <v>2</v>
      </c>
      <c r="K9" s="1">
        <f>'Padronização &amp; Def. Grupos'!H69</f>
        <v>3</v>
      </c>
      <c r="L9" s="2">
        <v>80</v>
      </c>
      <c r="M9" s="1">
        <v>42</v>
      </c>
    </row>
    <row r="10" spans="1:16" x14ac:dyDescent="0.25">
      <c r="A10" s="1">
        <v>7</v>
      </c>
      <c r="B10" s="1">
        <v>6</v>
      </c>
      <c r="C10" s="1">
        <v>2</v>
      </c>
      <c r="E10" s="1">
        <v>1</v>
      </c>
      <c r="G10" s="1"/>
      <c r="H10" s="1">
        <v>1</v>
      </c>
      <c r="I10" s="1">
        <v>1</v>
      </c>
      <c r="J10" s="1">
        <v>2</v>
      </c>
      <c r="K10" s="1">
        <f>'Padronização &amp; Def. Grupos'!H70</f>
        <v>5</v>
      </c>
      <c r="L10" s="2">
        <v>50</v>
      </c>
      <c r="M10" s="1">
        <v>34</v>
      </c>
    </row>
    <row r="11" spans="1:16" x14ac:dyDescent="0.25">
      <c r="A11" s="1">
        <v>8</v>
      </c>
      <c r="B11" s="1">
        <v>2</v>
      </c>
      <c r="C11" s="1">
        <v>2</v>
      </c>
      <c r="E11" s="1">
        <v>2</v>
      </c>
      <c r="F11" s="1">
        <v>2</v>
      </c>
      <c r="G11" s="1"/>
      <c r="H11" s="1">
        <v>1</v>
      </c>
      <c r="I11" s="1">
        <v>2</v>
      </c>
      <c r="J11" s="1">
        <v>2</v>
      </c>
      <c r="K11" s="1">
        <f>'Padronização &amp; Def. Grupos'!H71</f>
        <v>5</v>
      </c>
      <c r="L11" s="2">
        <v>0</v>
      </c>
      <c r="M11" s="1">
        <v>29</v>
      </c>
    </row>
    <row r="12" spans="1:16" x14ac:dyDescent="0.25">
      <c r="A12" s="1">
        <v>9</v>
      </c>
      <c r="B12" s="1">
        <v>5</v>
      </c>
      <c r="C12" s="1">
        <v>1</v>
      </c>
      <c r="D12" s="1">
        <v>2</v>
      </c>
      <c r="G12" s="1"/>
      <c r="H12" s="1">
        <v>1</v>
      </c>
      <c r="I12" s="1">
        <v>1</v>
      </c>
      <c r="J12" s="1">
        <v>2</v>
      </c>
      <c r="K12" s="1">
        <f>'Padronização &amp; Def. Grupos'!H72</f>
        <v>3</v>
      </c>
      <c r="L12" s="2">
        <v>80</v>
      </c>
      <c r="M12" s="1">
        <v>33</v>
      </c>
    </row>
    <row r="13" spans="1:16" x14ac:dyDescent="0.25">
      <c r="A13" s="1">
        <v>10</v>
      </c>
      <c r="G13" s="1"/>
      <c r="H13" s="1">
        <v>1</v>
      </c>
      <c r="I13" s="1">
        <v>3</v>
      </c>
      <c r="J13" s="1">
        <v>2</v>
      </c>
      <c r="K13" s="1">
        <f>'Padronização &amp; Def. Grupos'!H73</f>
        <v>5</v>
      </c>
      <c r="L13" s="2">
        <v>0</v>
      </c>
      <c r="M13" s="1">
        <v>35</v>
      </c>
    </row>
    <row r="14" spans="1:16" x14ac:dyDescent="0.25">
      <c r="A14" s="1">
        <v>11</v>
      </c>
      <c r="B14" s="1">
        <v>5</v>
      </c>
      <c r="C14" s="1">
        <v>1</v>
      </c>
      <c r="D14" s="1">
        <v>1</v>
      </c>
      <c r="G14" s="1">
        <v>2</v>
      </c>
      <c r="H14" s="1">
        <v>1</v>
      </c>
      <c r="I14" s="1">
        <v>1</v>
      </c>
      <c r="J14" s="1">
        <v>2</v>
      </c>
      <c r="K14" s="1">
        <f>'Padronização &amp; Def. Grupos'!H74</f>
        <v>3</v>
      </c>
      <c r="L14" s="2">
        <v>100</v>
      </c>
      <c r="M14" s="1">
        <v>45</v>
      </c>
    </row>
    <row r="15" spans="1:16" x14ac:dyDescent="0.25">
      <c r="A15" s="1">
        <v>12</v>
      </c>
      <c r="B15" s="1">
        <v>1</v>
      </c>
      <c r="C15" s="1">
        <v>1</v>
      </c>
      <c r="D15" s="1">
        <v>2</v>
      </c>
      <c r="G15" s="1"/>
      <c r="H15" s="1">
        <v>1</v>
      </c>
      <c r="I15" s="1">
        <v>1</v>
      </c>
      <c r="J15" s="1">
        <v>2</v>
      </c>
      <c r="K15" s="1">
        <f>'Padronização &amp; Def. Grupos'!H75</f>
        <v>3</v>
      </c>
      <c r="L15" s="2">
        <v>80</v>
      </c>
      <c r="M15" s="1">
        <v>50</v>
      </c>
    </row>
    <row r="16" spans="1:16" x14ac:dyDescent="0.25">
      <c r="A16" s="1">
        <v>13</v>
      </c>
      <c r="B16" s="1">
        <v>1</v>
      </c>
      <c r="C16" s="1">
        <v>1</v>
      </c>
      <c r="D16" s="1">
        <v>1</v>
      </c>
      <c r="G16" s="1">
        <v>1</v>
      </c>
      <c r="H16" s="1">
        <v>1</v>
      </c>
      <c r="I16" s="1">
        <v>1</v>
      </c>
      <c r="J16" s="1">
        <v>2</v>
      </c>
      <c r="K16" s="1">
        <f>'Padronização &amp; Def. Grupos'!H76</f>
        <v>3</v>
      </c>
      <c r="L16" s="2">
        <v>120</v>
      </c>
      <c r="M16" s="1">
        <v>46</v>
      </c>
    </row>
    <row r="17" spans="1:13" x14ac:dyDescent="0.25">
      <c r="A17" s="1">
        <v>14</v>
      </c>
      <c r="B17" s="1">
        <v>2</v>
      </c>
      <c r="C17" s="1">
        <v>1</v>
      </c>
      <c r="D17" s="1">
        <v>2</v>
      </c>
      <c r="G17" s="1"/>
      <c r="H17" s="1">
        <v>1</v>
      </c>
      <c r="I17" s="1">
        <v>4</v>
      </c>
      <c r="J17" s="1">
        <v>2</v>
      </c>
      <c r="K17" s="1">
        <f>'Padronização &amp; Def. Grupos'!H77</f>
        <v>3</v>
      </c>
      <c r="L17" s="2">
        <v>80</v>
      </c>
      <c r="M17" s="1">
        <v>42</v>
      </c>
    </row>
    <row r="18" spans="1:13" x14ac:dyDescent="0.25">
      <c r="A18" s="1">
        <v>15</v>
      </c>
      <c r="B18" s="1">
        <v>4</v>
      </c>
      <c r="C18" s="1">
        <v>1</v>
      </c>
      <c r="D18" s="1">
        <v>1</v>
      </c>
      <c r="G18" s="1">
        <v>2</v>
      </c>
      <c r="H18" s="1">
        <v>1</v>
      </c>
      <c r="I18" s="1">
        <v>2</v>
      </c>
      <c r="J18" s="1">
        <v>2</v>
      </c>
      <c r="K18" s="1">
        <f>'Padronização &amp; Def. Grupos'!H78</f>
        <v>3</v>
      </c>
      <c r="L18" s="2">
        <v>100</v>
      </c>
      <c r="M18" s="1">
        <v>44</v>
      </c>
    </row>
    <row r="19" spans="1:13" x14ac:dyDescent="0.25">
      <c r="A19" s="1">
        <v>16</v>
      </c>
      <c r="B19" s="1">
        <v>1</v>
      </c>
      <c r="C19" s="1">
        <v>2</v>
      </c>
      <c r="E19" s="1">
        <v>2</v>
      </c>
      <c r="F19" s="1">
        <v>2</v>
      </c>
      <c r="G19" s="1"/>
      <c r="H19" s="1">
        <v>1</v>
      </c>
      <c r="I19" s="1">
        <v>1</v>
      </c>
      <c r="J19" s="1">
        <v>2</v>
      </c>
      <c r="K19" s="1">
        <f>'Padronização &amp; Def. Grupos'!H79</f>
        <v>1</v>
      </c>
      <c r="L19" s="2">
        <v>0</v>
      </c>
      <c r="M19" s="1">
        <v>64</v>
      </c>
    </row>
    <row r="20" spans="1:13" x14ac:dyDescent="0.25">
      <c r="A20" s="1">
        <v>17</v>
      </c>
      <c r="B20" s="1">
        <v>5</v>
      </c>
      <c r="C20" s="1">
        <v>2</v>
      </c>
      <c r="E20" s="1">
        <v>2</v>
      </c>
      <c r="F20" s="1">
        <v>2</v>
      </c>
      <c r="G20" s="1"/>
      <c r="H20" s="1">
        <v>1</v>
      </c>
      <c r="I20" s="1">
        <v>1</v>
      </c>
      <c r="J20" s="1">
        <v>2</v>
      </c>
      <c r="K20" s="1">
        <f>'Padronização &amp; Def. Grupos'!H80</f>
        <v>5</v>
      </c>
      <c r="L20" s="2">
        <v>0</v>
      </c>
      <c r="M20" s="1">
        <v>29</v>
      </c>
    </row>
    <row r="21" spans="1:13" x14ac:dyDescent="0.25">
      <c r="A21" s="1">
        <v>18</v>
      </c>
      <c r="B21" s="1">
        <v>5</v>
      </c>
      <c r="C21" s="1">
        <v>1</v>
      </c>
      <c r="D21" s="1">
        <v>2</v>
      </c>
      <c r="G21" s="1"/>
      <c r="H21" s="1">
        <v>1</v>
      </c>
      <c r="I21" s="1">
        <v>4</v>
      </c>
      <c r="J21" s="1">
        <v>2</v>
      </c>
      <c r="K21" s="1">
        <f>'Padronização &amp; Def. Grupos'!H81</f>
        <v>3</v>
      </c>
      <c r="L21" s="2">
        <v>80</v>
      </c>
      <c r="M21" s="1">
        <v>53</v>
      </c>
    </row>
    <row r="22" spans="1:13" x14ac:dyDescent="0.25">
      <c r="A22" s="1">
        <v>19</v>
      </c>
      <c r="B22" s="1">
        <v>6</v>
      </c>
      <c r="C22" s="1">
        <v>1</v>
      </c>
      <c r="D22" s="1">
        <v>2</v>
      </c>
      <c r="G22" s="1"/>
      <c r="H22" s="1">
        <v>1</v>
      </c>
      <c r="I22" s="1">
        <v>5</v>
      </c>
      <c r="J22" s="1">
        <v>2</v>
      </c>
      <c r="K22" s="1">
        <f>'Padronização &amp; Def. Grupos'!H82</f>
        <v>3</v>
      </c>
      <c r="L22" s="2">
        <v>80</v>
      </c>
      <c r="M22" s="1">
        <v>36</v>
      </c>
    </row>
    <row r="23" spans="1:13" x14ac:dyDescent="0.25">
      <c r="A23" s="1">
        <v>20</v>
      </c>
      <c r="B23" s="1">
        <v>5</v>
      </c>
      <c r="C23" s="1">
        <v>1</v>
      </c>
      <c r="D23" s="1">
        <v>1</v>
      </c>
      <c r="G23" s="1">
        <v>2</v>
      </c>
      <c r="H23" s="1">
        <v>1</v>
      </c>
      <c r="I23" s="1">
        <v>1</v>
      </c>
      <c r="J23" s="1">
        <v>2</v>
      </c>
      <c r="K23" s="1">
        <f>'Padronização &amp; Def. Grupos'!H83</f>
        <v>3</v>
      </c>
      <c r="L23" s="2">
        <v>100</v>
      </c>
      <c r="M23" s="1">
        <v>50</v>
      </c>
    </row>
    <row r="24" spans="1:13" x14ac:dyDescent="0.25">
      <c r="A24" s="1">
        <v>21</v>
      </c>
      <c r="G24" s="1"/>
      <c r="H24" s="1">
        <v>1</v>
      </c>
      <c r="I24" s="1">
        <v>3</v>
      </c>
      <c r="J24" s="1">
        <v>1</v>
      </c>
      <c r="K24" s="1">
        <f>'Padronização &amp; Def. Grupos'!H84</f>
        <v>1</v>
      </c>
      <c r="L24" s="2">
        <v>0</v>
      </c>
      <c r="M24" s="1">
        <v>69</v>
      </c>
    </row>
    <row r="25" spans="1:13" x14ac:dyDescent="0.25">
      <c r="A25" s="1">
        <v>22</v>
      </c>
      <c r="B25" s="1">
        <v>1</v>
      </c>
      <c r="C25" s="1">
        <v>2</v>
      </c>
      <c r="E25" s="1">
        <v>1</v>
      </c>
      <c r="G25" s="1"/>
      <c r="H25" s="1">
        <v>1</v>
      </c>
      <c r="I25" s="1">
        <v>2</v>
      </c>
      <c r="J25" s="1">
        <v>1</v>
      </c>
      <c r="K25" s="1">
        <f>'Padronização &amp; Def. Grupos'!H85</f>
        <v>1</v>
      </c>
      <c r="L25" s="2">
        <v>50</v>
      </c>
      <c r="M25" s="1">
        <v>51</v>
      </c>
    </row>
    <row r="26" spans="1:13" x14ac:dyDescent="0.25">
      <c r="A26" s="1">
        <v>23</v>
      </c>
      <c r="B26" s="1">
        <v>5</v>
      </c>
      <c r="C26" s="1">
        <v>2</v>
      </c>
      <c r="E26" s="1">
        <v>2</v>
      </c>
      <c r="F26" s="1">
        <v>2</v>
      </c>
      <c r="G26" s="1"/>
      <c r="H26" s="1">
        <v>1</v>
      </c>
      <c r="I26" s="1">
        <v>1</v>
      </c>
      <c r="J26" s="1">
        <v>2</v>
      </c>
      <c r="K26" s="1">
        <f>'Padronização &amp; Def. Grupos'!H86</f>
        <v>1</v>
      </c>
      <c r="L26" s="2">
        <v>0</v>
      </c>
      <c r="M26" s="1">
        <v>62</v>
      </c>
    </row>
    <row r="27" spans="1:13" x14ac:dyDescent="0.25">
      <c r="A27" s="1">
        <v>24</v>
      </c>
      <c r="B27" s="1">
        <v>2</v>
      </c>
      <c r="C27" s="1">
        <v>1</v>
      </c>
      <c r="D27" s="1">
        <v>2</v>
      </c>
      <c r="G27" s="1"/>
      <c r="H27" s="1">
        <v>2</v>
      </c>
      <c r="I27" s="1">
        <v>1</v>
      </c>
      <c r="J27" s="1">
        <v>2</v>
      </c>
      <c r="K27" s="1">
        <f>'Padronização &amp; Def. Grupos'!H87</f>
        <v>4</v>
      </c>
      <c r="L27" s="2">
        <v>80</v>
      </c>
      <c r="M27" s="1">
        <v>39</v>
      </c>
    </row>
    <row r="28" spans="1:13" x14ac:dyDescent="0.25">
      <c r="A28" s="1">
        <v>25</v>
      </c>
      <c r="B28" s="1">
        <v>1</v>
      </c>
      <c r="C28" s="1">
        <v>2</v>
      </c>
      <c r="E28" s="1">
        <v>1</v>
      </c>
      <c r="G28" s="1"/>
      <c r="H28" s="1">
        <v>2</v>
      </c>
      <c r="I28" s="1">
        <v>2</v>
      </c>
      <c r="J28" s="1">
        <v>2</v>
      </c>
      <c r="K28" s="1">
        <f>'Padronização &amp; Def. Grupos'!H88</f>
        <v>1</v>
      </c>
      <c r="L28" s="2">
        <v>50</v>
      </c>
      <c r="M28" s="1">
        <v>54</v>
      </c>
    </row>
    <row r="29" spans="1:13" x14ac:dyDescent="0.25">
      <c r="A29" s="1">
        <v>26</v>
      </c>
      <c r="G29" s="1"/>
      <c r="H29" s="1">
        <v>2</v>
      </c>
      <c r="I29" s="1">
        <v>1</v>
      </c>
      <c r="J29" s="1">
        <v>2</v>
      </c>
      <c r="K29" s="1">
        <f>'Padronização &amp; Def. Grupos'!H89</f>
        <v>1</v>
      </c>
      <c r="L29" s="2">
        <v>0</v>
      </c>
      <c r="M29" s="1">
        <v>29</v>
      </c>
    </row>
    <row r="30" spans="1:13" x14ac:dyDescent="0.25">
      <c r="A30" s="1">
        <v>27</v>
      </c>
      <c r="B30" s="1">
        <v>5</v>
      </c>
      <c r="C30" s="1">
        <v>2</v>
      </c>
      <c r="E30" s="1">
        <v>2</v>
      </c>
      <c r="F30" s="1">
        <v>2</v>
      </c>
      <c r="G30" s="1"/>
      <c r="H30" s="1">
        <v>2</v>
      </c>
      <c r="I30" s="1">
        <v>1</v>
      </c>
      <c r="J30" s="1">
        <v>2</v>
      </c>
      <c r="K30" s="1">
        <f>'Padronização &amp; Def. Grupos'!H90</f>
        <v>1</v>
      </c>
      <c r="L30" s="2">
        <v>0</v>
      </c>
      <c r="M30" s="1">
        <v>51</v>
      </c>
    </row>
    <row r="31" spans="1:13" x14ac:dyDescent="0.25">
      <c r="A31" s="1">
        <v>28</v>
      </c>
      <c r="B31" s="1">
        <v>5</v>
      </c>
      <c r="C31" s="1">
        <v>2</v>
      </c>
      <c r="E31" s="1">
        <v>2</v>
      </c>
      <c r="F31" s="1">
        <v>2</v>
      </c>
      <c r="G31" s="1"/>
      <c r="H31" s="1">
        <v>2</v>
      </c>
      <c r="I31" s="1">
        <v>4</v>
      </c>
      <c r="J31" s="1">
        <v>2</v>
      </c>
      <c r="K31" s="1">
        <f>'Padronização &amp; Def. Grupos'!H91</f>
        <v>1</v>
      </c>
      <c r="L31" s="2">
        <v>0</v>
      </c>
      <c r="M31" s="1">
        <v>33</v>
      </c>
    </row>
    <row r="32" spans="1:13" x14ac:dyDescent="0.25">
      <c r="A32" s="1">
        <v>29</v>
      </c>
      <c r="B32" s="1">
        <v>1</v>
      </c>
      <c r="C32" s="1">
        <v>1</v>
      </c>
      <c r="D32" s="1">
        <v>1</v>
      </c>
      <c r="G32" s="1">
        <v>1</v>
      </c>
      <c r="H32" s="1">
        <v>2</v>
      </c>
      <c r="I32" s="1">
        <v>4</v>
      </c>
      <c r="J32" s="1">
        <v>2</v>
      </c>
      <c r="K32" s="1">
        <f>'Padronização &amp; Def. Grupos'!H92</f>
        <v>2</v>
      </c>
      <c r="L32" s="2">
        <v>120</v>
      </c>
      <c r="M32" s="1">
        <v>43</v>
      </c>
    </row>
    <row r="33" spans="1:13" x14ac:dyDescent="0.25">
      <c r="A33" s="1">
        <v>30</v>
      </c>
      <c r="B33" s="1">
        <v>1</v>
      </c>
      <c r="C33" s="1">
        <v>1</v>
      </c>
      <c r="D33" s="1">
        <v>1</v>
      </c>
      <c r="G33" s="1">
        <v>1</v>
      </c>
      <c r="H33" s="1">
        <v>2</v>
      </c>
      <c r="I33" s="1">
        <v>1</v>
      </c>
      <c r="J33" s="1">
        <v>2</v>
      </c>
      <c r="K33" s="1">
        <f>'Padronização &amp; Def. Grupos'!H93</f>
        <v>2</v>
      </c>
      <c r="L33" s="2">
        <v>120</v>
      </c>
      <c r="M33" s="1">
        <v>47</v>
      </c>
    </row>
    <row r="34" spans="1:13" x14ac:dyDescent="0.25">
      <c r="A34" s="1">
        <v>31</v>
      </c>
      <c r="B34" s="1">
        <v>1</v>
      </c>
      <c r="C34" s="1">
        <v>2</v>
      </c>
      <c r="E34" s="1">
        <v>2</v>
      </c>
      <c r="F34" s="1">
        <v>1</v>
      </c>
      <c r="G34" s="1"/>
      <c r="H34" s="1">
        <v>2</v>
      </c>
      <c r="I34" s="1">
        <v>1</v>
      </c>
      <c r="J34" s="1">
        <v>1</v>
      </c>
      <c r="K34" s="1">
        <f>'Padronização &amp; Def. Grupos'!H94</f>
        <v>1</v>
      </c>
      <c r="L34" s="2">
        <v>30</v>
      </c>
      <c r="M34" s="1">
        <v>45</v>
      </c>
    </row>
    <row r="35" spans="1:13" x14ac:dyDescent="0.25">
      <c r="A35" s="1">
        <v>32</v>
      </c>
      <c r="B35" s="1">
        <v>5</v>
      </c>
      <c r="C35" s="1">
        <v>2</v>
      </c>
      <c r="E35" s="1">
        <v>2</v>
      </c>
      <c r="F35" s="1">
        <v>2</v>
      </c>
      <c r="G35" s="1"/>
      <c r="H35" s="1">
        <v>2</v>
      </c>
      <c r="I35" s="1">
        <v>2</v>
      </c>
      <c r="J35" s="1">
        <v>2</v>
      </c>
      <c r="K35" s="1">
        <f>'Padronização &amp; Def. Grupos'!H95</f>
        <v>1</v>
      </c>
      <c r="L35" s="2">
        <v>0</v>
      </c>
      <c r="M35" s="1">
        <v>43</v>
      </c>
    </row>
    <row r="36" spans="1:13" x14ac:dyDescent="0.25">
      <c r="A36" s="1">
        <v>33</v>
      </c>
      <c r="B36" s="1">
        <v>2</v>
      </c>
      <c r="C36" s="1">
        <v>2</v>
      </c>
      <c r="E36" s="1">
        <v>2</v>
      </c>
      <c r="F36" s="1">
        <v>1</v>
      </c>
      <c r="G36" s="1"/>
      <c r="H36" s="1">
        <v>2</v>
      </c>
      <c r="I36" s="1">
        <v>1</v>
      </c>
      <c r="J36" s="1">
        <v>2</v>
      </c>
      <c r="K36" s="1">
        <f>'Padronização &amp; Def. Grupos'!H96</f>
        <v>2</v>
      </c>
      <c r="L36" s="2">
        <v>30</v>
      </c>
      <c r="M36" s="1">
        <v>33</v>
      </c>
    </row>
    <row r="37" spans="1:13" x14ac:dyDescent="0.25">
      <c r="A37" s="1">
        <v>34</v>
      </c>
      <c r="B37" s="1">
        <v>1</v>
      </c>
      <c r="C37" s="1">
        <v>2</v>
      </c>
      <c r="E37" s="1">
        <v>2</v>
      </c>
      <c r="F37" s="1">
        <v>2</v>
      </c>
      <c r="G37" s="1"/>
      <c r="H37" s="1">
        <v>2</v>
      </c>
      <c r="I37" s="1">
        <v>1</v>
      </c>
      <c r="J37" s="1">
        <v>2</v>
      </c>
      <c r="K37" s="1">
        <f>'Padronização &amp; Def. Grupos'!H97</f>
        <v>1</v>
      </c>
      <c r="L37" s="2">
        <v>0</v>
      </c>
      <c r="M37" s="1">
        <v>39</v>
      </c>
    </row>
    <row r="38" spans="1:13" x14ac:dyDescent="0.25">
      <c r="A38" s="1">
        <v>35</v>
      </c>
      <c r="B38" s="1">
        <v>4</v>
      </c>
      <c r="C38" s="1">
        <v>1</v>
      </c>
      <c r="D38" s="1">
        <v>1</v>
      </c>
      <c r="G38" s="1">
        <v>1</v>
      </c>
      <c r="H38" s="1">
        <v>2</v>
      </c>
      <c r="I38" s="1">
        <v>1</v>
      </c>
      <c r="J38" s="1">
        <v>2</v>
      </c>
      <c r="K38" s="1">
        <f>'Padronização &amp; Def. Grupos'!H98</f>
        <v>2</v>
      </c>
      <c r="L38" s="2">
        <v>120</v>
      </c>
      <c r="M38" s="1">
        <v>34</v>
      </c>
    </row>
    <row r="39" spans="1:13" x14ac:dyDescent="0.25">
      <c r="A39" s="1">
        <v>36</v>
      </c>
      <c r="B39" s="1">
        <v>6</v>
      </c>
      <c r="C39" s="1">
        <v>2</v>
      </c>
      <c r="E39" s="1">
        <v>2</v>
      </c>
      <c r="F39" s="1">
        <v>1</v>
      </c>
      <c r="G39" s="1"/>
      <c r="H39" s="1">
        <v>2</v>
      </c>
      <c r="I39" s="1">
        <v>1</v>
      </c>
      <c r="J39" s="1">
        <v>2</v>
      </c>
      <c r="K39" s="1">
        <f>'Padronização &amp; Def. Grupos'!H99</f>
        <v>2</v>
      </c>
      <c r="L39" s="2">
        <v>30</v>
      </c>
      <c r="M39" s="1">
        <v>31</v>
      </c>
    </row>
    <row r="40" spans="1:13" x14ac:dyDescent="0.25">
      <c r="A40" s="1">
        <v>37</v>
      </c>
      <c r="B40" s="1">
        <v>6</v>
      </c>
      <c r="C40" s="1">
        <v>1</v>
      </c>
      <c r="D40" s="1">
        <v>2</v>
      </c>
      <c r="G40" s="1"/>
      <c r="H40" s="1">
        <v>2</v>
      </c>
      <c r="I40" s="1">
        <v>2</v>
      </c>
      <c r="J40" s="1">
        <v>2</v>
      </c>
      <c r="K40" s="1">
        <f>'Padronização &amp; Def. Grupos'!H100</f>
        <v>4</v>
      </c>
      <c r="L40" s="2">
        <v>80</v>
      </c>
      <c r="M40" s="1">
        <v>37</v>
      </c>
    </row>
    <row r="41" spans="1:13" x14ac:dyDescent="0.25">
      <c r="A41" s="1">
        <v>38</v>
      </c>
      <c r="G41" s="1"/>
      <c r="H41" s="1">
        <v>2</v>
      </c>
      <c r="I41" s="1">
        <v>1</v>
      </c>
      <c r="J41" s="1">
        <v>2</v>
      </c>
      <c r="K41" s="1">
        <f>'Padronização &amp; Def. Grupos'!H101</f>
        <v>1</v>
      </c>
      <c r="L41" s="2">
        <v>0</v>
      </c>
      <c r="M41" s="1">
        <v>44</v>
      </c>
    </row>
    <row r="42" spans="1:13" x14ac:dyDescent="0.25">
      <c r="A42" s="1">
        <v>39</v>
      </c>
      <c r="B42" s="1">
        <v>5</v>
      </c>
      <c r="C42" s="1">
        <v>2</v>
      </c>
      <c r="E42" s="1">
        <v>2</v>
      </c>
      <c r="F42" s="1">
        <v>2</v>
      </c>
      <c r="G42" s="1"/>
      <c r="H42" s="1">
        <v>2</v>
      </c>
      <c r="I42" s="1">
        <v>1</v>
      </c>
      <c r="J42" s="1">
        <v>2</v>
      </c>
      <c r="K42" s="1">
        <f>'Padronização &amp; Def. Grupos'!H102</f>
        <v>1</v>
      </c>
      <c r="L42" s="2">
        <v>0</v>
      </c>
      <c r="M42" s="1">
        <v>77</v>
      </c>
    </row>
    <row r="43" spans="1:13" x14ac:dyDescent="0.25">
      <c r="A43" s="1">
        <v>40</v>
      </c>
      <c r="B43" s="1">
        <v>2</v>
      </c>
      <c r="C43" s="1">
        <v>1</v>
      </c>
      <c r="D43" s="1">
        <v>2</v>
      </c>
      <c r="G43" s="1"/>
      <c r="H43" s="1">
        <v>2</v>
      </c>
      <c r="I43" s="1">
        <v>1</v>
      </c>
      <c r="J43" s="1">
        <v>2</v>
      </c>
      <c r="K43" s="1">
        <f>'Padronização &amp; Def. Grupos'!H103</f>
        <v>1</v>
      </c>
      <c r="L43" s="2">
        <v>80</v>
      </c>
      <c r="M43" s="1">
        <v>70</v>
      </c>
    </row>
    <row r="44" spans="1:13" x14ac:dyDescent="0.25">
      <c r="A44" s="1">
        <v>41</v>
      </c>
      <c r="B44" s="1">
        <v>2</v>
      </c>
      <c r="C44" s="1">
        <v>1</v>
      </c>
      <c r="D44" s="1">
        <v>2</v>
      </c>
      <c r="G44" s="1"/>
      <c r="H44" s="1">
        <v>2</v>
      </c>
      <c r="I44" s="1">
        <v>1</v>
      </c>
      <c r="J44" s="1">
        <v>2</v>
      </c>
      <c r="K44" s="1">
        <f>'Padronização &amp; Def. Grupos'!H104</f>
        <v>2</v>
      </c>
      <c r="L44" s="2">
        <v>80</v>
      </c>
      <c r="M44" s="1">
        <v>25</v>
      </c>
    </row>
    <row r="45" spans="1:13" x14ac:dyDescent="0.25">
      <c r="A45" s="1">
        <v>42</v>
      </c>
      <c r="B45" s="1">
        <v>2</v>
      </c>
      <c r="C45" s="1">
        <v>1</v>
      </c>
      <c r="D45" s="1">
        <v>2</v>
      </c>
      <c r="G45" s="1"/>
      <c r="H45" s="1">
        <v>2</v>
      </c>
      <c r="I45" s="1">
        <v>2</v>
      </c>
      <c r="J45" s="1">
        <v>2</v>
      </c>
      <c r="K45" s="1">
        <f>'Padronização &amp; Def. Grupos'!H105</f>
        <v>2</v>
      </c>
      <c r="L45" s="2">
        <v>80</v>
      </c>
      <c r="M45" s="1">
        <v>25</v>
      </c>
    </row>
    <row r="46" spans="1:13" x14ac:dyDescent="0.25">
      <c r="A46" s="1">
        <v>43</v>
      </c>
      <c r="B46" s="1">
        <v>4</v>
      </c>
      <c r="C46" s="1">
        <v>1</v>
      </c>
      <c r="D46" s="1">
        <v>2</v>
      </c>
      <c r="G46" s="1"/>
      <c r="H46" s="1">
        <v>2</v>
      </c>
      <c r="I46" s="1">
        <v>3</v>
      </c>
      <c r="J46" s="1">
        <v>2</v>
      </c>
      <c r="K46" s="1">
        <f>'Padronização &amp; Def. Grupos'!H106</f>
        <v>4</v>
      </c>
      <c r="L46" s="2">
        <v>80</v>
      </c>
      <c r="M46" s="1">
        <v>37</v>
      </c>
    </row>
    <row r="47" spans="1:13" x14ac:dyDescent="0.25">
      <c r="A47" s="1">
        <v>44</v>
      </c>
      <c r="B47" s="1">
        <v>2</v>
      </c>
      <c r="C47" s="1">
        <v>1</v>
      </c>
      <c r="D47" s="1">
        <v>2</v>
      </c>
      <c r="G47" s="1"/>
      <c r="H47" s="1">
        <v>2</v>
      </c>
      <c r="I47" s="1">
        <v>4</v>
      </c>
      <c r="J47" s="1">
        <v>2</v>
      </c>
      <c r="K47" s="1">
        <f>'Padronização &amp; Def. Grupos'!H107</f>
        <v>1</v>
      </c>
      <c r="L47" s="2">
        <v>80</v>
      </c>
      <c r="M47" s="1">
        <v>51</v>
      </c>
    </row>
    <row r="48" spans="1:13" x14ac:dyDescent="0.25">
      <c r="A48" s="1">
        <v>45</v>
      </c>
      <c r="B48" s="1">
        <v>5</v>
      </c>
      <c r="C48" s="1">
        <v>1</v>
      </c>
      <c r="D48" s="1">
        <v>1</v>
      </c>
      <c r="G48" s="1">
        <v>2</v>
      </c>
      <c r="H48" s="1">
        <v>2</v>
      </c>
      <c r="I48" s="1">
        <v>1</v>
      </c>
      <c r="J48" s="1">
        <v>1</v>
      </c>
      <c r="K48" s="1">
        <f>'Padronização &amp; Def. Grupos'!H108</f>
        <v>1</v>
      </c>
      <c r="L48" s="2">
        <v>100</v>
      </c>
      <c r="M48" s="1">
        <v>53</v>
      </c>
    </row>
    <row r="49" spans="1:13" x14ac:dyDescent="0.25">
      <c r="A49" s="1">
        <v>46</v>
      </c>
      <c r="B49" s="1">
        <v>2</v>
      </c>
      <c r="C49" s="1">
        <v>2</v>
      </c>
      <c r="E49" s="1">
        <v>2</v>
      </c>
      <c r="F49" s="1">
        <v>1</v>
      </c>
      <c r="G49" s="1"/>
      <c r="H49" s="1">
        <v>2</v>
      </c>
      <c r="I49" s="1">
        <v>1</v>
      </c>
      <c r="J49" s="1">
        <v>2</v>
      </c>
      <c r="K49" s="1">
        <f>'Padronização &amp; Def. Grupos'!H109</f>
        <v>1</v>
      </c>
      <c r="L49" s="2">
        <v>30</v>
      </c>
      <c r="M49" s="1">
        <v>60</v>
      </c>
    </row>
    <row r="50" spans="1:13" x14ac:dyDescent="0.25">
      <c r="A50" s="1">
        <v>47</v>
      </c>
      <c r="B50" s="1">
        <v>6</v>
      </c>
      <c r="C50" s="1">
        <v>1</v>
      </c>
      <c r="D50" s="1">
        <v>1</v>
      </c>
      <c r="G50" s="1">
        <v>1</v>
      </c>
      <c r="H50" s="1">
        <v>2</v>
      </c>
      <c r="I50" s="1">
        <v>5</v>
      </c>
      <c r="J50" s="1">
        <v>2</v>
      </c>
      <c r="K50" s="1">
        <f>'Padronização &amp; Def. Grupos'!H110</f>
        <v>2</v>
      </c>
      <c r="L50" s="2">
        <v>120</v>
      </c>
      <c r="M50" s="1">
        <v>32</v>
      </c>
    </row>
    <row r="51" spans="1:13" x14ac:dyDescent="0.25">
      <c r="A51" s="1">
        <v>48</v>
      </c>
      <c r="B51" s="1">
        <v>4</v>
      </c>
      <c r="C51" s="1">
        <v>1</v>
      </c>
      <c r="D51" s="1">
        <v>2</v>
      </c>
      <c r="G51" s="1"/>
      <c r="H51" s="1">
        <v>2</v>
      </c>
      <c r="I51" s="1">
        <v>3</v>
      </c>
      <c r="J51" s="1">
        <v>2</v>
      </c>
      <c r="K51" s="1">
        <f>'Padronização &amp; Def. Grupos'!H111</f>
        <v>4</v>
      </c>
      <c r="L51" s="2">
        <v>80</v>
      </c>
      <c r="M51" s="1">
        <v>52</v>
      </c>
    </row>
    <row r="52" spans="1:13" x14ac:dyDescent="0.25">
      <c r="A52" s="1">
        <v>49</v>
      </c>
      <c r="G52" s="1"/>
      <c r="H52" s="1">
        <v>2</v>
      </c>
      <c r="I52" s="1">
        <v>3</v>
      </c>
      <c r="J52" s="1">
        <v>2</v>
      </c>
      <c r="K52" s="1">
        <f>'Padronização &amp; Def. Grupos'!H112</f>
        <v>1</v>
      </c>
      <c r="L52" s="2">
        <v>0</v>
      </c>
      <c r="M52" s="1">
        <v>62</v>
      </c>
    </row>
    <row r="53" spans="1:13" x14ac:dyDescent="0.25">
      <c r="A53" s="1">
        <v>50</v>
      </c>
      <c r="B53" s="1">
        <v>5</v>
      </c>
      <c r="C53" s="1">
        <v>1</v>
      </c>
      <c r="D53" s="1">
        <v>2</v>
      </c>
      <c r="G53" s="1"/>
      <c r="H53" s="1">
        <v>2</v>
      </c>
      <c r="I53" s="1">
        <v>3</v>
      </c>
      <c r="J53" s="1">
        <v>2</v>
      </c>
      <c r="K53" s="1">
        <f>'Padronização &amp; Def. Grupos'!H113</f>
        <v>4</v>
      </c>
      <c r="L53" s="2">
        <v>80</v>
      </c>
      <c r="M53" s="1">
        <v>46</v>
      </c>
    </row>
    <row r="54" spans="1:13" x14ac:dyDescent="0.25">
      <c r="G54" s="1"/>
      <c r="H54" s="2"/>
    </row>
    <row r="55" spans="1:13" x14ac:dyDescent="0.25">
      <c r="G55" s="1"/>
      <c r="H55" s="2"/>
    </row>
    <row r="56" spans="1:13" x14ac:dyDescent="0.25">
      <c r="B56" t="s">
        <v>151</v>
      </c>
      <c r="G56" s="1"/>
      <c r="H56" s="2">
        <f>IF(G56=1,120,IF(D56=1,100,IF(C56=1,80,IF(E56=1,50,IF(F56=1,30,0)))))</f>
        <v>0</v>
      </c>
    </row>
    <row r="57" spans="1:13" x14ac:dyDescent="0.25">
      <c r="G57" s="1"/>
      <c r="H57" s="2"/>
    </row>
    <row r="58" spans="1:13" ht="75" x14ac:dyDescent="0.25">
      <c r="A58" s="1" t="s">
        <v>152</v>
      </c>
      <c r="B58" s="1" t="s">
        <v>1</v>
      </c>
      <c r="C58" s="1" t="s">
        <v>9</v>
      </c>
      <c r="D58" s="1" t="s">
        <v>11</v>
      </c>
      <c r="E58" s="1" t="s">
        <v>12</v>
      </c>
      <c r="F58" s="2" t="s">
        <v>149</v>
      </c>
      <c r="G58" s="1" t="s">
        <v>10</v>
      </c>
    </row>
    <row r="59" spans="1:13" x14ac:dyDescent="0.25">
      <c r="A59" s="1">
        <v>1</v>
      </c>
      <c r="B59" s="1">
        <v>5</v>
      </c>
      <c r="C59" s="1">
        <v>1</v>
      </c>
      <c r="D59" s="1">
        <v>1</v>
      </c>
      <c r="E59" s="1">
        <v>2</v>
      </c>
      <c r="F59" s="2">
        <v>-1.1552362674323637</v>
      </c>
      <c r="G59" s="1">
        <v>-0.69805166187322232</v>
      </c>
      <c r="I59" s="1">
        <v>1</v>
      </c>
      <c r="J59" s="1">
        <v>1</v>
      </c>
      <c r="K59" s="1">
        <v>1</v>
      </c>
      <c r="L59" s="1">
        <v>1</v>
      </c>
    </row>
    <row r="60" spans="1:13" x14ac:dyDescent="0.25">
      <c r="A60" s="1">
        <v>2</v>
      </c>
      <c r="B60" s="1">
        <v>3</v>
      </c>
      <c r="C60" s="1">
        <v>1</v>
      </c>
      <c r="D60" s="1">
        <v>2</v>
      </c>
      <c r="E60" s="1">
        <v>1</v>
      </c>
      <c r="F60" s="2">
        <v>-1.1552362674323637</v>
      </c>
      <c r="G60" s="1">
        <v>-0.53495547919256292</v>
      </c>
    </row>
    <row r="61" spans="1:13" x14ac:dyDescent="0.25">
      <c r="A61" s="1">
        <v>3</v>
      </c>
      <c r="B61" s="1">
        <v>3</v>
      </c>
      <c r="C61" s="1">
        <v>1</v>
      </c>
      <c r="D61" s="1">
        <v>4</v>
      </c>
      <c r="E61" s="1">
        <v>2</v>
      </c>
      <c r="F61" s="2">
        <v>-1.1552362674323637</v>
      </c>
      <c r="G61" s="1">
        <v>-0.77959975321355202</v>
      </c>
    </row>
    <row r="62" spans="1:13" x14ac:dyDescent="0.25">
      <c r="A62" s="1">
        <v>4</v>
      </c>
      <c r="B62" s="1">
        <v>6</v>
      </c>
      <c r="C62" s="1">
        <v>1</v>
      </c>
      <c r="D62" s="1">
        <v>1</v>
      </c>
      <c r="E62" s="1">
        <v>2</v>
      </c>
      <c r="F62" s="2">
        <v>-1.1552362674323637</v>
      </c>
      <c r="G62" s="1">
        <v>-1.3504363925958598</v>
      </c>
    </row>
    <row r="63" spans="1:13" x14ac:dyDescent="0.25">
      <c r="A63" s="1">
        <v>5</v>
      </c>
      <c r="B63" s="1">
        <v>5</v>
      </c>
      <c r="C63" s="1">
        <v>1</v>
      </c>
      <c r="D63" s="1">
        <v>1</v>
      </c>
      <c r="E63" s="1">
        <v>2</v>
      </c>
      <c r="F63" s="2">
        <v>1.0923051088951923</v>
      </c>
      <c r="G63" s="1">
        <v>-0.37185929651190358</v>
      </c>
    </row>
    <row r="64" spans="1:13" x14ac:dyDescent="0.25">
      <c r="A64" s="1">
        <v>6</v>
      </c>
      <c r="B64" s="1">
        <v>6</v>
      </c>
      <c r="C64" s="1">
        <v>1</v>
      </c>
      <c r="D64" s="1">
        <v>1</v>
      </c>
      <c r="E64" s="1">
        <v>2</v>
      </c>
      <c r="F64" s="2">
        <v>0.6427968336296811</v>
      </c>
      <c r="G64" s="1">
        <v>-0.12721502249091451</v>
      </c>
    </row>
    <row r="65" spans="1:7" x14ac:dyDescent="0.25">
      <c r="A65" s="1">
        <v>7</v>
      </c>
      <c r="B65" s="1">
        <v>6</v>
      </c>
      <c r="C65" s="1">
        <v>1</v>
      </c>
      <c r="D65" s="1">
        <v>1</v>
      </c>
      <c r="E65" s="1">
        <v>2</v>
      </c>
      <c r="F65" s="2">
        <v>-3.1465579268585751E-2</v>
      </c>
      <c r="G65" s="1">
        <v>-0.77959975321355202</v>
      </c>
    </row>
    <row r="66" spans="1:7" x14ac:dyDescent="0.25">
      <c r="A66" s="1">
        <v>8</v>
      </c>
      <c r="B66" s="1">
        <v>2</v>
      </c>
      <c r="C66" s="1">
        <v>1</v>
      </c>
      <c r="D66" s="1">
        <v>2</v>
      </c>
      <c r="E66" s="1">
        <v>2</v>
      </c>
      <c r="F66" s="2">
        <v>-1.1552362674323637</v>
      </c>
      <c r="G66" s="1">
        <v>-1.1873402099152004</v>
      </c>
    </row>
    <row r="67" spans="1:7" x14ac:dyDescent="0.25">
      <c r="A67" s="1">
        <v>9</v>
      </c>
      <c r="B67" s="1">
        <v>5</v>
      </c>
      <c r="C67" s="1">
        <v>1</v>
      </c>
      <c r="D67" s="1">
        <v>1</v>
      </c>
      <c r="E67" s="1">
        <v>2</v>
      </c>
      <c r="F67" s="2">
        <v>0.6427968336296811</v>
      </c>
      <c r="G67" s="1">
        <v>-0.86114784455388171</v>
      </c>
    </row>
    <row r="68" spans="1:7" x14ac:dyDescent="0.25">
      <c r="A68" s="1">
        <v>10</v>
      </c>
      <c r="C68" s="1">
        <v>1</v>
      </c>
      <c r="D68" s="1">
        <v>3</v>
      </c>
      <c r="E68" s="1">
        <v>2</v>
      </c>
      <c r="F68" s="2">
        <v>-1.1552362674323637</v>
      </c>
      <c r="G68" s="1">
        <v>-0.69805166187322232</v>
      </c>
    </row>
    <row r="69" spans="1:7" x14ac:dyDescent="0.25">
      <c r="A69" s="1">
        <v>11</v>
      </c>
      <c r="B69" s="1">
        <v>5</v>
      </c>
      <c r="C69" s="1">
        <v>1</v>
      </c>
      <c r="D69" s="1">
        <v>1</v>
      </c>
      <c r="E69" s="1">
        <v>2</v>
      </c>
      <c r="F69" s="2">
        <v>1.0923051088951923</v>
      </c>
      <c r="G69" s="1">
        <v>0.11742925153007457</v>
      </c>
    </row>
    <row r="70" spans="1:7" x14ac:dyDescent="0.25">
      <c r="A70" s="1">
        <v>12</v>
      </c>
      <c r="B70" s="1">
        <v>1</v>
      </c>
      <c r="C70" s="1">
        <v>1</v>
      </c>
      <c r="D70" s="1">
        <v>1</v>
      </c>
      <c r="E70" s="1">
        <v>2</v>
      </c>
      <c r="F70" s="2">
        <v>0.6427968336296811</v>
      </c>
      <c r="G70" s="1">
        <v>0.52516970823172304</v>
      </c>
    </row>
    <row r="71" spans="1:7" x14ac:dyDescent="0.25">
      <c r="A71" s="1">
        <v>13</v>
      </c>
      <c r="B71" s="1">
        <v>1</v>
      </c>
      <c r="C71" s="1">
        <v>1</v>
      </c>
      <c r="D71" s="1">
        <v>1</v>
      </c>
      <c r="E71" s="1">
        <v>2</v>
      </c>
      <c r="F71" s="2">
        <v>1.5418133841607033</v>
      </c>
      <c r="G71" s="1">
        <v>0.19897734287040425</v>
      </c>
    </row>
    <row r="72" spans="1:7" x14ac:dyDescent="0.25">
      <c r="A72" s="1">
        <v>14</v>
      </c>
      <c r="B72" s="1">
        <v>2</v>
      </c>
      <c r="C72" s="1">
        <v>1</v>
      </c>
      <c r="D72" s="1">
        <v>4</v>
      </c>
      <c r="E72" s="1">
        <v>2</v>
      </c>
      <c r="F72" s="2">
        <v>0.6427968336296811</v>
      </c>
      <c r="G72" s="1">
        <v>-0.12721502249091451</v>
      </c>
    </row>
    <row r="73" spans="1:7" x14ac:dyDescent="0.25">
      <c r="A73" s="1">
        <v>15</v>
      </c>
      <c r="B73" s="1">
        <v>4</v>
      </c>
      <c r="C73" s="1">
        <v>1</v>
      </c>
      <c r="D73" s="1">
        <v>2</v>
      </c>
      <c r="E73" s="1">
        <v>2</v>
      </c>
      <c r="F73" s="2">
        <v>1.0923051088951923</v>
      </c>
      <c r="G73" s="1">
        <v>3.5881160189744875E-2</v>
      </c>
    </row>
    <row r="74" spans="1:7" x14ac:dyDescent="0.25">
      <c r="A74" s="1">
        <v>16</v>
      </c>
      <c r="B74" s="1">
        <v>1</v>
      </c>
      <c r="C74" s="1">
        <v>1</v>
      </c>
      <c r="D74" s="1">
        <v>1</v>
      </c>
      <c r="E74" s="1">
        <v>2</v>
      </c>
      <c r="F74" s="2">
        <v>-1.1552362674323637</v>
      </c>
      <c r="G74" s="1">
        <v>1.6668429869963386</v>
      </c>
    </row>
    <row r="75" spans="1:7" x14ac:dyDescent="0.25">
      <c r="A75" s="1">
        <v>17</v>
      </c>
      <c r="B75" s="1">
        <v>5</v>
      </c>
      <c r="C75" s="1">
        <v>1</v>
      </c>
      <c r="D75" s="1">
        <v>1</v>
      </c>
      <c r="E75" s="1">
        <v>2</v>
      </c>
      <c r="F75" s="2">
        <v>-1.1552362674323637</v>
      </c>
      <c r="G75" s="1">
        <v>-1.1873402099152004</v>
      </c>
    </row>
    <row r="76" spans="1:7" x14ac:dyDescent="0.25">
      <c r="A76" s="1">
        <v>18</v>
      </c>
      <c r="B76" s="1">
        <v>5</v>
      </c>
      <c r="C76" s="1">
        <v>1</v>
      </c>
      <c r="D76" s="1">
        <v>4</v>
      </c>
      <c r="E76" s="1">
        <v>2</v>
      </c>
      <c r="F76" s="2">
        <v>0.6427968336296811</v>
      </c>
      <c r="G76" s="1">
        <v>0.76981398225271214</v>
      </c>
    </row>
    <row r="77" spans="1:7" x14ac:dyDescent="0.25">
      <c r="A77" s="1">
        <v>19</v>
      </c>
      <c r="B77" s="1">
        <v>6</v>
      </c>
      <c r="C77" s="1">
        <v>1</v>
      </c>
      <c r="D77" s="1">
        <v>5</v>
      </c>
      <c r="E77" s="1">
        <v>2</v>
      </c>
      <c r="F77" s="2">
        <v>0.6427968336296811</v>
      </c>
      <c r="G77" s="1">
        <v>-0.61650357053289262</v>
      </c>
    </row>
    <row r="78" spans="1:7" x14ac:dyDescent="0.25">
      <c r="A78" s="1">
        <v>20</v>
      </c>
      <c r="B78" s="1">
        <v>5</v>
      </c>
      <c r="C78" s="1">
        <v>1</v>
      </c>
      <c r="D78" s="1">
        <v>1</v>
      </c>
      <c r="E78" s="1">
        <v>2</v>
      </c>
      <c r="F78" s="2">
        <v>1.0923051088951923</v>
      </c>
      <c r="G78" s="1">
        <v>0.52516970823172304</v>
      </c>
    </row>
    <row r="79" spans="1:7" x14ac:dyDescent="0.25">
      <c r="A79" s="1">
        <v>21</v>
      </c>
      <c r="C79" s="1">
        <v>1</v>
      </c>
      <c r="D79" s="1">
        <v>3</v>
      </c>
      <c r="E79" s="1">
        <v>1</v>
      </c>
      <c r="F79" s="2">
        <v>-1.1552362674323637</v>
      </c>
      <c r="G79" s="1">
        <v>2.0745834436979873</v>
      </c>
    </row>
    <row r="80" spans="1:7" x14ac:dyDescent="0.25">
      <c r="A80" s="1">
        <v>22</v>
      </c>
      <c r="B80" s="1">
        <v>1</v>
      </c>
      <c r="C80" s="1">
        <v>1</v>
      </c>
      <c r="D80" s="1">
        <v>2</v>
      </c>
      <c r="E80" s="1">
        <v>1</v>
      </c>
      <c r="F80" s="2">
        <v>-3.1465579268585751E-2</v>
      </c>
      <c r="G80" s="1">
        <v>0.60671779957205274</v>
      </c>
    </row>
    <row r="81" spans="1:7" x14ac:dyDescent="0.25">
      <c r="A81" s="1">
        <v>23</v>
      </c>
      <c r="B81" s="1">
        <v>5</v>
      </c>
      <c r="C81" s="1">
        <v>1</v>
      </c>
      <c r="D81" s="1">
        <v>1</v>
      </c>
      <c r="E81" s="1">
        <v>2</v>
      </c>
      <c r="F81" s="2">
        <v>-1.1552362674323637</v>
      </c>
      <c r="G81" s="1">
        <v>1.5037468043156792</v>
      </c>
    </row>
    <row r="82" spans="1:7" x14ac:dyDescent="0.25">
      <c r="A82" s="1">
        <v>24</v>
      </c>
      <c r="B82" s="1">
        <v>2</v>
      </c>
      <c r="C82" s="1">
        <v>2</v>
      </c>
      <c r="D82" s="1">
        <v>1</v>
      </c>
      <c r="E82" s="1">
        <v>2</v>
      </c>
      <c r="F82" s="2">
        <v>0.6427968336296811</v>
      </c>
      <c r="G82" s="1">
        <v>-0.37185929651190358</v>
      </c>
    </row>
    <row r="83" spans="1:7" x14ac:dyDescent="0.25">
      <c r="A83" s="1">
        <v>25</v>
      </c>
      <c r="B83" s="1">
        <v>1</v>
      </c>
      <c r="C83" s="1">
        <v>2</v>
      </c>
      <c r="D83" s="1">
        <v>2</v>
      </c>
      <c r="E83" s="1">
        <v>2</v>
      </c>
      <c r="F83" s="2">
        <v>-3.1465579268585751E-2</v>
      </c>
      <c r="G83" s="1">
        <v>0.85136207359304172</v>
      </c>
    </row>
    <row r="84" spans="1:7" x14ac:dyDescent="0.25">
      <c r="A84" s="1">
        <v>26</v>
      </c>
      <c r="C84" s="1">
        <v>2</v>
      </c>
      <c r="D84" s="1">
        <v>1</v>
      </c>
      <c r="E84" s="1">
        <v>2</v>
      </c>
      <c r="F84" s="2">
        <v>-1.1552362674323637</v>
      </c>
      <c r="G84" s="1">
        <v>-1.1873402099152004</v>
      </c>
    </row>
    <row r="85" spans="1:7" x14ac:dyDescent="0.25">
      <c r="A85" s="1">
        <v>27</v>
      </c>
      <c r="B85" s="1">
        <v>5</v>
      </c>
      <c r="C85" s="1">
        <v>2</v>
      </c>
      <c r="D85" s="1">
        <v>1</v>
      </c>
      <c r="E85" s="1">
        <v>2</v>
      </c>
      <c r="F85" s="2">
        <v>-1.1552362674323637</v>
      </c>
      <c r="G85" s="1">
        <v>0.60671779957205274</v>
      </c>
    </row>
    <row r="86" spans="1:7" x14ac:dyDescent="0.25">
      <c r="A86" s="1">
        <v>28</v>
      </c>
      <c r="B86" s="1">
        <v>5</v>
      </c>
      <c r="C86" s="1">
        <v>2</v>
      </c>
      <c r="D86" s="1">
        <v>4</v>
      </c>
      <c r="E86" s="1">
        <v>2</v>
      </c>
      <c r="F86" s="2">
        <v>-1.1552362674323637</v>
      </c>
      <c r="G86" s="1">
        <v>-0.86114784455388171</v>
      </c>
    </row>
    <row r="87" spans="1:7" x14ac:dyDescent="0.25">
      <c r="A87" s="1">
        <v>29</v>
      </c>
      <c r="B87" s="1">
        <v>1</v>
      </c>
      <c r="C87" s="1">
        <v>2</v>
      </c>
      <c r="D87" s="1">
        <v>4</v>
      </c>
      <c r="E87" s="1">
        <v>2</v>
      </c>
      <c r="F87" s="2">
        <v>1.5418133841607033</v>
      </c>
      <c r="G87" s="1">
        <v>-4.5666931150584809E-2</v>
      </c>
    </row>
    <row r="88" spans="1:7" x14ac:dyDescent="0.25">
      <c r="A88" s="1">
        <v>30</v>
      </c>
      <c r="B88" s="1">
        <v>1</v>
      </c>
      <c r="C88" s="1">
        <v>2</v>
      </c>
      <c r="D88" s="1">
        <v>1</v>
      </c>
      <c r="E88" s="1">
        <v>2</v>
      </c>
      <c r="F88" s="2">
        <v>1.5418133841607033</v>
      </c>
      <c r="G88" s="1">
        <v>0.28052543421073395</v>
      </c>
    </row>
    <row r="89" spans="1:7" x14ac:dyDescent="0.25">
      <c r="A89" s="1">
        <v>31</v>
      </c>
      <c r="B89" s="1">
        <v>1</v>
      </c>
      <c r="C89" s="1">
        <v>2</v>
      </c>
      <c r="D89" s="1">
        <v>1</v>
      </c>
      <c r="E89" s="1">
        <v>1</v>
      </c>
      <c r="F89" s="2">
        <v>-0.48097385453409697</v>
      </c>
      <c r="G89" s="1">
        <v>0.11742925153007457</v>
      </c>
    </row>
    <row r="90" spans="1:7" x14ac:dyDescent="0.25">
      <c r="A90" s="1">
        <v>32</v>
      </c>
      <c r="B90" s="1">
        <v>5</v>
      </c>
      <c r="C90" s="1">
        <v>2</v>
      </c>
      <c r="D90" s="1">
        <v>2</v>
      </c>
      <c r="E90" s="1">
        <v>2</v>
      </c>
      <c r="F90" s="2">
        <v>-1.1552362674323637</v>
      </c>
      <c r="G90" s="1">
        <v>-4.5666931150584809E-2</v>
      </c>
    </row>
    <row r="91" spans="1:7" x14ac:dyDescent="0.25">
      <c r="A91" s="1">
        <v>33</v>
      </c>
      <c r="B91" s="1">
        <v>2</v>
      </c>
      <c r="C91" s="1">
        <v>2</v>
      </c>
      <c r="D91" s="1">
        <v>1</v>
      </c>
      <c r="E91" s="1">
        <v>2</v>
      </c>
      <c r="F91" s="2">
        <v>-0.48097385453409697</v>
      </c>
      <c r="G91" s="1">
        <v>-0.86114784455388171</v>
      </c>
    </row>
    <row r="92" spans="1:7" x14ac:dyDescent="0.25">
      <c r="A92" s="1">
        <v>34</v>
      </c>
      <c r="B92" s="1">
        <v>1</v>
      </c>
      <c r="C92" s="1">
        <v>2</v>
      </c>
      <c r="D92" s="1">
        <v>1</v>
      </c>
      <c r="E92" s="1">
        <v>2</v>
      </c>
      <c r="F92" s="2">
        <v>-1.1552362674323637</v>
      </c>
      <c r="G92" s="1">
        <v>-0.37185929651190358</v>
      </c>
    </row>
    <row r="93" spans="1:7" x14ac:dyDescent="0.25">
      <c r="A93" s="1">
        <v>35</v>
      </c>
      <c r="B93" s="1">
        <v>4</v>
      </c>
      <c r="C93" s="1">
        <v>2</v>
      </c>
      <c r="D93" s="1">
        <v>1</v>
      </c>
      <c r="E93" s="1">
        <v>2</v>
      </c>
      <c r="F93" s="2">
        <v>1.5418133841607033</v>
      </c>
      <c r="G93" s="1">
        <v>-0.77959975321355202</v>
      </c>
    </row>
    <row r="94" spans="1:7" x14ac:dyDescent="0.25">
      <c r="A94" s="1">
        <v>36</v>
      </c>
      <c r="B94" s="1">
        <v>6</v>
      </c>
      <c r="C94" s="1">
        <v>2</v>
      </c>
      <c r="D94" s="1">
        <v>1</v>
      </c>
      <c r="E94" s="1">
        <v>2</v>
      </c>
      <c r="F94" s="2">
        <v>-0.48097385453409697</v>
      </c>
      <c r="G94" s="1">
        <v>-1.024244027234541</v>
      </c>
    </row>
    <row r="95" spans="1:7" x14ac:dyDescent="0.25">
      <c r="A95" s="1">
        <v>37</v>
      </c>
      <c r="B95" s="1">
        <v>6</v>
      </c>
      <c r="C95" s="1">
        <v>2</v>
      </c>
      <c r="D95" s="1">
        <v>2</v>
      </c>
      <c r="E95" s="1">
        <v>2</v>
      </c>
      <c r="F95" s="2">
        <v>0.6427968336296811</v>
      </c>
      <c r="G95" s="1">
        <v>-0.53495547919256292</v>
      </c>
    </row>
    <row r="96" spans="1:7" x14ac:dyDescent="0.25">
      <c r="A96" s="1">
        <v>38</v>
      </c>
      <c r="C96" s="1">
        <v>2</v>
      </c>
      <c r="D96" s="1">
        <v>1</v>
      </c>
      <c r="E96" s="1">
        <v>2</v>
      </c>
      <c r="F96" s="2">
        <v>-1.1552362674323637</v>
      </c>
      <c r="G96" s="1">
        <v>3.5881160189744875E-2</v>
      </c>
    </row>
    <row r="97" spans="1:8" x14ac:dyDescent="0.25">
      <c r="A97" s="1">
        <v>39</v>
      </c>
      <c r="B97" s="1">
        <v>5</v>
      </c>
      <c r="C97" s="1">
        <v>2</v>
      </c>
      <c r="D97" s="1">
        <v>1</v>
      </c>
      <c r="E97" s="1">
        <v>2</v>
      </c>
      <c r="F97" s="2">
        <v>-1.1552362674323637</v>
      </c>
      <c r="G97" s="1">
        <v>2.7269681744206244</v>
      </c>
    </row>
    <row r="98" spans="1:8" x14ac:dyDescent="0.25">
      <c r="A98" s="1">
        <v>40</v>
      </c>
      <c r="B98" s="1">
        <v>2</v>
      </c>
      <c r="C98" s="1">
        <v>2</v>
      </c>
      <c r="D98" s="1">
        <v>1</v>
      </c>
      <c r="E98" s="1">
        <v>2</v>
      </c>
      <c r="F98" s="2">
        <v>0.6427968336296811</v>
      </c>
      <c r="G98" s="1">
        <v>2.156131535038317</v>
      </c>
    </row>
    <row r="99" spans="1:8" x14ac:dyDescent="0.25">
      <c r="A99" s="1">
        <v>41</v>
      </c>
      <c r="B99" s="1">
        <v>2</v>
      </c>
      <c r="C99" s="1">
        <v>2</v>
      </c>
      <c r="D99" s="1">
        <v>1</v>
      </c>
      <c r="E99" s="1">
        <v>2</v>
      </c>
      <c r="F99" s="2">
        <v>0.6427968336296811</v>
      </c>
      <c r="G99" s="1">
        <v>-1.5135325752765192</v>
      </c>
    </row>
    <row r="100" spans="1:8" x14ac:dyDescent="0.25">
      <c r="A100" s="1">
        <v>42</v>
      </c>
      <c r="B100" s="1">
        <v>2</v>
      </c>
      <c r="C100" s="1">
        <v>2</v>
      </c>
      <c r="D100" s="1">
        <v>2</v>
      </c>
      <c r="E100" s="1">
        <v>2</v>
      </c>
      <c r="F100" s="2">
        <v>0.6427968336296811</v>
      </c>
      <c r="G100" s="1">
        <v>-1.5135325752765192</v>
      </c>
    </row>
    <row r="101" spans="1:8" x14ac:dyDescent="0.25">
      <c r="A101" s="1">
        <v>43</v>
      </c>
      <c r="B101" s="1">
        <v>4</v>
      </c>
      <c r="C101" s="1">
        <v>2</v>
      </c>
      <c r="D101" s="1">
        <v>3</v>
      </c>
      <c r="E101" s="1">
        <v>2</v>
      </c>
      <c r="F101" s="2">
        <v>0.6427968336296811</v>
      </c>
      <c r="G101" s="1">
        <v>-0.53495547919256292</v>
      </c>
    </row>
    <row r="102" spans="1:8" x14ac:dyDescent="0.25">
      <c r="A102" s="1">
        <v>44</v>
      </c>
      <c r="B102" s="1">
        <v>2</v>
      </c>
      <c r="C102" s="1">
        <v>2</v>
      </c>
      <c r="D102" s="1">
        <v>4</v>
      </c>
      <c r="E102" s="1">
        <v>2</v>
      </c>
      <c r="F102" s="2">
        <v>0.6427968336296811</v>
      </c>
      <c r="G102" s="1">
        <v>0.60671779957205274</v>
      </c>
    </row>
    <row r="103" spans="1:8" x14ac:dyDescent="0.25">
      <c r="A103" s="1">
        <v>45</v>
      </c>
      <c r="B103" s="1">
        <v>5</v>
      </c>
      <c r="C103" s="1">
        <v>2</v>
      </c>
      <c r="D103" s="1">
        <v>1</v>
      </c>
      <c r="E103" s="1">
        <v>1</v>
      </c>
      <c r="F103" s="2">
        <v>1.0923051088951923</v>
      </c>
      <c r="G103" s="1">
        <v>0.76981398225271214</v>
      </c>
    </row>
    <row r="104" spans="1:8" x14ac:dyDescent="0.25">
      <c r="A104" s="1">
        <v>46</v>
      </c>
      <c r="B104" s="1">
        <v>2</v>
      </c>
      <c r="C104" s="1">
        <v>2</v>
      </c>
      <c r="D104" s="1">
        <v>1</v>
      </c>
      <c r="E104" s="1">
        <v>2</v>
      </c>
      <c r="F104" s="2">
        <v>-0.48097385453409697</v>
      </c>
      <c r="G104" s="1">
        <v>1.34065062163502</v>
      </c>
    </row>
    <row r="105" spans="1:8" x14ac:dyDescent="0.25">
      <c r="A105" s="1">
        <v>47</v>
      </c>
      <c r="B105" s="1">
        <v>6</v>
      </c>
      <c r="C105" s="1">
        <v>2</v>
      </c>
      <c r="D105" s="1">
        <v>5</v>
      </c>
      <c r="E105" s="1">
        <v>2</v>
      </c>
      <c r="F105" s="2">
        <v>1.5418133841607033</v>
      </c>
      <c r="G105" s="1">
        <v>-0.94269593589421141</v>
      </c>
    </row>
    <row r="106" spans="1:8" x14ac:dyDescent="0.25">
      <c r="A106" s="1">
        <v>48</v>
      </c>
      <c r="B106" s="1">
        <v>4</v>
      </c>
      <c r="C106" s="1">
        <v>2</v>
      </c>
      <c r="D106" s="1">
        <v>3</v>
      </c>
      <c r="E106" s="1">
        <v>2</v>
      </c>
      <c r="F106" s="2">
        <v>0.6427968336296811</v>
      </c>
      <c r="G106" s="1">
        <v>0.68826589091238244</v>
      </c>
    </row>
    <row r="107" spans="1:8" x14ac:dyDescent="0.25">
      <c r="A107" s="1">
        <v>49</v>
      </c>
      <c r="C107" s="1">
        <v>2</v>
      </c>
      <c r="D107" s="1">
        <v>3</v>
      </c>
      <c r="E107" s="1">
        <v>2</v>
      </c>
      <c r="F107" s="2">
        <v>-1.1552362674323637</v>
      </c>
      <c r="G107" s="1">
        <v>1.5037468043156792</v>
      </c>
    </row>
    <row r="108" spans="1:8" x14ac:dyDescent="0.25">
      <c r="A108" s="1">
        <v>50</v>
      </c>
      <c r="B108" s="1">
        <v>5</v>
      </c>
      <c r="C108" s="1">
        <v>2</v>
      </c>
      <c r="D108" s="1">
        <v>3</v>
      </c>
      <c r="E108" s="1">
        <v>2</v>
      </c>
      <c r="F108" s="2">
        <v>0.6427968336296811</v>
      </c>
      <c r="G108" s="1">
        <v>0.19897734287040425</v>
      </c>
    </row>
    <row r="111" spans="1:8" ht="75" x14ac:dyDescent="0.25">
      <c r="A111" s="1" t="s">
        <v>153</v>
      </c>
      <c r="B111" s="1" t="s">
        <v>152</v>
      </c>
      <c r="C111" s="1" t="s">
        <v>1</v>
      </c>
      <c r="D111" s="1" t="s">
        <v>9</v>
      </c>
      <c r="E111" s="1" t="s">
        <v>11</v>
      </c>
      <c r="F111" s="1" t="s">
        <v>12</v>
      </c>
      <c r="G111" s="2" t="s">
        <v>149</v>
      </c>
      <c r="H111" s="1" t="s">
        <v>10</v>
      </c>
    </row>
    <row r="112" spans="1:8" x14ac:dyDescent="0.25">
      <c r="A112" s="1">
        <v>1</v>
      </c>
      <c r="B112" s="1">
        <v>24</v>
      </c>
      <c r="C112" s="1">
        <f t="array" ref="C112">SUM(IF($B112=$A$59:$A$108,B$59:B$108))</f>
        <v>2</v>
      </c>
      <c r="D112" s="1">
        <f t="array" ref="D112">SUM(IF($B112=$A$59:$A$108,C$59:C$108))</f>
        <v>2</v>
      </c>
      <c r="E112" s="1">
        <f t="array" ref="E112">SUM(IF($B112=$A$59:$A$108,D$59:D$108))</f>
        <v>1</v>
      </c>
      <c r="F112" s="1">
        <f t="array" ref="F112">SUM(IF($B112=$A$59:$A$108,E$59:E$108))</f>
        <v>2</v>
      </c>
      <c r="G112" s="1">
        <f t="array" ref="G112">SUM(IF($B112=$A$59:$A$108,F59:F108))</f>
        <v>0.6427968336296811</v>
      </c>
      <c r="H112" s="1">
        <f t="array" ref="H112">SUM(IF($B112=$A$59:$A$108,G$59:G$108))</f>
        <v>-0.37185929651190358</v>
      </c>
    </row>
    <row r="113" spans="1:8" x14ac:dyDescent="0.25">
      <c r="A113" s="1">
        <v>2</v>
      </c>
      <c r="B113" s="1">
        <v>9</v>
      </c>
      <c r="C113" s="1">
        <f t="array" ref="C113">SUM(IF($B113=$A$59:$A$108,B$59:B$108))</f>
        <v>5</v>
      </c>
      <c r="D113" s="1">
        <f t="array" ref="D113">SUM(IF($B113=$A$59:$A$108,C$59:C$108))</f>
        <v>1</v>
      </c>
      <c r="E113" s="1">
        <f t="array" ref="E113">SUM(IF($B113=$A$59:$A$108,D$59:D$108))</f>
        <v>1</v>
      </c>
      <c r="F113" s="1">
        <f t="array" ref="F113">SUM(IF($B113=$A$59:$A$108,E$59:E$108))</f>
        <v>2</v>
      </c>
      <c r="G113" s="1">
        <f t="array" ref="G113">SUM(IF($B113=$A$59:$A$108,F60:F109))</f>
        <v>-1.1552362674323637</v>
      </c>
      <c r="H113" s="1">
        <f t="array" ref="H113">SUM(IF($B113=$A$59:$A$108,G$59:G$108))</f>
        <v>-0.86114784455388171</v>
      </c>
    </row>
    <row r="114" spans="1:8" x14ac:dyDescent="0.25">
      <c r="A114" s="1">
        <v>3</v>
      </c>
      <c r="B114" s="1">
        <v>30</v>
      </c>
      <c r="C114" s="1">
        <f t="array" ref="C114">SUM(IF($B114=$A$59:$A$108,B$59:B$108))</f>
        <v>1</v>
      </c>
      <c r="D114" s="1">
        <f t="array" ref="D114">SUM(IF($B114=$A$59:$A$108,C$59:C$108))</f>
        <v>2</v>
      </c>
      <c r="E114" s="1">
        <f t="array" ref="E114">SUM(IF($B114=$A$59:$A$108,D$59:D$108))</f>
        <v>1</v>
      </c>
      <c r="F114" s="1">
        <f t="array" ref="F114">SUM(IF($B114=$A$59:$A$108,E$59:E$108))</f>
        <v>2</v>
      </c>
      <c r="G114" s="1">
        <f t="array" ref="G114">SUM(IF($B114=$A$59:$A$108,F61:F110))</f>
        <v>-1.1552362674323637</v>
      </c>
      <c r="H114" s="1">
        <f t="array" ref="H114">SUM(IF($B114=$A$59:$A$108,G$59:G$108))</f>
        <v>0.28052543421073395</v>
      </c>
    </row>
    <row r="115" spans="1:8" x14ac:dyDescent="0.25">
      <c r="A115" s="1">
        <v>4</v>
      </c>
      <c r="B115" s="1">
        <v>11</v>
      </c>
      <c r="C115" s="1">
        <f t="array" ref="C115">SUM(IF($B115=$A$59:$A$108,B$59:B$108))</f>
        <v>5</v>
      </c>
      <c r="D115" s="1">
        <f t="array" ref="D115">SUM(IF($B115=$A$59:$A$108,C$59:C$108))</f>
        <v>1</v>
      </c>
      <c r="E115" s="1">
        <f t="array" ref="E115">SUM(IF($B115=$A$59:$A$108,D$59:D$108))</f>
        <v>1</v>
      </c>
      <c r="F115" s="1">
        <f t="array" ref="F115">SUM(IF($B115=$A$59:$A$108,E$59:E$108))</f>
        <v>2</v>
      </c>
      <c r="G115" s="1">
        <f t="array" ref="G115">SUM(IF($B115=$A$59:$A$108,F62:F111))</f>
        <v>0.6427968336296811</v>
      </c>
      <c r="H115" s="1">
        <f t="array" ref="H115">SUM(IF($B115=$A$59:$A$108,G$59:G$108))</f>
        <v>0.11742925153007457</v>
      </c>
    </row>
    <row r="117" spans="1:8" ht="30" x14ac:dyDescent="0.25">
      <c r="A117" s="1" t="s">
        <v>154</v>
      </c>
      <c r="B117" s="1" t="s">
        <v>155</v>
      </c>
      <c r="C117" s="1" t="s">
        <v>156</v>
      </c>
      <c r="D117" s="1" t="s">
        <v>157</v>
      </c>
      <c r="E117" s="1" t="s">
        <v>158</v>
      </c>
      <c r="H117" s="1">
        <f>F170</f>
        <v>-99.27031832592732</v>
      </c>
    </row>
    <row r="118" spans="1:8" x14ac:dyDescent="0.25">
      <c r="A118" s="1">
        <v>1</v>
      </c>
      <c r="B118" s="1" cm="1">
        <f t="array" ref="B118">-SUM(IF($C$112:$F$112=$B59:$E59,$I$59:$L$59))+SUMXMY2($G$112:$H$112,$F59:$G59)^0.5</f>
        <v>-0.17261813193443198</v>
      </c>
      <c r="C118" s="1" cm="1">
        <f t="array" ref="C118">-SUM(IF($C$113:$F$113=$B59:$E59,$I$59:$L$59))+SUMXMY2($G$113:$H$113,$F59:$G59)^0.5</f>
        <v>-3.8369038173193406</v>
      </c>
      <c r="D118" s="1" cm="1">
        <f t="array" ref="D118">-SUM(IF($C$114:$F$114=$B59:$E59,$I$59:$L$59))+SUMXMY2($G$114:$H$114,$F59:$G59)^0.5</f>
        <v>-1.0214229039160436</v>
      </c>
      <c r="E118" s="1" cm="1">
        <f t="array" ref="E118">-SUM(IF($C$115:$F$115=$B59:$E59,$I$59:$L$59))+SUMXMY2($G$115:$H$115,$F59:$G59)^0.5</f>
        <v>-2.0256818512104315</v>
      </c>
      <c r="F118" s="1">
        <f>MIN(B118:E118)</f>
        <v>-3.8369038173193406</v>
      </c>
      <c r="G118" s="2">
        <f>MATCH(F118,B118:E118,0)</f>
        <v>2</v>
      </c>
    </row>
    <row r="119" spans="1:8" x14ac:dyDescent="0.25">
      <c r="A119" s="1">
        <v>2</v>
      </c>
      <c r="B119" s="1" cm="1">
        <f t="array" ref="B119">-SUM(IF($C$112:$F$112=$B60:$E60,$I$59:$L$59))+SUMXMY2($G$112:$H$112,$F60:$G60)^0.5</f>
        <v>1.8054150207971007</v>
      </c>
      <c r="C119" s="1" cm="1">
        <f t="array" ref="C119">-SUM(IF($C$113:$F$113=$B60:$E60,$I$59:$L$59))+SUMXMY2($G$113:$H$113,$F60:$G60)^0.5</f>
        <v>-0.67380763463868121</v>
      </c>
      <c r="D119" s="1" cm="1">
        <f t="array" ref="D119">-SUM(IF($C$114:$F$114=$B60:$E60,$I$59:$L$59))+SUMXMY2($G$114:$H$114,$F60:$G60)^0.5</f>
        <v>0.81548091340329687</v>
      </c>
      <c r="E119" s="1" cm="1">
        <f t="array" ref="E119">-SUM(IF($C$115:$F$115=$B60:$E60,$I$59:$L$59))+SUMXMY2($G$115:$H$115,$F60:$G60)^0.5</f>
        <v>0.91272812218434263</v>
      </c>
      <c r="F119" s="1">
        <f t="shared" ref="F119:F167" si="0">MIN(B119:E119)</f>
        <v>-0.67380763463868121</v>
      </c>
      <c r="G119" s="2">
        <f>MATCH(F119,B119:E119,0)</f>
        <v>2</v>
      </c>
    </row>
    <row r="120" spans="1:8" x14ac:dyDescent="0.25">
      <c r="A120" s="1">
        <v>3</v>
      </c>
      <c r="B120" s="1" cm="1">
        <f t="array" ref="B120">-SUM(IF($C$112:$F$112=$B61:$E61,$I$59:$L$59))+SUMXMY2($G$112:$H$112,$F61:$G61)^0.5</f>
        <v>0.84368525311292264</v>
      </c>
      <c r="C120" s="1" cm="1">
        <f t="array" ref="C120">-SUM(IF($C$113:$F$113=$B61:$E61,$I$59:$L$59))+SUMXMY2($G$113:$H$113,$F61:$G61)^0.5</f>
        <v>-1.9184519086596703</v>
      </c>
      <c r="D120" s="1" cm="1">
        <f t="array" ref="D120">-SUM(IF($C$114:$F$114=$B61:$E61,$I$59:$L$59))+SUMXMY2($G$114:$H$114,$F61:$G61)^0.5</f>
        <v>6.0125187424286075E-2</v>
      </c>
      <c r="E120" s="1" cm="1">
        <f t="array" ref="E120">-SUM(IF($C$115:$F$115=$B61:$E61,$I$59:$L$59))+SUMXMY2($G$115:$H$115,$F61:$G61)^0.5</f>
        <v>9.3740487689530916E-3</v>
      </c>
      <c r="F120" s="1">
        <f t="shared" si="0"/>
        <v>-1.9184519086596703</v>
      </c>
      <c r="G120" s="2">
        <f t="shared" ref="G120:G167" si="1">MATCH(F120,B120:E120,0)</f>
        <v>2</v>
      </c>
    </row>
    <row r="121" spans="1:8" x14ac:dyDescent="0.25">
      <c r="A121" s="1">
        <v>4</v>
      </c>
      <c r="B121" s="1" cm="1">
        <f t="array" ref="B121">-SUM(IF($C$112:$F$112=$B62:$E62,$I$59:$L$59))+SUMXMY2($G$112:$H$112,$F62:$G62)^0.5</f>
        <v>4.7079911848802336E-2</v>
      </c>
      <c r="C121" s="1" cm="1">
        <f t="array" ref="C121">-SUM(IF($C$113:$F$113=$B62:$E62,$I$59:$L$59))+SUMXMY2($G$113:$H$113,$F62:$G62)^0.5</f>
        <v>-2.5107114519580218</v>
      </c>
      <c r="D121" s="1" cm="1">
        <f t="array" ref="D121">-SUM(IF($C$114:$F$114=$B62:$E62,$I$59:$L$59))+SUMXMY2($G$114:$H$114,$F62:$G62)^0.5</f>
        <v>-0.36903817319340626</v>
      </c>
      <c r="E121" s="1" cm="1">
        <f t="array" ref="E121">-SUM(IF($C$115:$F$115=$B62:$E62,$I$59:$L$59))+SUMXMY2($G$115:$H$115,$F62:$G62)^0.5</f>
        <v>-0.67888979543839056</v>
      </c>
      <c r="F121" s="1">
        <f t="shared" si="0"/>
        <v>-2.5107114519580218</v>
      </c>
      <c r="G121" s="2">
        <f t="shared" si="1"/>
        <v>2</v>
      </c>
    </row>
    <row r="122" spans="1:8" x14ac:dyDescent="0.25">
      <c r="A122" s="1">
        <v>5</v>
      </c>
      <c r="B122" s="1" cm="1">
        <f t="array" ref="B122">-SUM(IF($C$112:$F$112=$B63:$E63,$I$59:$L$59))+SUMXMY2($G$112:$H$112,$F63:$G63)^0.5</f>
        <v>-1.5504917247344889</v>
      </c>
      <c r="C122" s="1" cm="1">
        <f t="array" ref="C122">-SUM(IF($C$113:$F$113=$B63:$E63,$I$59:$L$59))+SUMXMY2($G$113:$H$113,$F63:$G63)^0.5</f>
        <v>-1.6998161983116673</v>
      </c>
      <c r="D122" s="1" cm="1">
        <f t="array" ref="D122">-SUM(IF($C$114:$F$114=$B63:$E63,$I$59:$L$59))+SUMXMY2($G$114:$H$114,$F63:$G63)^0.5</f>
        <v>0.34030939732002352</v>
      </c>
      <c r="E122" s="1" cm="1">
        <f t="array" ref="E122">-SUM(IF($C$115:$F$115=$B63:$E63,$I$59:$L$59))+SUMXMY2($G$115:$H$115,$F63:$G63)^0.5</f>
        <v>-3.3355747048936188</v>
      </c>
      <c r="F122" s="1">
        <f t="shared" si="0"/>
        <v>-3.3355747048936188</v>
      </c>
      <c r="G122" s="2">
        <f t="shared" si="1"/>
        <v>4</v>
      </c>
    </row>
    <row r="123" spans="1:8" x14ac:dyDescent="0.25">
      <c r="A123" s="1">
        <v>6</v>
      </c>
      <c r="B123" s="1" cm="1">
        <f t="array" ref="B123">-SUM(IF($C$112:$F$112=$B64:$E64,$I$59:$L$59))+SUMXMY2($G$112:$H$112,$F64:$G64)^0.5</f>
        <v>-1.7553557259790109</v>
      </c>
      <c r="C123" s="1" cm="1">
        <f t="array" ref="C123">-SUM(IF($C$113:$F$113=$B64:$E64,$I$59:$L$59))+SUMXMY2($G$113:$H$113,$F64:$G64)^0.5</f>
        <v>-1.0579442799404275</v>
      </c>
      <c r="D123" s="1" cm="1">
        <f t="array" ref="D123">-SUM(IF($C$114:$F$114=$B64:$E64,$I$59:$L$59))+SUMXMY2($G$114:$H$114,$F64:$G64)^0.5</f>
        <v>-0.15631474688707736</v>
      </c>
      <c r="E123" s="1" cm="1">
        <f t="array" ref="E123">-SUM(IF($C$115:$F$115=$B64:$E64,$I$59:$L$59))+SUMXMY2($G$115:$H$115,$F64:$G64)^0.5</f>
        <v>-2.7553557259790109</v>
      </c>
      <c r="F123" s="1">
        <f t="shared" si="0"/>
        <v>-2.7553557259790109</v>
      </c>
      <c r="G123" s="2">
        <f t="shared" si="1"/>
        <v>4</v>
      </c>
    </row>
    <row r="124" spans="1:8" x14ac:dyDescent="0.25">
      <c r="A124" s="1">
        <v>7</v>
      </c>
      <c r="B124" s="1" cm="1">
        <f t="array" ref="B124">-SUM(IF($C$112:$F$112=$B65:$E65,$I$59:$L$59))+SUMXMY2($G$112:$H$112,$F65:$G65)^0.5</f>
        <v>-1.2120392893813412</v>
      </c>
      <c r="C124" s="1" cm="1">
        <f t="array" ref="C124">-SUM(IF($C$113:$F$113=$B65:$E65,$I$59:$L$59))+SUMXMY2($G$113:$H$113,$F65:$G65)^0.5</f>
        <v>-1.8732743675688648</v>
      </c>
      <c r="D124" s="1" cm="1">
        <f t="array" ref="D124">-SUM(IF($C$114:$F$114=$B65:$E65,$I$59:$L$59))+SUMXMY2($G$114:$H$114,$F65:$G65)^0.5</f>
        <v>-0.45509677565632978</v>
      </c>
      <c r="E124" s="1" cm="1">
        <f t="array" ref="E124">-SUM(IF($C$115:$F$115=$B65:$E65,$I$59:$L$59))+SUMXMY2($G$115:$H$115,$F65:$G65)^0.5</f>
        <v>-1.8778187148242338</v>
      </c>
      <c r="F124" s="1">
        <f t="shared" si="0"/>
        <v>-1.8778187148242338</v>
      </c>
      <c r="G124" s="2">
        <f t="shared" si="1"/>
        <v>4</v>
      </c>
    </row>
    <row r="125" spans="1:8" x14ac:dyDescent="0.25">
      <c r="A125" s="1">
        <v>8</v>
      </c>
      <c r="B125" s="1" cm="1">
        <f t="array" ref="B125">-SUM(IF($C$112:$F$112=$B66:$E66,$I$59:$L$59))+SUMXMY2($G$112:$H$112,$F66:$G66)^0.5</f>
        <v>-2.5681851210431539E-2</v>
      </c>
      <c r="C125" s="1" cm="1">
        <f t="array" ref="C125">-SUM(IF($C$113:$F$113=$B66:$E66,$I$59:$L$59))+SUMXMY2($G$113:$H$113,$F66:$G66)^0.5</f>
        <v>-1.6738076346386812</v>
      </c>
      <c r="D125" s="1" cm="1">
        <f t="array" ref="D125">-SUM(IF($C$114:$F$114=$B66:$E66,$I$59:$L$59))+SUMXMY2($G$114:$H$114,$F66:$G66)^0.5</f>
        <v>0.46786564412593434</v>
      </c>
      <c r="E125" s="1" cm="1">
        <f t="array" ref="E125">-SUM(IF($C$115:$F$115=$B66:$E66,$I$59:$L$59))+SUMXMY2($G$115:$H$115,$F66:$G66)^0.5</f>
        <v>0.22156394912120092</v>
      </c>
      <c r="F125" s="1">
        <f t="shared" si="0"/>
        <v>-1.6738076346386812</v>
      </c>
      <c r="G125" s="2">
        <f t="shared" si="1"/>
        <v>2</v>
      </c>
    </row>
    <row r="126" spans="1:8" x14ac:dyDescent="0.25">
      <c r="A126" s="1">
        <v>9</v>
      </c>
      <c r="B126" s="1" cm="1">
        <f t="array" ref="B126">-SUM(IF($C$112:$F$112=$B67:$E67,$I$59:$L$59))+SUMXMY2($G$112:$H$112,$F67:$G67)^0.5</f>
        <v>-1.5107114519580218</v>
      </c>
      <c r="C126" s="1" cm="1">
        <f t="array" ref="C126">-SUM(IF($C$113:$F$113=$B67:$E67,$I$59:$L$59))+SUMXMY2($G$113:$H$113,$F67:$G67)^0.5</f>
        <v>-2.2019668989379553</v>
      </c>
      <c r="D126" s="1" cm="1">
        <f t="array" ref="D126">-SUM(IF($C$114:$F$114=$B67:$E67,$I$59:$L$59))+SUMXMY2($G$114:$H$114,$F67:$G67)^0.5</f>
        <v>0.12986875369350903</v>
      </c>
      <c r="E126" s="1" cm="1">
        <f t="array" ref="E126">-SUM(IF($C$115:$F$115=$B67:$E67,$I$59:$L$59))+SUMXMY2($G$115:$H$115,$F67:$G67)^0.5</f>
        <v>-3.0214229039160436</v>
      </c>
      <c r="F126" s="1">
        <f t="shared" si="0"/>
        <v>-3.0214229039160436</v>
      </c>
      <c r="G126" s="2">
        <f t="shared" si="1"/>
        <v>4</v>
      </c>
    </row>
    <row r="127" spans="1:8" x14ac:dyDescent="0.25">
      <c r="A127" s="1">
        <v>10</v>
      </c>
      <c r="B127" s="1" cm="1">
        <f t="array" ref="B127">-SUM(IF($C$112:$F$112=$B68:$E68,$I$59:$L$59))+SUMXMY2($G$112:$H$112,$F68:$G68)^0.5</f>
        <v>0.82738186806556802</v>
      </c>
      <c r="C127" s="1" cm="1">
        <f t="array" ref="C127">-SUM(IF($C$113:$F$113=$B68:$E68,$I$59:$L$59))+SUMXMY2($G$113:$H$113,$F68:$G68)^0.5</f>
        <v>-1.8369038173193406</v>
      </c>
      <c r="D127" s="1" cm="1">
        <f t="array" ref="D127">-SUM(IF($C$114:$F$114=$B68:$E68,$I$59:$L$59))+SUMXMY2($G$114:$H$114,$F68:$G68)^0.5</f>
        <v>-2.1422903916043734E-2</v>
      </c>
      <c r="E127" s="1" cm="1">
        <f t="array" ref="E127">-SUM(IF($C$115:$F$115=$B68:$E68,$I$59:$L$59))+SUMXMY2($G$115:$H$115,$F68:$G68)^0.5</f>
        <v>-2.5681851210431539E-2</v>
      </c>
      <c r="F127" s="1">
        <f t="shared" si="0"/>
        <v>-1.8369038173193406</v>
      </c>
      <c r="G127" s="2">
        <f t="shared" si="1"/>
        <v>2</v>
      </c>
    </row>
    <row r="128" spans="1:8" x14ac:dyDescent="0.25">
      <c r="A128" s="1">
        <v>11</v>
      </c>
      <c r="B128" s="1" cm="1">
        <f t="array" ref="B128">-SUM(IF($C$112:$F$112=$B69:$E69,$I$59:$L$59))+SUMXMY2($G$112:$H$112,$F69:$G69)^0.5</f>
        <v>-1.3355747048936188</v>
      </c>
      <c r="C128" s="1" cm="1">
        <f t="array" ref="C128">-SUM(IF($C$113:$F$113=$B69:$E69,$I$59:$L$59))+SUMXMY2($G$113:$H$113,$F69:$G69)^0.5</f>
        <v>-1.5486625341898614</v>
      </c>
      <c r="D128" s="1" cm="1">
        <f t="array" ref="D128">-SUM(IF($C$114:$F$114=$B69:$E69,$I$59:$L$59))+SUMXMY2($G$114:$H$114,$F69:$G69)^0.5</f>
        <v>0.25345126486227043</v>
      </c>
      <c r="E128" s="1" cm="1">
        <f t="array" ref="E128">-SUM(IF($C$115:$F$115=$B69:$E69,$I$59:$L$59))+SUMXMY2($G$115:$H$115,$F69:$G69)^0.5</f>
        <v>-3.5504917247344889</v>
      </c>
      <c r="F128" s="1">
        <f t="shared" si="0"/>
        <v>-3.5504917247344889</v>
      </c>
      <c r="G128" s="2">
        <f t="shared" si="1"/>
        <v>4</v>
      </c>
    </row>
    <row r="129" spans="1:7" x14ac:dyDescent="0.25">
      <c r="A129" s="1">
        <v>12</v>
      </c>
      <c r="B129" s="1" cm="1">
        <f t="array" ref="B129">-SUM(IF($C$112:$F$112=$B70:$E70,$I$59:$L$59))+SUMXMY2($G$112:$H$112,$F70:$G70)^0.5</f>
        <v>-1.1029709952563733</v>
      </c>
      <c r="C129" s="1" cm="1">
        <f t="array" ref="C129">-SUM(IF($C$113:$F$113=$B70:$E70,$I$59:$L$59))+SUMXMY2($G$113:$H$113,$F70:$G70)^0.5</f>
        <v>-0.72958167077600855</v>
      </c>
      <c r="D129" s="1" cm="1">
        <f t="array" ref="D129">-SUM(IF($C$114:$F$114=$B70:$E70,$I$59:$L$59))+SUMXMY2($G$114:$H$114,$F70:$G70)^0.5</f>
        <v>-1.1853998089589957</v>
      </c>
      <c r="E129" s="1" cm="1">
        <f t="array" ref="E129">-SUM(IF($C$115:$F$115=$B70:$E70,$I$59:$L$59))+SUMXMY2($G$115:$H$115,$F70:$G70)^0.5</f>
        <v>-2.5922595432983515</v>
      </c>
      <c r="F129" s="1">
        <f t="shared" si="0"/>
        <v>-2.5922595432983515</v>
      </c>
      <c r="G129" s="2">
        <f t="shared" si="1"/>
        <v>4</v>
      </c>
    </row>
    <row r="130" spans="1:7" x14ac:dyDescent="0.25">
      <c r="A130" s="1">
        <v>13</v>
      </c>
      <c r="B130" s="1" cm="1">
        <f t="array" ref="B130">-SUM(IF($C$112:$F$112=$B71:$E71,$I$59:$L$59))+SUMXMY2($G$112:$H$112,$F71:$G71)^0.5</f>
        <v>-0.93506562315324571</v>
      </c>
      <c r="C130" s="1" cm="1">
        <f t="array" ref="C130">-SUM(IF($C$113:$F$113=$B71:$E71,$I$59:$L$59))+SUMXMY2($G$113:$H$113,$F71:$G71)^0.5</f>
        <v>-0.10207967049305111</v>
      </c>
      <c r="D130" s="1" cm="1">
        <f t="array" ref="D130">-SUM(IF($C$114:$F$114=$B71:$E71,$I$59:$L$59))+SUMXMY2($G$114:$H$114,$F71:$G71)^0.5</f>
        <v>-0.30171778452298748</v>
      </c>
      <c r="E130" s="1" cm="1">
        <f t="array" ref="E130">-SUM(IF($C$115:$F$115=$B71:$E71,$I$59:$L$59))+SUMXMY2($G$115:$H$115,$F71:$G71)^0.5</f>
        <v>-2.0972924896014495</v>
      </c>
      <c r="F130" s="1">
        <f t="shared" si="0"/>
        <v>-2.0972924896014495</v>
      </c>
      <c r="G130" s="2">
        <f t="shared" si="1"/>
        <v>4</v>
      </c>
    </row>
    <row r="131" spans="1:7" x14ac:dyDescent="0.25">
      <c r="A131" s="1">
        <v>14</v>
      </c>
      <c r="B131" s="1" cm="1">
        <f t="array" ref="B131">-SUM(IF($C$112:$F$112=$B72:$E72,$I$59:$L$59))+SUMXMY2($G$112:$H$112,$F72:$G72)^0.5</f>
        <v>-1.7553557259790109</v>
      </c>
      <c r="C131" s="1" cm="1">
        <f t="array" ref="C131">-SUM(IF($C$113:$F$113=$B72:$E72,$I$59:$L$59))+SUMXMY2($G$113:$H$113,$F72:$G72)^0.5</f>
        <v>-5.7944279940427501E-2</v>
      </c>
      <c r="D131" s="1" cm="1">
        <f t="array" ref="D131">-SUM(IF($C$114:$F$114=$B72:$E72,$I$59:$L$59))+SUMXMY2($G$114:$H$114,$F72:$G72)^0.5</f>
        <v>0.84368525311292264</v>
      </c>
      <c r="E131" s="1" cm="1">
        <f t="array" ref="E131">-SUM(IF($C$115:$F$115=$B72:$E72,$I$59:$L$59))+SUMXMY2($G$115:$H$115,$F72:$G72)^0.5</f>
        <v>-1.7553557259790109</v>
      </c>
      <c r="F131" s="1">
        <f t="shared" si="0"/>
        <v>-1.7553557259790109</v>
      </c>
      <c r="G131" s="2">
        <f t="shared" si="1"/>
        <v>1</v>
      </c>
    </row>
    <row r="132" spans="1:7" x14ac:dyDescent="0.25">
      <c r="A132" s="1">
        <v>15</v>
      </c>
      <c r="B132" s="1" cm="1">
        <f t="array" ref="B132">-SUM(IF($C$112:$F$112=$B73:$E73,$I$59:$L$59))+SUMXMY2($G$112:$H$112,$F73:$G73)^0.5</f>
        <v>-0.39311453340564873</v>
      </c>
      <c r="C132" s="1" cm="1">
        <f t="array" ref="C132">-SUM(IF($C$113:$F$113=$B73:$E73,$I$59:$L$59))+SUMXMY2($G$113:$H$113,$F73:$G73)^0.5</f>
        <v>0.41993869212748969</v>
      </c>
      <c r="D132" s="1" cm="1">
        <f t="array" ref="D132">-SUM(IF($C$114:$F$114=$B73:$E73,$I$59:$L$59))+SUMXMY2($G$114:$H$114,$F73:$G73)^0.5</f>
        <v>1.2608169008381949</v>
      </c>
      <c r="E132" s="1" cm="1">
        <f t="array" ref="E132">-SUM(IF($C$115:$F$115=$B73:$E73,$I$59:$L$59))+SUMXMY2($G$115:$H$115,$F73:$G73)^0.5</f>
        <v>-1.5431545329836081</v>
      </c>
      <c r="F132" s="1">
        <f t="shared" si="0"/>
        <v>-1.5431545329836081</v>
      </c>
      <c r="G132" s="2">
        <f t="shared" si="1"/>
        <v>4</v>
      </c>
    </row>
    <row r="133" spans="1:7" x14ac:dyDescent="0.25">
      <c r="A133" s="1">
        <v>16</v>
      </c>
      <c r="B133" s="1" cm="1">
        <f t="array" ref="B133">-SUM(IF($C$112:$F$112=$B74:$E74,$I$59:$L$59))+SUMXMY2($G$112:$H$112,$F74:$G74)^0.5</f>
        <v>0.71831382170942737</v>
      </c>
      <c r="C133" s="1" cm="1">
        <f t="array" ref="C133">-SUM(IF($C$113:$F$113=$B74:$E74,$I$59:$L$59))+SUMXMY2($G$113:$H$113,$F74:$G74)^0.5</f>
        <v>-0.4720091684497798</v>
      </c>
      <c r="D133" s="1" cm="1">
        <f t="array" ref="D133">-SUM(IF($C$114:$F$114=$B74:$E74,$I$59:$L$59))+SUMXMY2($G$114:$H$114,$F74:$G74)^0.5</f>
        <v>-1.6136824472143954</v>
      </c>
      <c r="E133" s="1" cm="1">
        <f t="array" ref="E133">-SUM(IF($C$115:$F$115=$B74:$E74,$I$59:$L$59))+SUMXMY2($G$115:$H$115,$F74:$G74)^0.5</f>
        <v>-0.62647815342552304</v>
      </c>
      <c r="F133" s="1">
        <f t="shared" si="0"/>
        <v>-1.6136824472143954</v>
      </c>
      <c r="G133" s="2">
        <f t="shared" si="1"/>
        <v>3</v>
      </c>
    </row>
    <row r="134" spans="1:7" x14ac:dyDescent="0.25">
      <c r="A134" s="1">
        <v>17</v>
      </c>
      <c r="B134" s="1" cm="1">
        <f t="array" ref="B134">-SUM(IF($C$112:$F$112=$B75:$E75,$I$59:$L$59))+SUMXMY2($G$112:$H$112,$F75:$G75)^0.5</f>
        <v>-2.5681851210431539E-2</v>
      </c>
      <c r="C134" s="1" cm="1">
        <f t="array" ref="C134">-SUM(IF($C$113:$F$113=$B75:$E75,$I$59:$L$59))+SUMXMY2($G$113:$H$113,$F75:$G75)^0.5</f>
        <v>-3.6738076346386812</v>
      </c>
      <c r="D134" s="1" cm="1">
        <f t="array" ref="D134">-SUM(IF($C$114:$F$114=$B75:$E75,$I$59:$L$59))+SUMXMY2($G$114:$H$114,$F75:$G75)^0.5</f>
        <v>-0.53213435587406566</v>
      </c>
      <c r="E134" s="1" cm="1">
        <f t="array" ref="E134">-SUM(IF($C$115:$F$115=$B75:$E75,$I$59:$L$59))+SUMXMY2($G$115:$H$115,$F75:$G75)^0.5</f>
        <v>-1.7784360508787991</v>
      </c>
      <c r="F134" s="1">
        <f t="shared" si="0"/>
        <v>-3.6738076346386812</v>
      </c>
      <c r="G134" s="2">
        <f t="shared" si="1"/>
        <v>2</v>
      </c>
    </row>
    <row r="135" spans="1:7" x14ac:dyDescent="0.25">
      <c r="A135" s="1">
        <v>18</v>
      </c>
      <c r="B135" s="1" cm="1">
        <f t="array" ref="B135">-SUM(IF($C$112:$F$112=$B76:$E76,$I$59:$L$59))+SUMXMY2($G$112:$H$112,$F76:$G76)^0.5</f>
        <v>0.14167327876461577</v>
      </c>
      <c r="C135" s="1" cm="1">
        <f t="array" ref="C135">-SUM(IF($C$113:$F$113=$B76:$E76,$I$59:$L$59))+SUMXMY2($G$113:$H$113,$F76:$G76)^0.5</f>
        <v>-0.5724581336225949</v>
      </c>
      <c r="D135" s="1" cm="1">
        <f t="array" ref="D135">-SUM(IF($C$114:$F$114=$B76:$E76,$I$59:$L$59))+SUMXMY2($G$114:$H$114,$F76:$G76)^0.5</f>
        <v>0.86341791226762132</v>
      </c>
      <c r="E135" s="1" cm="1">
        <f t="array" ref="E135">-SUM(IF($C$115:$F$115=$B76:$E76,$I$59:$L$59))+SUMXMY2($G$115:$H$115,$F76:$G76)^0.5</f>
        <v>-2.3476152692773624</v>
      </c>
      <c r="F135" s="1">
        <f t="shared" si="0"/>
        <v>-2.3476152692773624</v>
      </c>
      <c r="G135" s="2">
        <f t="shared" si="1"/>
        <v>4</v>
      </c>
    </row>
    <row r="136" spans="1:7" x14ac:dyDescent="0.25">
      <c r="A136" s="1">
        <v>19</v>
      </c>
      <c r="B136" s="1" cm="1">
        <f t="array" ref="B136">-SUM(IF($C$112:$F$112=$B77:$E77,$I$59:$L$59))+SUMXMY2($G$112:$H$112,$F77:$G77)^0.5</f>
        <v>-0.75535572597901091</v>
      </c>
      <c r="C136" s="1" cm="1">
        <f t="array" ref="C136">-SUM(IF($C$113:$F$113=$B77:$E77,$I$59:$L$59))+SUMXMY2($G$113:$H$113,$F77:$G77)^0.5</f>
        <v>-0.18539980895899566</v>
      </c>
      <c r="D136" s="1" cm="1">
        <f t="array" ref="D136">-SUM(IF($C$114:$F$114=$B77:$E77,$I$59:$L$59))+SUMXMY2($G$114:$H$114,$F77:$G77)^0.5</f>
        <v>1.0093740487689531</v>
      </c>
      <c r="E136" s="1" cm="1">
        <f t="array" ref="E136">-SUM(IF($C$115:$F$115=$B77:$E77,$I$59:$L$59))+SUMXMY2($G$115:$H$115,$F77:$G77)^0.5</f>
        <v>-1.2660671779370327</v>
      </c>
      <c r="F136" s="1">
        <f t="shared" si="0"/>
        <v>-1.2660671779370327</v>
      </c>
      <c r="G136" s="2">
        <f t="shared" si="1"/>
        <v>4</v>
      </c>
    </row>
    <row r="137" spans="1:7" x14ac:dyDescent="0.25">
      <c r="A137" s="1">
        <v>20</v>
      </c>
      <c r="B137" s="1" cm="1">
        <f t="array" ref="B137">-SUM(IF($C$112:$F$112=$B78:$E78,$I$59:$L$59))+SUMXMY2($G$112:$H$112,$F78:$G78)^0.5</f>
        <v>-0.99664626133974266</v>
      </c>
      <c r="C137" s="1" cm="1">
        <f t="array" ref="C137">-SUM(IF($C$113:$F$113=$B78:$E78,$I$59:$L$59))+SUMXMY2($G$113:$H$113,$F78:$G78)^0.5</f>
        <v>-1.359295814471861</v>
      </c>
      <c r="D137" s="1" cm="1">
        <f t="array" ref="D137">-SUM(IF($C$114:$F$114=$B78:$E78,$I$59:$L$59))+SUMXMY2($G$114:$H$114,$F78:$G78)^0.5</f>
        <v>0.26081690083819487</v>
      </c>
      <c r="E137" s="1" cm="1">
        <f t="array" ref="E137">-SUM(IF($C$115:$F$115=$B78:$E78,$I$59:$L$59))+SUMXMY2($G$115:$H$115,$F78:$G78)^0.5</f>
        <v>-3.3931145334056487</v>
      </c>
      <c r="F137" s="1">
        <f t="shared" si="0"/>
        <v>-3.3931145334056487</v>
      </c>
      <c r="G137" s="2">
        <f t="shared" si="1"/>
        <v>4</v>
      </c>
    </row>
    <row r="138" spans="1:7" x14ac:dyDescent="0.25">
      <c r="A138" s="1">
        <v>21</v>
      </c>
      <c r="B138" s="1" cm="1">
        <f t="array" ref="B138">-SUM(IF($C$112:$F$112=$B79:$E79,$I$59:$L$59))+SUMXMY2($G$112:$H$112,$F79:$G79)^0.5</f>
        <v>3.0361167819503376</v>
      </c>
      <c r="C138" s="1" cm="1">
        <f t="array" ref="C138">-SUM(IF($C$113:$F$113=$B79:$E79,$I$59:$L$59))+SUMXMY2($G$113:$H$113,$F79:$G79)^0.5</f>
        <v>1.9357312882518691</v>
      </c>
      <c r="D138" s="1" cm="1">
        <f t="array" ref="D138">-SUM(IF($C$114:$F$114=$B79:$E79,$I$59:$L$59))+SUMXMY2($G$114:$H$114,$F79:$G79)^0.5</f>
        <v>1.7940580094872534</v>
      </c>
      <c r="E138" s="1" cm="1">
        <f t="array" ref="E138">-SUM(IF($C$115:$F$115=$B79:$E79,$I$59:$L$59))+SUMXMY2($G$115:$H$115,$F79:$G79)^0.5</f>
        <v>1.6577011804255246</v>
      </c>
      <c r="F138" s="1">
        <f t="shared" si="0"/>
        <v>1.6577011804255246</v>
      </c>
      <c r="G138" s="2">
        <f t="shared" si="1"/>
        <v>4</v>
      </c>
    </row>
    <row r="139" spans="1:7" x14ac:dyDescent="0.25">
      <c r="A139" s="1">
        <v>22</v>
      </c>
      <c r="B139" s="1" cm="1">
        <f t="array" ref="B139">-SUM(IF($C$112:$F$112=$B80:$E80,$I$59:$L$59))+SUMXMY2($G$112:$H$112,$F80:$G80)^0.5</f>
        <v>1.1883782791802877</v>
      </c>
      <c r="C139" s="1" cm="1">
        <f t="array" ref="C139">-SUM(IF($C$113:$F$113=$B80:$E80,$I$59:$L$59))+SUMXMY2($G$113:$H$113,$F80:$G80)^0.5</f>
        <v>0.84864547947445446</v>
      </c>
      <c r="D139" s="1" cm="1">
        <f t="array" ref="D139">-SUM(IF($C$114:$F$114=$B80:$E80,$I$59:$L$59))+SUMXMY2($G$114:$H$114,$F80:$G80)^0.5</f>
        <v>0.17015469866001176</v>
      </c>
      <c r="E139" s="1" cm="1">
        <f t="array" ref="E139">-SUM(IF($C$115:$F$115=$B80:$E80,$I$59:$L$59))+SUMXMY2($G$115:$H$115,$F80:$G80)^0.5</f>
        <v>-0.16691351907954954</v>
      </c>
      <c r="F139" s="1">
        <f t="shared" si="0"/>
        <v>-0.16691351907954954</v>
      </c>
      <c r="G139" s="2">
        <f t="shared" si="1"/>
        <v>4</v>
      </c>
    </row>
    <row r="140" spans="1:7" x14ac:dyDescent="0.25">
      <c r="A140" s="1">
        <v>23</v>
      </c>
      <c r="B140" s="1" cm="1">
        <f t="array" ref="B140">-SUM(IF($C$112:$F$112=$B81:$E81,$I$59:$L$59))+SUMXMY2($G$112:$H$112,$F81:$G81)^0.5</f>
        <v>0.5982342615661973</v>
      </c>
      <c r="C140" s="1" cm="1">
        <f t="array" ref="C140">-SUM(IF($C$113:$F$113=$B81:$E81,$I$59:$L$59))+SUMXMY2($G$113:$H$113,$F81:$G81)^0.5</f>
        <v>-1.6351053511304392</v>
      </c>
      <c r="D140" s="1" cm="1">
        <f t="array" ref="D140">-SUM(IF($C$114:$F$114=$B81:$E81,$I$59:$L$59))+SUMXMY2($G$114:$H$114,$F81:$G81)^0.5</f>
        <v>-0.77677862989505475</v>
      </c>
      <c r="E140" s="1" cm="1">
        <f t="array" ref="E140">-SUM(IF($C$115:$F$115=$B81:$E81,$I$59:$L$59))+SUMXMY2($G$115:$H$115,$F81:$G81)^0.5</f>
        <v>-1.7295816707760086</v>
      </c>
      <c r="F140" s="1">
        <f t="shared" si="0"/>
        <v>-1.7295816707760086</v>
      </c>
      <c r="G140" s="2">
        <f t="shared" si="1"/>
        <v>4</v>
      </c>
    </row>
    <row r="141" spans="1:7" x14ac:dyDescent="0.25">
      <c r="A141" s="1">
        <v>24</v>
      </c>
      <c r="B141" s="1" cm="1">
        <f t="array" ref="B141">-SUM(IF($C$112:$F$112=$B82:$E82,$I$59:$L$59))+SUMXMY2($G$112:$H$112,$F82:$G82)^0.5</f>
        <v>-4</v>
      </c>
      <c r="C141" s="1" cm="1">
        <f t="array" ref="C141">-SUM(IF($C$113:$F$113=$B82:$E82,$I$59:$L$59))+SUMXMY2($G$113:$H$113,$F82:$G82)^0.5</f>
        <v>-0.13658208773237868</v>
      </c>
      <c r="D141" s="1" cm="1">
        <f t="array" ref="D141">-SUM(IF($C$114:$F$114=$B82:$E82,$I$59:$L$59))+SUMXMY2($G$114:$H$114,$F82:$G82)^0.5</f>
        <v>-1.0872718778156574</v>
      </c>
      <c r="E141" s="1" cm="1">
        <f t="array" ref="E141">-SUM(IF($C$115:$F$115=$B82:$E82,$I$59:$L$59))+SUMXMY2($G$115:$H$115,$F82:$G82)^0.5</f>
        <v>-1.5107114519580218</v>
      </c>
      <c r="F141" s="1">
        <f t="shared" si="0"/>
        <v>-4</v>
      </c>
      <c r="G141" s="2">
        <f t="shared" si="1"/>
        <v>1</v>
      </c>
    </row>
    <row r="142" spans="1:7" x14ac:dyDescent="0.25">
      <c r="A142" s="1">
        <v>25</v>
      </c>
      <c r="B142" s="1" cm="1">
        <f t="array" ref="B142">-SUM(IF($C$112:$F$112=$B83:$E83,$I$59:$L$59))+SUMXMY2($G$112:$H$112,$F83:$G83)^0.5</f>
        <v>-0.60325366593328322</v>
      </c>
      <c r="C142" s="1" cm="1">
        <f t="array" ref="C142">-SUM(IF($C$113:$F$113=$B83:$E83,$I$59:$L$59))+SUMXMY2($G$113:$H$113,$F83:$G83)^0.5</f>
        <v>1.0483043668673053</v>
      </c>
      <c r="D142" s="1" cm="1">
        <f t="array" ref="D142">-SUM(IF($C$114:$F$114=$B83:$E83,$I$59:$L$59))+SUMXMY2($G$114:$H$114,$F83:$G83)^0.5</f>
        <v>-1.7395576060615154</v>
      </c>
      <c r="E142" s="1" cm="1">
        <f t="array" ref="E142">-SUM(IF($C$115:$F$115=$B83:$E83,$I$59:$L$59))+SUMXMY2($G$115:$H$115,$F83:$G83)^0.5</f>
        <v>-3.3620573404281595E-3</v>
      </c>
      <c r="F142" s="1">
        <f t="shared" si="0"/>
        <v>-1.7395576060615154</v>
      </c>
      <c r="G142" s="2">
        <f t="shared" si="1"/>
        <v>3</v>
      </c>
    </row>
    <row r="143" spans="1:7" x14ac:dyDescent="0.25">
      <c r="A143" s="1">
        <v>26</v>
      </c>
      <c r="B143" s="1" cm="1">
        <f t="array" ref="B143">-SUM(IF($C$112:$F$112=$B84:$E84,$I$59:$L$59))+SUMXMY2($G$112:$H$112,$F84:$G84)^0.5</f>
        <v>-1.0256818512104315</v>
      </c>
      <c r="C143" s="1" cm="1">
        <f t="array" ref="C143">-SUM(IF($C$113:$F$113=$B84:$E84,$I$59:$L$59))+SUMXMY2($G$113:$H$113,$F84:$G84)^0.5</f>
        <v>-1.6738076346386812</v>
      </c>
      <c r="D143" s="1" cm="1">
        <f t="array" ref="D143">-SUM(IF($C$114:$F$114=$B84:$E84,$I$59:$L$59))+SUMXMY2($G$114:$H$114,$F84:$G84)^0.5</f>
        <v>-1.5321343558740657</v>
      </c>
      <c r="E143" s="1" cm="1">
        <f t="array" ref="E143">-SUM(IF($C$115:$F$115=$B84:$E84,$I$59:$L$59))+SUMXMY2($G$115:$H$115,$F84:$G84)^0.5</f>
        <v>0.22156394912120092</v>
      </c>
      <c r="F143" s="1">
        <f t="shared" si="0"/>
        <v>-1.6738076346386812</v>
      </c>
      <c r="G143" s="2">
        <f t="shared" si="1"/>
        <v>2</v>
      </c>
    </row>
    <row r="144" spans="1:7" x14ac:dyDescent="0.25">
      <c r="A144" s="1">
        <v>27</v>
      </c>
      <c r="B144" s="1" cm="1">
        <f t="array" ref="B144">-SUM(IF($C$112:$F$112=$B85:$E85,$I$59:$L$59))+SUMXMY2($G$112:$H$112,$F85:$G85)^0.5</f>
        <v>-0.95292008815119722</v>
      </c>
      <c r="C144" s="1" cm="1">
        <f t="array" ref="C144">-SUM(IF($C$113:$F$113=$B85:$E85,$I$59:$L$59))+SUMXMY2($G$113:$H$113,$F85:$G85)^0.5</f>
        <v>-1.5321343558740654</v>
      </c>
      <c r="D144" s="1" cm="1">
        <f t="array" ref="D144">-SUM(IF($C$114:$F$114=$B85:$E85,$I$59:$L$59))+SUMXMY2($G$114:$H$114,$F85:$G85)^0.5</f>
        <v>-2.6738076346386812</v>
      </c>
      <c r="E144" s="1" cm="1">
        <f t="array" ref="E144">-SUM(IF($C$115:$F$115=$B85:$E85,$I$59:$L$59))+SUMXMY2($G$115:$H$115,$F85:$G85)^0.5</f>
        <v>-1.1365820877323787</v>
      </c>
      <c r="F144" s="1">
        <f t="shared" si="0"/>
        <v>-2.6738076346386812</v>
      </c>
      <c r="G144" s="2">
        <f t="shared" si="1"/>
        <v>3</v>
      </c>
    </row>
    <row r="145" spans="1:7" x14ac:dyDescent="0.25">
      <c r="A145" s="1">
        <v>28</v>
      </c>
      <c r="B145" s="1" cm="1">
        <f t="array" ref="B145">-SUM(IF($C$112:$F$112=$B86:$E86,$I$59:$L$59))+SUMXMY2($G$112:$H$112,$F86:$G86)^0.5</f>
        <v>-0.13658208773237868</v>
      </c>
      <c r="C145" s="1" cm="1">
        <f t="array" ref="C145">-SUM(IF($C$113:$F$113=$B86:$E86,$I$59:$L$59))+SUMXMY2($G$113:$H$113,$F86:$G86)^0.5</f>
        <v>-2</v>
      </c>
      <c r="D145" s="1" cm="1">
        <f t="array" ref="D145">-SUM(IF($C$114:$F$114=$B86:$E86,$I$59:$L$59))+SUMXMY2($G$114:$H$114,$F86:$G86)^0.5</f>
        <v>-0.85832672123538423</v>
      </c>
      <c r="E145" s="1" cm="1">
        <f t="array" ref="E145">-SUM(IF($C$115:$F$115=$B86:$E86,$I$59:$L$59))+SUMXMY2($G$115:$H$115,$F86:$G86)^0.5</f>
        <v>4.7079911848802336E-2</v>
      </c>
      <c r="F145" s="1">
        <f t="shared" si="0"/>
        <v>-2</v>
      </c>
      <c r="G145" s="2">
        <f t="shared" si="1"/>
        <v>2</v>
      </c>
    </row>
    <row r="146" spans="1:7" x14ac:dyDescent="0.25">
      <c r="A146" s="1">
        <v>29</v>
      </c>
      <c r="B146" s="1" cm="1">
        <f t="array" ref="B146">-SUM(IF($C$112:$F$112=$B87:$E87,$I$59:$L$59))+SUMXMY2($G$112:$H$112,$F87:$G87)^0.5</f>
        <v>-1.0436359389078289</v>
      </c>
      <c r="C146" s="1" cm="1">
        <f t="array" ref="C146">-SUM(IF($C$113:$F$113=$B87:$E87,$I$59:$L$59))+SUMXMY2($G$113:$H$113,$F87:$G87)^0.5</f>
        <v>1.8176383627576058</v>
      </c>
      <c r="D146" s="1" cm="1">
        <f t="array" ref="D146">-SUM(IF($C$114:$F$114=$B87:$E87,$I$59:$L$59))+SUMXMY2($G$114:$H$114,$F87:$G87)^0.5</f>
        <v>-0.28329643089675738</v>
      </c>
      <c r="E146" s="1" cm="1">
        <f t="array" ref="E146">-SUM(IF($C$115:$F$115=$B87:$E87,$I$59:$L$59))+SUMXMY2($G$115:$H$115,$F87:$G87)^0.5</f>
        <v>-8.6309065967216103E-2</v>
      </c>
      <c r="F146" s="1">
        <f t="shared" si="0"/>
        <v>-1.0436359389078289</v>
      </c>
      <c r="G146" s="2">
        <f t="shared" si="1"/>
        <v>1</v>
      </c>
    </row>
    <row r="147" spans="1:7" x14ac:dyDescent="0.25">
      <c r="A147" s="1">
        <v>30</v>
      </c>
      <c r="B147" s="1" cm="1">
        <f t="array" ref="B147">-SUM(IF($C$112:$F$112=$B88:$E88,$I$59:$L$59))+SUMXMY2($G$112:$H$112,$F88:$G88)^0.5</f>
        <v>-1.8892180254393995</v>
      </c>
      <c r="C147" s="1" cm="1">
        <f t="array" ref="C147">-SUM(IF($C$113:$F$113=$B88:$E88,$I$59:$L$59))+SUMXMY2($G$113:$H$113,$F88:$G88)^0.5</f>
        <v>0.92873602405601474</v>
      </c>
      <c r="D147" s="1" cm="1">
        <f t="array" ref="D147">-SUM(IF($C$114:$F$114=$B88:$E88,$I$59:$L$59))+SUMXMY2($G$114:$H$114,$F88:$G88)^0.5</f>
        <v>-1.3029503484069327</v>
      </c>
      <c r="E147" s="1" cm="1">
        <f t="array" ref="E147">-SUM(IF($C$115:$F$115=$B88:$E88,$I$59:$L$59))+SUMXMY2($G$115:$H$115,$F88:$G88)^0.5</f>
        <v>-1.0863090659672161</v>
      </c>
      <c r="F147" s="1">
        <f t="shared" si="0"/>
        <v>-1.8892180254393995</v>
      </c>
      <c r="G147" s="2">
        <f t="shared" si="1"/>
        <v>1</v>
      </c>
    </row>
    <row r="148" spans="1:7" x14ac:dyDescent="0.25">
      <c r="A148" s="1">
        <v>31</v>
      </c>
      <c r="B148" s="1" cm="1">
        <f t="array" ref="B148">-SUM(IF($C$112:$F$112=$B89:$E89,$I$59:$L$59))+SUMXMY2($G$112:$H$112,$F89:$G89)^0.5</f>
        <v>-0.7743312670949305</v>
      </c>
      <c r="C148" s="1" cm="1">
        <f t="array" ref="C148">-SUM(IF($C$113:$F$113=$B89:$E89,$I$59:$L$59))+SUMXMY2($G$113:$H$113,$F89:$G89)^0.5</f>
        <v>0.18837827918028749</v>
      </c>
      <c r="D148" s="1" cm="1">
        <f t="array" ref="D148">-SUM(IF($C$114:$F$114=$B89:$E89,$I$59:$L$59))+SUMXMY2($G$114:$H$114,$F89:$G89)^0.5</f>
        <v>-2.3062924490447032</v>
      </c>
      <c r="E148" s="1" cm="1">
        <f t="array" ref="E148">-SUM(IF($C$115:$F$115=$B89:$E89,$I$59:$L$59))+SUMXMY2($G$115:$H$115,$F89:$G89)^0.5</f>
        <v>0.12377068816377812</v>
      </c>
      <c r="F148" s="1">
        <f t="shared" si="0"/>
        <v>-2.3062924490447032</v>
      </c>
      <c r="G148" s="2">
        <f t="shared" si="1"/>
        <v>3</v>
      </c>
    </row>
    <row r="149" spans="1:7" x14ac:dyDescent="0.25">
      <c r="A149" s="1">
        <v>32</v>
      </c>
      <c r="B149" s="1" cm="1">
        <f t="array" ref="B149">-SUM(IF($C$112:$F$112=$B90:$E90,$I$59:$L$59))+SUMXMY2($G$112:$H$112,$F90:$G90)^0.5</f>
        <v>-0.17261813193443198</v>
      </c>
      <c r="C149" s="1" cm="1">
        <f t="array" ref="C149">-SUM(IF($C$113:$F$113=$B90:$E90,$I$59:$L$59))+SUMXMY2($G$113:$H$113,$F90:$G90)^0.5</f>
        <v>-1.184519086596703</v>
      </c>
      <c r="D149" s="1" cm="1">
        <f t="array" ref="D149">-SUM(IF($C$114:$F$114=$B90:$E90,$I$59:$L$59))+SUMXMY2($G$114:$H$114,$F90:$G90)^0.5</f>
        <v>-1.6738076346386812</v>
      </c>
      <c r="E149" s="1" cm="1">
        <f t="array" ref="E149">-SUM(IF($C$115:$F$115=$B90:$E90,$I$59:$L$59))+SUMXMY2($G$115:$H$115,$F90:$G90)^0.5</f>
        <v>-0.1945849792028993</v>
      </c>
      <c r="F149" s="1">
        <f t="shared" si="0"/>
        <v>-1.6738076346386812</v>
      </c>
      <c r="G149" s="2">
        <f t="shared" si="1"/>
        <v>3</v>
      </c>
    </row>
    <row r="150" spans="1:7" x14ac:dyDescent="0.25">
      <c r="A150" s="1">
        <v>33</v>
      </c>
      <c r="B150" s="1" cm="1">
        <f t="array" ref="B150">-SUM(IF($C$112:$F$112=$B91:$E91,$I$59:$L$59))+SUMXMY2($G$112:$H$112,$F91:$G91)^0.5</f>
        <v>-2.7743312670949303</v>
      </c>
      <c r="C150" s="1" cm="1">
        <f t="array" ref="C150">-SUM(IF($C$113:$F$113=$B91:$E91,$I$59:$L$59))+SUMXMY2($G$113:$H$113,$F91:$G91)^0.5</f>
        <v>-1.3257375871017332</v>
      </c>
      <c r="D150" s="1" cm="1">
        <f t="array" ref="D150">-SUM(IF($C$114:$F$114=$B91:$E91,$I$59:$L$59))+SUMXMY2($G$114:$H$114,$F91:$G91)^0.5</f>
        <v>-1.674086097481235</v>
      </c>
      <c r="E150" s="1" cm="1">
        <f t="array" ref="E150">-SUM(IF($C$115:$F$115=$B91:$E91,$I$59:$L$59))+SUMXMY2($G$115:$H$115,$F91:$G91)^0.5</f>
        <v>-0.50987460508982663</v>
      </c>
      <c r="F150" s="1">
        <f t="shared" si="0"/>
        <v>-2.7743312670949303</v>
      </c>
      <c r="G150" s="2">
        <f t="shared" si="1"/>
        <v>1</v>
      </c>
    </row>
    <row r="151" spans="1:7" x14ac:dyDescent="0.25">
      <c r="A151" s="1">
        <v>34</v>
      </c>
      <c r="B151" s="1" cm="1">
        <f t="array" ref="B151">-SUM(IF($C$112:$F$112=$B92:$E92,$I$59:$L$59))+SUMXMY2($G$112:$H$112,$F92:$G92)^0.5</f>
        <v>-1.2019668989379553</v>
      </c>
      <c r="C151" s="1" cm="1">
        <f t="array" ref="C151">-SUM(IF($C$113:$F$113=$B92:$E92,$I$59:$L$59))+SUMXMY2($G$113:$H$113,$F92:$G92)^0.5</f>
        <v>-1.5107114519580218</v>
      </c>
      <c r="D151" s="1" cm="1">
        <f t="array" ref="D151">-SUM(IF($C$114:$F$114=$B92:$E92,$I$59:$L$59))+SUMXMY2($G$114:$H$114,$F92:$G92)^0.5</f>
        <v>-3.3476152692773624</v>
      </c>
      <c r="E151" s="1" cm="1">
        <f t="array" ref="E151">-SUM(IF($C$115:$F$115=$B92:$E92,$I$59:$L$59))+SUMXMY2($G$115:$H$115,$F92:$G92)^0.5</f>
        <v>-0.13658208773237868</v>
      </c>
      <c r="F151" s="1">
        <f t="shared" si="0"/>
        <v>-3.3476152692773624</v>
      </c>
      <c r="G151" s="2">
        <f t="shared" si="1"/>
        <v>3</v>
      </c>
    </row>
    <row r="152" spans="1:7" x14ac:dyDescent="0.25">
      <c r="A152" s="1">
        <v>35</v>
      </c>
      <c r="B152" s="1" cm="1">
        <f t="array" ref="B152">-SUM(IF($C$112:$F$112=$B93:$E93,$I$59:$L$59))+SUMXMY2($G$112:$H$112,$F93:$G93)^0.5</f>
        <v>-2.0128409256052158</v>
      </c>
      <c r="C152" s="1" cm="1">
        <f t="array" ref="C152">-SUM(IF($C$113:$F$113=$B93:$E93,$I$59:$L$59))+SUMXMY2($G$113:$H$113,$F93:$G93)^0.5</f>
        <v>0.69828221547701252</v>
      </c>
      <c r="D152" s="1" cm="1">
        <f t="array" ref="D152">-SUM(IF($C$114:$F$114=$B93:$E93,$I$59:$L$59))+SUMXMY2($G$114:$H$114,$F93:$G93)^0.5</f>
        <v>-0.10207967049305111</v>
      </c>
      <c r="E152" s="1" cm="1">
        <f t="array" ref="E152">-SUM(IF($C$115:$F$115=$B93:$E93,$I$59:$L$59))+SUMXMY2($G$115:$H$115,$F93:$G93)^0.5</f>
        <v>-0.73000323091748021</v>
      </c>
      <c r="F152" s="1">
        <f t="shared" si="0"/>
        <v>-2.0128409256052158</v>
      </c>
      <c r="G152" s="2">
        <f t="shared" si="1"/>
        <v>1</v>
      </c>
    </row>
    <row r="153" spans="1:7" x14ac:dyDescent="0.25">
      <c r="A153" s="1">
        <v>36</v>
      </c>
      <c r="B153" s="1" cm="1">
        <f t="array" ref="B153">-SUM(IF($C$112:$F$112=$B94:$E94,$I$59:$L$59))+SUMXMY2($G$112:$H$112,$F94:$G94)^0.5</f>
        <v>-1.7005899813930403</v>
      </c>
      <c r="C153" s="1" cm="1">
        <f t="array" ref="C153">-SUM(IF($C$113:$F$113=$B94:$E94,$I$59:$L$59))+SUMXMY2($G$113:$H$113,$F94:$G94)^0.5</f>
        <v>-1.3062924490447032</v>
      </c>
      <c r="D153" s="1" cm="1">
        <f t="array" ref="D153">-SUM(IF($C$114:$F$114=$B94:$E94,$I$59:$L$59))+SUMXMY2($G$114:$H$114,$F94:$G94)^0.5</f>
        <v>-1.5313090355804644</v>
      </c>
      <c r="E153" s="1" cm="1">
        <f t="array" ref="E153">-SUM(IF($C$115:$F$115=$B94:$E94,$I$59:$L$59))+SUMXMY2($G$115:$H$115,$F94:$G94)^0.5</f>
        <v>-0.39803919054764658</v>
      </c>
      <c r="F153" s="1">
        <f t="shared" si="0"/>
        <v>-1.7005899813930403</v>
      </c>
      <c r="G153" s="2">
        <f t="shared" si="1"/>
        <v>1</v>
      </c>
    </row>
    <row r="154" spans="1:7" x14ac:dyDescent="0.25">
      <c r="A154" s="1">
        <v>37</v>
      </c>
      <c r="B154" s="1" cm="1">
        <f t="array" ref="B154">-SUM(IF($C$112:$F$112=$B95:$E95,$I$59:$L$59))+SUMXMY2($G$112:$H$112,$F95:$G95)^0.5</f>
        <v>-1.8369038173193406</v>
      </c>
      <c r="C154" s="1" cm="1">
        <f t="array" ref="C154">-SUM(IF($C$113:$F$113=$B95:$E95,$I$59:$L$59))+SUMXMY2($G$113:$H$113,$F95:$G95)^0.5</f>
        <v>0.82738186806556802</v>
      </c>
      <c r="D154" s="1" cm="1">
        <f t="array" ref="D154">-SUM(IF($C$114:$F$114=$B95:$E95,$I$59:$L$59))+SUMXMY2($G$114:$H$114,$F95:$G95)^0.5</f>
        <v>-2.5681851210431539E-2</v>
      </c>
      <c r="E154" s="1" cm="1">
        <f t="array" ref="E154">-SUM(IF($C$115:$F$115=$B95:$E95,$I$59:$L$59))+SUMXMY2($G$115:$H$115,$F95:$G95)^0.5</f>
        <v>-0.34761526927736253</v>
      </c>
      <c r="F154" s="1">
        <f t="shared" si="0"/>
        <v>-1.8369038173193406</v>
      </c>
      <c r="G154" s="2">
        <f t="shared" si="1"/>
        <v>1</v>
      </c>
    </row>
    <row r="155" spans="1:7" x14ac:dyDescent="0.25">
      <c r="A155" s="1">
        <v>38</v>
      </c>
      <c r="B155" s="1" cm="1">
        <f t="array" ref="B155">-SUM(IF($C$112:$F$112=$B96:$E96,$I$59:$L$59))+SUMXMY2($G$112:$H$112,$F96:$G96)^0.5</f>
        <v>-1.1563147468870774</v>
      </c>
      <c r="C155" s="1" cm="1">
        <f t="array" ref="C155">-SUM(IF($C$113:$F$113=$B96:$E96,$I$59:$L$59))+SUMXMY2($G$113:$H$113,$F96:$G96)^0.5</f>
        <v>-1.1029709952563733</v>
      </c>
      <c r="D155" s="1" cm="1">
        <f t="array" ref="D155">-SUM(IF($C$114:$F$114=$B96:$E96,$I$59:$L$59))+SUMXMY2($G$114:$H$114,$F96:$G96)^0.5</f>
        <v>-2.7553557259790109</v>
      </c>
      <c r="E155" s="1" cm="1">
        <f t="array" ref="E155">-SUM(IF($C$115:$F$115=$B96:$E96,$I$59:$L$59))+SUMXMY2($G$115:$H$115,$F96:$G96)^0.5</f>
        <v>-0.2001185806514798</v>
      </c>
      <c r="F155" s="1">
        <f t="shared" si="0"/>
        <v>-2.7553557259790109</v>
      </c>
      <c r="G155" s="2">
        <f t="shared" si="1"/>
        <v>3</v>
      </c>
    </row>
    <row r="156" spans="1:7" x14ac:dyDescent="0.25">
      <c r="A156" s="1">
        <v>39</v>
      </c>
      <c r="B156" s="1" cm="1">
        <f t="array" ref="B156">-SUM(IF($C$112:$F$112=$B97:$E97,$I$59:$L$59))+SUMXMY2($G$112:$H$112,$F97:$G97)^0.5</f>
        <v>0.58268819842320108</v>
      </c>
      <c r="C156" s="1" cm="1">
        <f t="array" ref="C156">-SUM(IF($C$113:$F$113=$B97:$E97,$I$59:$L$59))+SUMXMY2($G$113:$H$113,$F97:$G97)^0.5</f>
        <v>0.58811601897450627</v>
      </c>
      <c r="D156" s="1" cm="1">
        <f t="array" ref="D156">-SUM(IF($C$114:$F$114=$B97:$E97,$I$59:$L$59))+SUMXMY2($G$114:$H$114,$F97:$G97)^0.5</f>
        <v>-0.5535572597901095</v>
      </c>
      <c r="E156" s="1" cm="1">
        <f t="array" ref="E156">-SUM(IF($C$115:$F$115=$B97:$E97,$I$59:$L$59))+SUMXMY2($G$115:$H$115,$F97:$G97)^0.5</f>
        <v>0.16900874448076664</v>
      </c>
      <c r="F156" s="1">
        <f t="shared" si="0"/>
        <v>-0.5535572597901095</v>
      </c>
      <c r="G156" s="2">
        <f t="shared" si="1"/>
        <v>3</v>
      </c>
    </row>
    <row r="157" spans="1:7" x14ac:dyDescent="0.25">
      <c r="A157" s="1">
        <v>40</v>
      </c>
      <c r="B157" s="1" cm="1">
        <f t="array" ref="B157">-SUM(IF($C$112:$F$112=$B98:$E98,$I$59:$L$59))+SUMXMY2($G$112:$H$112,$F98:$G98)^0.5</f>
        <v>-1.4720091684497794</v>
      </c>
      <c r="C157" s="1" cm="1">
        <f t="array" ref="C157">-SUM(IF($C$113:$F$113=$B98:$E98,$I$59:$L$59))+SUMXMY2($G$113:$H$113,$F98:$G98)^0.5</f>
        <v>1.5123920463164526</v>
      </c>
      <c r="D157" s="1" cm="1">
        <f t="array" ref="D157">-SUM(IF($C$114:$F$114=$B98:$E98,$I$59:$L$59))+SUMXMY2($G$114:$H$114,$F98:$G98)^0.5</f>
        <v>-0.4017657384338027</v>
      </c>
      <c r="E157" s="1" cm="1">
        <f t="array" ref="E157">-SUM(IF($C$115:$F$115=$B98:$E98,$I$59:$L$59))+SUMXMY2($G$115:$H$115,$F98:$G98)^0.5</f>
        <v>3.8702283508242452E-2</v>
      </c>
      <c r="F157" s="1">
        <f t="shared" si="0"/>
        <v>-1.4720091684497794</v>
      </c>
      <c r="G157" s="2">
        <f t="shared" si="1"/>
        <v>1</v>
      </c>
    </row>
    <row r="158" spans="1:7" x14ac:dyDescent="0.25">
      <c r="A158" s="1">
        <v>41</v>
      </c>
      <c r="B158" s="1" cm="1">
        <f t="array" ref="B158">-SUM(IF($C$112:$F$112=$B99:$E99,$I$59:$L$59))+SUMXMY2($G$112:$H$112,$F99:$G99)^0.5</f>
        <v>-2.8583267212353842</v>
      </c>
      <c r="C158" s="1" cm="1">
        <f t="array" ref="C158">-SUM(IF($C$113:$F$113=$B99:$E99,$I$59:$L$59))+SUMXMY2($G$113:$H$113,$F99:$G99)^0.5</f>
        <v>-8.7271877815657373E-2</v>
      </c>
      <c r="D158" s="1" cm="1">
        <f t="array" ref="D158">-SUM(IF($C$114:$F$114=$B99:$E99,$I$59:$L$59))+SUMXMY2($G$114:$H$114,$F99:$G99)^0.5</f>
        <v>-0.46000646183495997</v>
      </c>
      <c r="E158" s="1" cm="1">
        <f t="array" ref="E158">-SUM(IF($C$115:$F$115=$B99:$E99,$I$59:$L$59))+SUMXMY2($G$115:$H$115,$F99:$G99)^0.5</f>
        <v>-0.36903817319340626</v>
      </c>
      <c r="F158" s="1">
        <f t="shared" si="0"/>
        <v>-2.8583267212353842</v>
      </c>
      <c r="G158" s="2">
        <f t="shared" si="1"/>
        <v>1</v>
      </c>
    </row>
    <row r="159" spans="1:7" x14ac:dyDescent="0.25">
      <c r="A159" s="1">
        <v>42</v>
      </c>
      <c r="B159" s="1" cm="1">
        <f t="array" ref="B159">-SUM(IF($C$112:$F$112=$B100:$E100,$I$59:$L$59))+SUMXMY2($G$112:$H$112,$F100:$G100)^0.5</f>
        <v>-1.8583267212353844</v>
      </c>
      <c r="C159" s="1" cm="1">
        <f t="array" ref="C159">-SUM(IF($C$113:$F$113=$B100:$E100,$I$59:$L$59))+SUMXMY2($G$113:$H$113,$F100:$G100)^0.5</f>
        <v>0.91272812218434263</v>
      </c>
      <c r="D159" s="1" cm="1">
        <f t="array" ref="D159">-SUM(IF($C$114:$F$114=$B100:$E100,$I$59:$L$59))+SUMXMY2($G$114:$H$114,$F100:$G100)^0.5</f>
        <v>0.53999353816504003</v>
      </c>
      <c r="E159" s="1" cm="1">
        <f t="array" ref="E159">-SUM(IF($C$115:$F$115=$B100:$E100,$I$59:$L$59))+SUMXMY2($G$115:$H$115,$F100:$G100)^0.5</f>
        <v>0.63096182680659374</v>
      </c>
      <c r="F159" s="1">
        <f t="shared" si="0"/>
        <v>-1.8583267212353844</v>
      </c>
      <c r="G159" s="2">
        <f t="shared" si="1"/>
        <v>1</v>
      </c>
    </row>
    <row r="160" spans="1:7" x14ac:dyDescent="0.25">
      <c r="A160" s="1">
        <v>43</v>
      </c>
      <c r="B160" s="1" cm="1">
        <f t="array" ref="B160">-SUM(IF($C$112:$F$112=$B101:$E101,$I$59:$L$59))+SUMXMY2($G$112:$H$112,$F101:$G101)^0.5</f>
        <v>-1.8369038173193406</v>
      </c>
      <c r="C160" s="1" cm="1">
        <f t="array" ref="C160">-SUM(IF($C$113:$F$113=$B101:$E101,$I$59:$L$59))+SUMXMY2($G$113:$H$113,$F101:$G101)^0.5</f>
        <v>0.82738186806556802</v>
      </c>
      <c r="D160" s="1" cm="1">
        <f t="array" ref="D160">-SUM(IF($C$114:$F$114=$B101:$E101,$I$59:$L$59))+SUMXMY2($G$114:$H$114,$F101:$G101)^0.5</f>
        <v>-2.5681851210431539E-2</v>
      </c>
      <c r="E160" s="1" cm="1">
        <f t="array" ref="E160">-SUM(IF($C$115:$F$115=$B101:$E101,$I$59:$L$59))+SUMXMY2($G$115:$H$115,$F101:$G101)^0.5</f>
        <v>-0.34761526927736253</v>
      </c>
      <c r="F160" s="1">
        <f t="shared" si="0"/>
        <v>-1.8369038173193406</v>
      </c>
      <c r="G160" s="2">
        <f t="shared" si="1"/>
        <v>1</v>
      </c>
    </row>
    <row r="161" spans="1:7" x14ac:dyDescent="0.25">
      <c r="A161" s="1">
        <v>44</v>
      </c>
      <c r="B161" s="1" cm="1">
        <f t="array" ref="B161">-SUM(IF($C$112:$F$112=$B102:$E102,$I$59:$L$59))+SUMXMY2($G$112:$H$112,$F102:$G102)^0.5</f>
        <v>-2.0214229039160436</v>
      </c>
      <c r="C161" s="1" cm="1">
        <f t="array" ref="C161">-SUM(IF($C$113:$F$113=$B102:$E102,$I$59:$L$59))+SUMXMY2($G$113:$H$113,$F102:$G102)^0.5</f>
        <v>1.3211102045616099</v>
      </c>
      <c r="D161" s="1" cm="1">
        <f t="array" ref="D161">-SUM(IF($C$114:$F$114=$B102:$E102,$I$59:$L$59))+SUMXMY2($G$114:$H$114,$F102:$G102)^0.5</f>
        <v>-0.17261813193443198</v>
      </c>
      <c r="E161" s="1" cm="1">
        <f t="array" ref="E161">-SUM(IF($C$115:$F$115=$B102:$E102,$I$59:$L$59))+SUMXMY2($G$115:$H$115,$F102:$G102)^0.5</f>
        <v>-0.51071145195802181</v>
      </c>
      <c r="F161" s="1">
        <f t="shared" si="0"/>
        <v>-2.0214229039160436</v>
      </c>
      <c r="G161" s="2">
        <f t="shared" si="1"/>
        <v>1</v>
      </c>
    </row>
    <row r="162" spans="1:7" x14ac:dyDescent="0.25">
      <c r="A162" s="1">
        <v>45</v>
      </c>
      <c r="B162" s="1" cm="1">
        <f t="array" ref="B162">-SUM(IF($C$112:$F$112=$B103:$E103,$I$59:$L$59))+SUMXMY2($G$112:$H$112,$F103:$G103)^0.5</f>
        <v>-0.77302177485608059</v>
      </c>
      <c r="C162" s="1" cm="1">
        <f t="array" ref="C162">-SUM(IF($C$113:$F$113=$B103:$E103,$I$59:$L$59))+SUMXMY2($G$113:$H$113,$F103:$G103)^0.5</f>
        <v>0.77695493640150115</v>
      </c>
      <c r="D162" s="1" cm="1">
        <f t="array" ref="D162">-SUM(IF($C$114:$F$114=$B103:$E103,$I$59:$L$59))+SUMXMY2($G$114:$H$114,$F103:$G103)^0.5</f>
        <v>0.3001838016883327</v>
      </c>
      <c r="E162" s="1" cm="1">
        <f t="array" ref="E162">-SUM(IF($C$115:$F$115=$B103:$E103,$I$59:$L$59))+SUMXMY2($G$115:$H$115,$F103:$G103)^0.5</f>
        <v>-1.2077478138798083</v>
      </c>
      <c r="F162" s="1">
        <f t="shared" si="0"/>
        <v>-1.2077478138798083</v>
      </c>
      <c r="G162" s="2">
        <f t="shared" si="1"/>
        <v>4</v>
      </c>
    </row>
    <row r="163" spans="1:7" x14ac:dyDescent="0.25">
      <c r="A163" s="1">
        <v>46</v>
      </c>
      <c r="B163" s="1" cm="1">
        <f t="array" ref="B163">-SUM(IF($C$112:$F$112=$B104:$E104,$I$59:$L$59))+SUMXMY2($G$112:$H$112,$F104:$G104)^0.5</f>
        <v>-1.9516956331326942</v>
      </c>
      <c r="C163" s="1" cm="1">
        <f t="array" ref="C163">-SUM(IF($C$113:$F$113=$B104:$E104,$I$59:$L$59))+SUMXMY2($G$113:$H$113,$F104:$G104)^0.5</f>
        <v>0.30272583847039725</v>
      </c>
      <c r="D163" s="1" cm="1">
        <f t="array" ref="D163">-SUM(IF($C$114:$F$114=$B104:$E104,$I$59:$L$59))+SUMXMY2($G$114:$H$114,$F104:$G104)^0.5</f>
        <v>-1.7436182051387523</v>
      </c>
      <c r="E163" s="1" cm="1">
        <f t="array" ref="E163">-SUM(IF($C$115:$F$115=$B104:$E104,$I$59:$L$59))+SUMXMY2($G$115:$H$115,$F104:$G104)^0.5</f>
        <v>-0.3389367622340469</v>
      </c>
      <c r="F163" s="1">
        <f t="shared" si="0"/>
        <v>-1.9516956331326942</v>
      </c>
      <c r="G163" s="2">
        <f t="shared" si="1"/>
        <v>1</v>
      </c>
    </row>
    <row r="164" spans="1:7" x14ac:dyDescent="0.25">
      <c r="A164" s="1">
        <v>47</v>
      </c>
      <c r="B164" s="1" cm="1">
        <f t="array" ref="B164">-SUM(IF($C$112:$F$112=$B105:$E105,$I$59:$L$59))+SUMXMY2($G$112:$H$112,$F105:$G105)^0.5</f>
        <v>-0.93506562315324571</v>
      </c>
      <c r="C164" s="1" cm="1">
        <f t="array" ref="C164">-SUM(IF($C$113:$F$113=$B105:$E105,$I$59:$L$59))+SUMXMY2($G$113:$H$113,$F105:$G105)^0.5</f>
        <v>1.6982822154770125</v>
      </c>
      <c r="D164" s="1" cm="1">
        <f t="array" ref="D164">-SUM(IF($C$114:$F$114=$B105:$E105,$I$59:$L$59))+SUMXMY2($G$114:$H$114,$F105:$G105)^0.5</f>
        <v>0.96147722318435314</v>
      </c>
      <c r="E164" s="1" cm="1">
        <f t="array" ref="E164">-SUM(IF($C$115:$F$115=$B105:$E105,$I$59:$L$59))+SUMXMY2($G$115:$H$115,$F105:$G105)^0.5</f>
        <v>0.38999862271157504</v>
      </c>
      <c r="F164" s="1">
        <f t="shared" si="0"/>
        <v>-0.93506562315324571</v>
      </c>
      <c r="G164" s="2">
        <f t="shared" si="1"/>
        <v>1</v>
      </c>
    </row>
    <row r="165" spans="1:7" x14ac:dyDescent="0.25">
      <c r="A165" s="1">
        <v>48</v>
      </c>
      <c r="B165" s="1" cm="1">
        <f t="array" ref="B165">-SUM(IF($C$112:$F$112=$B106:$E106,$I$59:$L$59))+SUMXMY2($G$112:$H$112,$F106:$G106)^0.5</f>
        <v>-0.93987481257571392</v>
      </c>
      <c r="C165" s="1" cm="1">
        <f t="array" ref="C165">-SUM(IF($C$113:$F$113=$B106:$E106,$I$59:$L$59))+SUMXMY2($G$113:$H$113,$F106:$G106)^0.5</f>
        <v>1.373521846574477</v>
      </c>
      <c r="D165" s="1" cm="1">
        <f t="array" ref="D165">-SUM(IF($C$114:$F$114=$B106:$E106,$I$59:$L$59))+SUMXMY2($G$114:$H$114,$F106:$G106)^0.5</f>
        <v>-0.15631474688707736</v>
      </c>
      <c r="E165" s="1" cm="1">
        <f t="array" ref="E165">-SUM(IF($C$115:$F$115=$B106:$E106,$I$59:$L$59))+SUMXMY2($G$115:$H$115,$F106:$G106)^0.5</f>
        <v>-0.42916336061769211</v>
      </c>
      <c r="F165" s="1">
        <f t="shared" si="0"/>
        <v>-0.93987481257571392</v>
      </c>
      <c r="G165" s="2">
        <f t="shared" si="1"/>
        <v>1</v>
      </c>
    </row>
    <row r="166" spans="1:7" x14ac:dyDescent="0.25">
      <c r="A166" s="1">
        <v>49</v>
      </c>
      <c r="B166" s="1" cm="1">
        <f t="array" ref="B166">-SUM(IF($C$112:$F$112=$B107:$E107,$I$59:$L$59))+SUMXMY2($G$112:$H$112,$F107:$G107)^0.5</f>
        <v>0.5982342615661973</v>
      </c>
      <c r="C166" s="1" cm="1">
        <f t="array" ref="C166">-SUM(IF($C$113:$F$113=$B107:$E107,$I$59:$L$59))+SUMXMY2($G$113:$H$113,$F107:$G107)^0.5</f>
        <v>1.3648946488695608</v>
      </c>
      <c r="D166" s="1" cm="1">
        <f t="array" ref="D166">-SUM(IF($C$114:$F$114=$B107:$E107,$I$59:$L$59))+SUMXMY2($G$114:$H$114,$F107:$G107)^0.5</f>
        <v>-0.77677862989505475</v>
      </c>
      <c r="E166" s="1" cm="1">
        <f t="array" ref="E166">-SUM(IF($C$115:$F$115=$B107:$E107,$I$59:$L$59))+SUMXMY2($G$115:$H$115,$F107:$G107)^0.5</f>
        <v>1.2704183292239914</v>
      </c>
      <c r="F166" s="1">
        <f t="shared" si="0"/>
        <v>-0.77677862989505475</v>
      </c>
      <c r="G166" s="2">
        <f t="shared" si="1"/>
        <v>3</v>
      </c>
    </row>
    <row r="167" spans="1:7" x14ac:dyDescent="0.25">
      <c r="A167" s="1">
        <v>50</v>
      </c>
      <c r="B167" s="1" cm="1">
        <f t="array" ref="B167">-SUM(IF($C$112:$F$112=$B108:$E108,$I$59:$L$59))+SUMXMY2($G$112:$H$112,$F108:$G108)^0.5</f>
        <v>-1.4291633606176921</v>
      </c>
      <c r="C167" s="1" cm="1">
        <f t="array" ref="C167">-SUM(IF($C$113:$F$113=$B108:$E108,$I$59:$L$59))+SUMXMY2($G$113:$H$113,$F108:$G108)^0.5</f>
        <v>8.7292132291541424E-2</v>
      </c>
      <c r="D167" s="1" cm="1">
        <f t="array" ref="D167">-SUM(IF($C$114:$F$114=$B108:$E108,$I$59:$L$59))+SUMXMY2($G$114:$H$114,$F108:$G108)^0.5</f>
        <v>-0.2001185806514798</v>
      </c>
      <c r="E167" s="1" cm="1">
        <f t="array" ref="E167">-SUM(IF($C$115:$F$115=$B108:$E108,$I$59:$L$59))+SUMXMY2($G$115:$H$115,$F108:$G108)^0.5</f>
        <v>-1.9184519086596703</v>
      </c>
      <c r="F167" s="1">
        <f t="shared" si="0"/>
        <v>-1.9184519086596703</v>
      </c>
      <c r="G167" s="2">
        <f t="shared" si="1"/>
        <v>4</v>
      </c>
    </row>
    <row r="170" spans="1:7" x14ac:dyDescent="0.25">
      <c r="F170" s="1">
        <f>SUM(F118:F167)</f>
        <v>-99.27031832592732</v>
      </c>
    </row>
  </sheetData>
  <sheetProtection formatCells="0" formatColumns="0" formatRows="0" insertColumns="0" insertRows="0" insertHyperlinks="0" deleteColumns="0" deleteRows="0" sort="0" autoFilter="0" pivotTables="0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1765-BC1F-4287-8E61-9ED8A3C970B2}">
  <sheetPr codeName="Planilha7"/>
  <dimension ref="A1:F77"/>
  <sheetViews>
    <sheetView topLeftCell="A17" zoomScale="70" zoomScaleNormal="70" workbookViewId="0">
      <selection activeCell="H35" sqref="H35"/>
    </sheetView>
  </sheetViews>
  <sheetFormatPr defaultColWidth="19.28515625" defaultRowHeight="15" x14ac:dyDescent="0.25"/>
  <cols>
    <col min="1" max="6" width="20.85546875" customWidth="1"/>
  </cols>
  <sheetData>
    <row r="1" spans="1:6" x14ac:dyDescent="0.25">
      <c r="A1" s="8" t="s">
        <v>9</v>
      </c>
      <c r="B1" t="s">
        <v>160</v>
      </c>
    </row>
    <row r="2" spans="1:6" x14ac:dyDescent="0.25">
      <c r="A2" s="8" t="s">
        <v>12</v>
      </c>
      <c r="B2" t="s">
        <v>160</v>
      </c>
    </row>
    <row r="3" spans="1:6" x14ac:dyDescent="0.25">
      <c r="A3" s="8" t="s">
        <v>11</v>
      </c>
      <c r="B3" t="s">
        <v>160</v>
      </c>
    </row>
    <row r="4" spans="1:6" x14ac:dyDescent="0.25">
      <c r="A4" t="s">
        <v>173</v>
      </c>
      <c r="B4" t="s">
        <v>160</v>
      </c>
    </row>
    <row r="6" spans="1:6" x14ac:dyDescent="0.25">
      <c r="A6" s="6"/>
      <c r="B6" s="6" t="s">
        <v>161</v>
      </c>
      <c r="C6" s="6"/>
    </row>
    <row r="7" spans="1:6" x14ac:dyDescent="0.25">
      <c r="A7" s="7" t="s">
        <v>153</v>
      </c>
      <c r="B7" s="9" t="s">
        <v>163</v>
      </c>
      <c r="C7" s="9" t="s">
        <v>162</v>
      </c>
    </row>
    <row r="8" spans="1:6" x14ac:dyDescent="0.25">
      <c r="A8" s="9">
        <v>1</v>
      </c>
      <c r="B8">
        <v>18</v>
      </c>
      <c r="C8" s="19">
        <v>23.333333333333332</v>
      </c>
    </row>
    <row r="9" spans="1:6" x14ac:dyDescent="0.25">
      <c r="A9" s="9">
        <v>2</v>
      </c>
      <c r="B9">
        <v>8</v>
      </c>
      <c r="C9" s="19">
        <v>87.5</v>
      </c>
    </row>
    <row r="10" spans="1:6" x14ac:dyDescent="0.25">
      <c r="A10" s="9">
        <v>3</v>
      </c>
      <c r="B10">
        <v>11</v>
      </c>
      <c r="C10" s="19">
        <v>90.909090909090907</v>
      </c>
    </row>
    <row r="11" spans="1:6" x14ac:dyDescent="0.25">
      <c r="A11" s="9">
        <v>4</v>
      </c>
      <c r="B11">
        <v>5</v>
      </c>
      <c r="C11" s="19">
        <v>80</v>
      </c>
    </row>
    <row r="12" spans="1:6" x14ac:dyDescent="0.25">
      <c r="A12" s="9">
        <v>5</v>
      </c>
      <c r="B12">
        <v>8</v>
      </c>
      <c r="C12" s="19">
        <v>6.25</v>
      </c>
    </row>
    <row r="13" spans="1:6" x14ac:dyDescent="0.25">
      <c r="A13" s="9" t="s">
        <v>159</v>
      </c>
      <c r="B13">
        <v>50</v>
      </c>
      <c r="C13" s="19">
        <v>51.4</v>
      </c>
    </row>
    <row r="15" spans="1:6" x14ac:dyDescent="0.25">
      <c r="B15" s="21" t="s">
        <v>188</v>
      </c>
      <c r="C15" s="21" t="s">
        <v>189</v>
      </c>
      <c r="D15" s="21" t="s">
        <v>190</v>
      </c>
      <c r="E15" s="21" t="s">
        <v>192</v>
      </c>
      <c r="F15" s="21" t="s">
        <v>193</v>
      </c>
    </row>
    <row r="16" spans="1:6" x14ac:dyDescent="0.25">
      <c r="A16">
        <v>1</v>
      </c>
      <c r="B16" s="3" t="s">
        <v>165</v>
      </c>
      <c r="C16" s="3" t="s">
        <v>30</v>
      </c>
      <c r="D16" s="3" t="s">
        <v>29</v>
      </c>
      <c r="E16" s="20" t="s">
        <v>177</v>
      </c>
      <c r="F16" s="22">
        <v>23.333333333333332</v>
      </c>
    </row>
    <row r="17" spans="1:6" x14ac:dyDescent="0.25">
      <c r="A17" s="28">
        <v>2</v>
      </c>
      <c r="B17" s="29" t="s">
        <v>165</v>
      </c>
      <c r="C17" s="29" t="s">
        <v>30</v>
      </c>
      <c r="D17" s="29" t="s">
        <v>29</v>
      </c>
      <c r="E17" s="30" t="s">
        <v>174</v>
      </c>
      <c r="F17" s="31">
        <v>87.5</v>
      </c>
    </row>
    <row r="18" spans="1:6" x14ac:dyDescent="0.25">
      <c r="A18" s="23">
        <v>3</v>
      </c>
      <c r="B18" s="23" t="s">
        <v>164</v>
      </c>
      <c r="C18" s="23" t="s">
        <v>30</v>
      </c>
      <c r="D18" s="23" t="s">
        <v>29</v>
      </c>
      <c r="E18" s="24" t="s">
        <v>176</v>
      </c>
      <c r="F18" s="25">
        <v>90.909090909090907</v>
      </c>
    </row>
    <row r="19" spans="1:6" x14ac:dyDescent="0.25">
      <c r="A19">
        <v>4</v>
      </c>
      <c r="B19" s="3" t="s">
        <v>165</v>
      </c>
      <c r="C19" s="3" t="s">
        <v>30</v>
      </c>
      <c r="D19" s="3" t="s">
        <v>191</v>
      </c>
      <c r="E19" s="20" t="s">
        <v>175</v>
      </c>
      <c r="F19" s="22">
        <v>80</v>
      </c>
    </row>
    <row r="20" spans="1:6" x14ac:dyDescent="0.25">
      <c r="A20">
        <v>5</v>
      </c>
      <c r="B20" s="3" t="s">
        <v>164</v>
      </c>
      <c r="C20" s="3" t="s">
        <v>30</v>
      </c>
      <c r="D20" s="3" t="s">
        <v>29</v>
      </c>
      <c r="E20" s="20" t="s">
        <v>174</v>
      </c>
      <c r="F20" s="22">
        <v>6.25</v>
      </c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99253-580F-4569-AE2A-2A19036A449B}">
  <sheetPr codeName="Planilha8"/>
  <dimension ref="A1:Q63"/>
  <sheetViews>
    <sheetView topLeftCell="K52" zoomScale="90" zoomScaleNormal="90" workbookViewId="0">
      <selection activeCell="S76" sqref="S76"/>
    </sheetView>
  </sheetViews>
  <sheetFormatPr defaultRowHeight="15" x14ac:dyDescent="0.25"/>
  <cols>
    <col min="2" max="2" width="48.85546875" customWidth="1"/>
    <col min="3" max="3" width="66.5703125" customWidth="1"/>
    <col min="4" max="4" width="61.7109375" customWidth="1"/>
    <col min="5" max="5" width="73.42578125" customWidth="1"/>
    <col min="6" max="6" width="44.42578125" customWidth="1"/>
    <col min="7" max="8" width="43.42578125" customWidth="1"/>
    <col min="9" max="9" width="44.42578125" customWidth="1"/>
    <col min="10" max="10" width="56.28515625" customWidth="1"/>
    <col min="11" max="15" width="16.28515625" customWidth="1"/>
    <col min="16" max="16" width="10" bestFit="1" customWidth="1"/>
    <col min="17" max="17" width="17.85546875" customWidth="1"/>
  </cols>
  <sheetData>
    <row r="1" spans="1:17" x14ac:dyDescent="0.25">
      <c r="A1" t="s">
        <v>152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149</v>
      </c>
      <c r="P1" t="s">
        <v>153</v>
      </c>
      <c r="Q1" t="s">
        <v>173</v>
      </c>
    </row>
    <row r="2" spans="1:17" x14ac:dyDescent="0.25">
      <c r="A2">
        <v>9</v>
      </c>
      <c r="B2" t="s">
        <v>22</v>
      </c>
      <c r="C2" t="s">
        <v>23</v>
      </c>
      <c r="D2" t="s">
        <v>24</v>
      </c>
      <c r="E2" t="s">
        <v>22</v>
      </c>
      <c r="F2" t="s">
        <v>25</v>
      </c>
      <c r="K2" t="s">
        <v>27</v>
      </c>
      <c r="L2">
        <v>33</v>
      </c>
      <c r="M2" t="s">
        <v>29</v>
      </c>
      <c r="N2" t="s">
        <v>30</v>
      </c>
      <c r="O2">
        <v>80</v>
      </c>
      <c r="P2">
        <v>1</v>
      </c>
      <c r="Q2" t="s">
        <v>174</v>
      </c>
    </row>
    <row r="3" spans="1:17" x14ac:dyDescent="0.25">
      <c r="A3">
        <v>1</v>
      </c>
      <c r="B3" t="s">
        <v>22</v>
      </c>
      <c r="C3" t="s">
        <v>23</v>
      </c>
      <c r="D3" t="s">
        <v>24</v>
      </c>
      <c r="E3" t="s">
        <v>25</v>
      </c>
      <c r="G3" t="s">
        <v>25</v>
      </c>
      <c r="H3" t="s">
        <v>25</v>
      </c>
      <c r="J3" t="s">
        <v>26</v>
      </c>
      <c r="K3" t="s">
        <v>27</v>
      </c>
      <c r="L3">
        <v>35</v>
      </c>
      <c r="M3" t="s">
        <v>29</v>
      </c>
      <c r="N3" t="s">
        <v>30</v>
      </c>
      <c r="O3">
        <v>0</v>
      </c>
      <c r="P3">
        <v>2</v>
      </c>
      <c r="Q3" t="s">
        <v>174</v>
      </c>
    </row>
    <row r="4" spans="1:17" x14ac:dyDescent="0.25">
      <c r="A4">
        <v>4</v>
      </c>
      <c r="B4" t="s">
        <v>40</v>
      </c>
      <c r="C4" t="s">
        <v>41</v>
      </c>
      <c r="D4" t="s">
        <v>42</v>
      </c>
      <c r="E4" t="s">
        <v>25</v>
      </c>
      <c r="G4" t="s">
        <v>25</v>
      </c>
      <c r="H4" t="s">
        <v>25</v>
      </c>
      <c r="J4" t="s">
        <v>43</v>
      </c>
      <c r="K4" t="s">
        <v>27</v>
      </c>
      <c r="L4">
        <v>27</v>
      </c>
      <c r="M4" t="s">
        <v>29</v>
      </c>
      <c r="N4" t="s">
        <v>30</v>
      </c>
      <c r="O4">
        <v>0</v>
      </c>
      <c r="P4">
        <v>2</v>
      </c>
      <c r="Q4" t="s">
        <v>174</v>
      </c>
    </row>
    <row r="5" spans="1:17" x14ac:dyDescent="0.25">
      <c r="A5">
        <v>7</v>
      </c>
      <c r="B5" t="s">
        <v>40</v>
      </c>
      <c r="C5" t="s">
        <v>41</v>
      </c>
      <c r="D5" t="s">
        <v>24</v>
      </c>
      <c r="E5" t="s">
        <v>25</v>
      </c>
      <c r="G5" t="s">
        <v>22</v>
      </c>
      <c r="K5" t="s">
        <v>27</v>
      </c>
      <c r="L5">
        <v>34</v>
      </c>
      <c r="M5" t="s">
        <v>29</v>
      </c>
      <c r="N5" t="s">
        <v>30</v>
      </c>
      <c r="O5">
        <v>50</v>
      </c>
      <c r="P5">
        <v>2</v>
      </c>
      <c r="Q5" t="s">
        <v>174</v>
      </c>
    </row>
    <row r="6" spans="1:17" x14ac:dyDescent="0.25">
      <c r="A6">
        <v>17</v>
      </c>
      <c r="B6" t="s">
        <v>22</v>
      </c>
      <c r="C6" t="s">
        <v>23</v>
      </c>
      <c r="D6" t="s">
        <v>24</v>
      </c>
      <c r="E6" t="s">
        <v>25</v>
      </c>
      <c r="G6" t="s">
        <v>25</v>
      </c>
      <c r="H6" t="s">
        <v>25</v>
      </c>
      <c r="J6" t="s">
        <v>62</v>
      </c>
      <c r="K6" t="s">
        <v>27</v>
      </c>
      <c r="L6">
        <v>29</v>
      </c>
      <c r="M6" t="s">
        <v>29</v>
      </c>
      <c r="N6" t="s">
        <v>30</v>
      </c>
      <c r="O6">
        <v>0</v>
      </c>
      <c r="P6">
        <v>2</v>
      </c>
      <c r="Q6" t="s">
        <v>174</v>
      </c>
    </row>
    <row r="7" spans="1:17" x14ac:dyDescent="0.25">
      <c r="A7">
        <v>26</v>
      </c>
      <c r="B7" t="s">
        <v>25</v>
      </c>
      <c r="J7" t="s">
        <v>32</v>
      </c>
      <c r="K7" t="s">
        <v>70</v>
      </c>
      <c r="L7">
        <v>29</v>
      </c>
      <c r="M7" t="s">
        <v>29</v>
      </c>
      <c r="N7" t="s">
        <v>30</v>
      </c>
      <c r="O7">
        <v>0</v>
      </c>
      <c r="P7">
        <v>2</v>
      </c>
      <c r="Q7" t="s">
        <v>174</v>
      </c>
    </row>
    <row r="8" spans="1:17" x14ac:dyDescent="0.25">
      <c r="A8">
        <v>33</v>
      </c>
      <c r="B8" t="s">
        <v>22</v>
      </c>
      <c r="C8" t="s">
        <v>47</v>
      </c>
      <c r="D8" t="s">
        <v>36</v>
      </c>
      <c r="E8" t="s">
        <v>25</v>
      </c>
      <c r="G8" t="s">
        <v>25</v>
      </c>
      <c r="H8" t="s">
        <v>22</v>
      </c>
      <c r="K8" t="s">
        <v>70</v>
      </c>
      <c r="L8">
        <v>33</v>
      </c>
      <c r="M8" t="s">
        <v>29</v>
      </c>
      <c r="N8" t="s">
        <v>30</v>
      </c>
      <c r="O8">
        <v>30</v>
      </c>
      <c r="P8">
        <v>5</v>
      </c>
      <c r="Q8" t="s">
        <v>174</v>
      </c>
    </row>
    <row r="9" spans="1:17" x14ac:dyDescent="0.25">
      <c r="A9">
        <v>35</v>
      </c>
      <c r="B9" t="s">
        <v>22</v>
      </c>
      <c r="C9" t="s">
        <v>57</v>
      </c>
      <c r="D9" t="s">
        <v>24</v>
      </c>
      <c r="E9" t="s">
        <v>22</v>
      </c>
      <c r="F9" t="s">
        <v>22</v>
      </c>
      <c r="I9" t="s">
        <v>22</v>
      </c>
      <c r="K9" t="s">
        <v>70</v>
      </c>
      <c r="L9">
        <v>34</v>
      </c>
      <c r="M9" t="s">
        <v>29</v>
      </c>
      <c r="N9" t="s">
        <v>30</v>
      </c>
      <c r="O9">
        <v>120</v>
      </c>
      <c r="P9">
        <v>5</v>
      </c>
      <c r="Q9" t="s">
        <v>174</v>
      </c>
    </row>
    <row r="10" spans="1:17" x14ac:dyDescent="0.25">
      <c r="A10">
        <v>36</v>
      </c>
      <c r="B10" t="s">
        <v>40</v>
      </c>
      <c r="C10" t="s">
        <v>41</v>
      </c>
      <c r="D10" t="s">
        <v>67</v>
      </c>
      <c r="E10" t="s">
        <v>25</v>
      </c>
      <c r="G10" t="s">
        <v>25</v>
      </c>
      <c r="H10" t="s">
        <v>22</v>
      </c>
      <c r="K10" t="s">
        <v>70</v>
      </c>
      <c r="L10">
        <v>31</v>
      </c>
      <c r="M10" t="s">
        <v>29</v>
      </c>
      <c r="N10" t="s">
        <v>30</v>
      </c>
      <c r="O10">
        <v>30</v>
      </c>
      <c r="P10">
        <v>5</v>
      </c>
      <c r="Q10" t="s">
        <v>174</v>
      </c>
    </row>
    <row r="11" spans="1:17" x14ac:dyDescent="0.25">
      <c r="A11">
        <v>41</v>
      </c>
      <c r="B11" t="s">
        <v>22</v>
      </c>
      <c r="C11" t="s">
        <v>47</v>
      </c>
      <c r="D11" t="s">
        <v>58</v>
      </c>
      <c r="E11" t="s">
        <v>22</v>
      </c>
      <c r="F11" t="s">
        <v>25</v>
      </c>
      <c r="K11" t="s">
        <v>70</v>
      </c>
      <c r="L11">
        <v>25</v>
      </c>
      <c r="M11" t="s">
        <v>29</v>
      </c>
      <c r="N11" t="s">
        <v>30</v>
      </c>
      <c r="O11">
        <v>80</v>
      </c>
      <c r="P11">
        <v>5</v>
      </c>
      <c r="Q11" t="s">
        <v>174</v>
      </c>
    </row>
    <row r="12" spans="1:17" x14ac:dyDescent="0.25">
      <c r="A12">
        <v>5</v>
      </c>
      <c r="B12" t="s">
        <v>22</v>
      </c>
      <c r="C12" t="s">
        <v>23</v>
      </c>
      <c r="D12" t="s">
        <v>24</v>
      </c>
      <c r="E12" t="s">
        <v>22</v>
      </c>
      <c r="F12" t="s">
        <v>22</v>
      </c>
      <c r="I12" t="s">
        <v>25</v>
      </c>
      <c r="K12" t="s">
        <v>27</v>
      </c>
      <c r="L12">
        <v>39</v>
      </c>
      <c r="M12" t="s">
        <v>29</v>
      </c>
      <c r="N12" t="s">
        <v>30</v>
      </c>
      <c r="O12">
        <v>100</v>
      </c>
      <c r="P12">
        <v>1</v>
      </c>
      <c r="Q12" t="s">
        <v>175</v>
      </c>
    </row>
    <row r="13" spans="1:17" x14ac:dyDescent="0.25">
      <c r="A13">
        <v>34</v>
      </c>
      <c r="B13" t="s">
        <v>40</v>
      </c>
      <c r="C13" t="s">
        <v>54</v>
      </c>
      <c r="D13" t="s">
        <v>36</v>
      </c>
      <c r="E13" t="s">
        <v>25</v>
      </c>
      <c r="G13" t="s">
        <v>25</v>
      </c>
      <c r="H13" t="s">
        <v>25</v>
      </c>
      <c r="J13" t="s">
        <v>43</v>
      </c>
      <c r="K13" t="s">
        <v>70</v>
      </c>
      <c r="L13">
        <v>39</v>
      </c>
      <c r="M13" t="s">
        <v>29</v>
      </c>
      <c r="N13" t="s">
        <v>30</v>
      </c>
      <c r="O13">
        <v>0</v>
      </c>
      <c r="P13">
        <v>3</v>
      </c>
      <c r="Q13" t="s">
        <v>175</v>
      </c>
    </row>
    <row r="14" spans="1:17" x14ac:dyDescent="0.25">
      <c r="A14">
        <v>24</v>
      </c>
      <c r="B14" t="s">
        <v>22</v>
      </c>
      <c r="C14" t="s">
        <v>47</v>
      </c>
      <c r="D14" t="s">
        <v>24</v>
      </c>
      <c r="E14" t="s">
        <v>22</v>
      </c>
      <c r="F14" t="s">
        <v>25</v>
      </c>
      <c r="K14" t="s">
        <v>70</v>
      </c>
      <c r="L14">
        <v>39</v>
      </c>
      <c r="M14" t="s">
        <v>29</v>
      </c>
      <c r="N14" t="s">
        <v>30</v>
      </c>
      <c r="O14">
        <v>80</v>
      </c>
      <c r="P14">
        <v>4</v>
      </c>
      <c r="Q14" t="s">
        <v>175</v>
      </c>
    </row>
    <row r="15" spans="1:17" x14ac:dyDescent="0.25">
      <c r="A15">
        <v>31</v>
      </c>
      <c r="B15" t="s">
        <v>22</v>
      </c>
      <c r="C15" t="s">
        <v>54</v>
      </c>
      <c r="D15" t="s">
        <v>42</v>
      </c>
      <c r="E15" t="s">
        <v>25</v>
      </c>
      <c r="G15" t="s">
        <v>25</v>
      </c>
      <c r="H15" t="s">
        <v>22</v>
      </c>
      <c r="K15" t="s">
        <v>70</v>
      </c>
      <c r="L15">
        <v>45</v>
      </c>
      <c r="M15" t="s">
        <v>29</v>
      </c>
      <c r="N15" t="s">
        <v>35</v>
      </c>
      <c r="O15">
        <v>30</v>
      </c>
      <c r="P15">
        <v>1</v>
      </c>
      <c r="Q15" t="s">
        <v>176</v>
      </c>
    </row>
    <row r="16" spans="1:17" x14ac:dyDescent="0.25">
      <c r="A16">
        <v>6</v>
      </c>
      <c r="B16" t="s">
        <v>22</v>
      </c>
      <c r="C16" t="s">
        <v>41</v>
      </c>
      <c r="D16" t="s">
        <v>36</v>
      </c>
      <c r="E16" t="s">
        <v>22</v>
      </c>
      <c r="F16" t="s">
        <v>25</v>
      </c>
      <c r="K16" t="s">
        <v>27</v>
      </c>
      <c r="L16">
        <v>42</v>
      </c>
      <c r="M16" t="s">
        <v>29</v>
      </c>
      <c r="N16" t="s">
        <v>30</v>
      </c>
      <c r="O16">
        <v>80</v>
      </c>
      <c r="P16">
        <v>1</v>
      </c>
      <c r="Q16" t="s">
        <v>176</v>
      </c>
    </row>
    <row r="17" spans="1:17" x14ac:dyDescent="0.25">
      <c r="A17">
        <v>11</v>
      </c>
      <c r="B17" t="s">
        <v>22</v>
      </c>
      <c r="C17" t="s">
        <v>23</v>
      </c>
      <c r="D17" t="s">
        <v>24</v>
      </c>
      <c r="E17" t="s">
        <v>22</v>
      </c>
      <c r="F17" t="s">
        <v>22</v>
      </c>
      <c r="I17" t="s">
        <v>25</v>
      </c>
      <c r="K17" t="s">
        <v>27</v>
      </c>
      <c r="L17">
        <v>45</v>
      </c>
      <c r="M17" t="s">
        <v>29</v>
      </c>
      <c r="N17" t="s">
        <v>30</v>
      </c>
      <c r="O17">
        <v>100</v>
      </c>
      <c r="P17">
        <v>1</v>
      </c>
      <c r="Q17" t="s">
        <v>176</v>
      </c>
    </row>
    <row r="18" spans="1:17" x14ac:dyDescent="0.25">
      <c r="A18">
        <v>12</v>
      </c>
      <c r="B18" t="s">
        <v>22</v>
      </c>
      <c r="C18" t="s">
        <v>54</v>
      </c>
      <c r="D18" t="s">
        <v>42</v>
      </c>
      <c r="E18" t="s">
        <v>22</v>
      </c>
      <c r="F18" t="s">
        <v>25</v>
      </c>
      <c r="K18" t="s">
        <v>27</v>
      </c>
      <c r="L18">
        <v>50</v>
      </c>
      <c r="M18" t="s">
        <v>29</v>
      </c>
      <c r="N18" t="s">
        <v>30</v>
      </c>
      <c r="O18">
        <v>80</v>
      </c>
      <c r="P18">
        <v>1</v>
      </c>
      <c r="Q18" t="s">
        <v>176</v>
      </c>
    </row>
    <row r="19" spans="1:17" x14ac:dyDescent="0.25">
      <c r="A19">
        <v>13</v>
      </c>
      <c r="B19" t="s">
        <v>22</v>
      </c>
      <c r="C19" t="s">
        <v>54</v>
      </c>
      <c r="D19" t="s">
        <v>42</v>
      </c>
      <c r="E19" t="s">
        <v>22</v>
      </c>
      <c r="F19" t="s">
        <v>22</v>
      </c>
      <c r="I19" t="s">
        <v>22</v>
      </c>
      <c r="K19" t="s">
        <v>27</v>
      </c>
      <c r="L19">
        <v>46</v>
      </c>
      <c r="M19" t="s">
        <v>29</v>
      </c>
      <c r="N19" t="s">
        <v>30</v>
      </c>
      <c r="O19">
        <v>120</v>
      </c>
      <c r="P19">
        <v>1</v>
      </c>
      <c r="Q19" t="s">
        <v>176</v>
      </c>
    </row>
    <row r="20" spans="1:17" x14ac:dyDescent="0.25">
      <c r="A20">
        <v>20</v>
      </c>
      <c r="B20" t="s">
        <v>40</v>
      </c>
      <c r="C20" t="s">
        <v>23</v>
      </c>
      <c r="D20" t="s">
        <v>36</v>
      </c>
      <c r="E20" t="s">
        <v>22</v>
      </c>
      <c r="F20" t="s">
        <v>22</v>
      </c>
      <c r="I20" t="s">
        <v>25</v>
      </c>
      <c r="K20" t="s">
        <v>27</v>
      </c>
      <c r="L20">
        <v>50</v>
      </c>
      <c r="M20" t="s">
        <v>29</v>
      </c>
      <c r="N20" t="s">
        <v>30</v>
      </c>
      <c r="O20">
        <v>100</v>
      </c>
      <c r="P20">
        <v>1</v>
      </c>
      <c r="Q20" t="s">
        <v>176</v>
      </c>
    </row>
    <row r="21" spans="1:17" x14ac:dyDescent="0.25">
      <c r="A21">
        <v>38</v>
      </c>
      <c r="B21" t="s">
        <v>25</v>
      </c>
      <c r="J21" t="s">
        <v>32</v>
      </c>
      <c r="K21" t="s">
        <v>70</v>
      </c>
      <c r="L21">
        <v>44</v>
      </c>
      <c r="M21" t="s">
        <v>29</v>
      </c>
      <c r="N21" t="s">
        <v>30</v>
      </c>
      <c r="O21">
        <v>0</v>
      </c>
      <c r="P21">
        <v>3</v>
      </c>
      <c r="Q21" t="s">
        <v>176</v>
      </c>
    </row>
    <row r="22" spans="1:17" x14ac:dyDescent="0.25">
      <c r="A22">
        <v>30</v>
      </c>
      <c r="B22" t="s">
        <v>22</v>
      </c>
      <c r="C22" t="s">
        <v>54</v>
      </c>
      <c r="D22" t="s">
        <v>58</v>
      </c>
      <c r="E22" t="s">
        <v>22</v>
      </c>
      <c r="F22" t="s">
        <v>22</v>
      </c>
      <c r="I22" t="s">
        <v>22</v>
      </c>
      <c r="K22" t="s">
        <v>70</v>
      </c>
      <c r="L22">
        <v>47</v>
      </c>
      <c r="M22" t="s">
        <v>29</v>
      </c>
      <c r="N22" t="s">
        <v>30</v>
      </c>
      <c r="O22">
        <v>120</v>
      </c>
      <c r="P22">
        <v>5</v>
      </c>
      <c r="Q22" t="s">
        <v>176</v>
      </c>
    </row>
    <row r="23" spans="1:17" x14ac:dyDescent="0.25">
      <c r="A23">
        <v>45</v>
      </c>
      <c r="B23" t="s">
        <v>22</v>
      </c>
      <c r="C23" t="s">
        <v>23</v>
      </c>
      <c r="D23" t="s">
        <v>36</v>
      </c>
      <c r="E23" t="s">
        <v>22</v>
      </c>
      <c r="F23" t="s">
        <v>22</v>
      </c>
      <c r="I23" t="s">
        <v>25</v>
      </c>
      <c r="K23" t="s">
        <v>70</v>
      </c>
      <c r="L23">
        <v>53</v>
      </c>
      <c r="M23" t="s">
        <v>29</v>
      </c>
      <c r="N23" t="s">
        <v>35</v>
      </c>
      <c r="O23">
        <v>100</v>
      </c>
      <c r="P23">
        <v>3</v>
      </c>
      <c r="Q23" t="s">
        <v>177</v>
      </c>
    </row>
    <row r="24" spans="1:17" x14ac:dyDescent="0.25">
      <c r="A24">
        <v>16</v>
      </c>
      <c r="B24" t="s">
        <v>22</v>
      </c>
      <c r="C24" t="s">
        <v>54</v>
      </c>
      <c r="D24" t="s">
        <v>42</v>
      </c>
      <c r="E24" t="s">
        <v>25</v>
      </c>
      <c r="G24" t="s">
        <v>25</v>
      </c>
      <c r="H24" t="s">
        <v>25</v>
      </c>
      <c r="J24" t="s">
        <v>60</v>
      </c>
      <c r="K24" t="s">
        <v>27</v>
      </c>
      <c r="L24">
        <v>64</v>
      </c>
      <c r="M24" t="s">
        <v>29</v>
      </c>
      <c r="N24" t="s">
        <v>30</v>
      </c>
      <c r="O24">
        <v>0</v>
      </c>
      <c r="P24">
        <v>2</v>
      </c>
      <c r="Q24" t="s">
        <v>177</v>
      </c>
    </row>
    <row r="25" spans="1:17" x14ac:dyDescent="0.25">
      <c r="A25">
        <v>23</v>
      </c>
      <c r="B25" t="s">
        <v>40</v>
      </c>
      <c r="C25" t="s">
        <v>23</v>
      </c>
      <c r="D25" t="s">
        <v>67</v>
      </c>
      <c r="E25" t="s">
        <v>25</v>
      </c>
      <c r="G25" t="s">
        <v>25</v>
      </c>
      <c r="H25" t="s">
        <v>25</v>
      </c>
      <c r="J25" t="s">
        <v>32</v>
      </c>
      <c r="K25" t="s">
        <v>27</v>
      </c>
      <c r="L25">
        <v>62</v>
      </c>
      <c r="M25" t="s">
        <v>29</v>
      </c>
      <c r="N25" t="s">
        <v>30</v>
      </c>
      <c r="O25">
        <v>0</v>
      </c>
      <c r="P25">
        <v>2</v>
      </c>
      <c r="Q25" t="s">
        <v>177</v>
      </c>
    </row>
    <row r="26" spans="1:17" x14ac:dyDescent="0.25">
      <c r="A26">
        <v>27</v>
      </c>
      <c r="B26" t="s">
        <v>22</v>
      </c>
      <c r="C26" t="s">
        <v>23</v>
      </c>
      <c r="D26" t="s">
        <v>42</v>
      </c>
      <c r="E26" t="s">
        <v>25</v>
      </c>
      <c r="G26" t="s">
        <v>25</v>
      </c>
      <c r="H26" t="s">
        <v>25</v>
      </c>
      <c r="J26" t="s">
        <v>72</v>
      </c>
      <c r="K26" t="s">
        <v>70</v>
      </c>
      <c r="L26">
        <v>51</v>
      </c>
      <c r="M26" t="s">
        <v>29</v>
      </c>
      <c r="N26" t="s">
        <v>30</v>
      </c>
      <c r="O26">
        <v>0</v>
      </c>
      <c r="P26">
        <v>3</v>
      </c>
      <c r="Q26" t="s">
        <v>177</v>
      </c>
    </row>
    <row r="27" spans="1:17" x14ac:dyDescent="0.25">
      <c r="A27">
        <v>39</v>
      </c>
      <c r="B27" t="s">
        <v>22</v>
      </c>
      <c r="C27" t="s">
        <v>23</v>
      </c>
      <c r="D27" t="s">
        <v>24</v>
      </c>
      <c r="E27" t="s">
        <v>25</v>
      </c>
      <c r="G27" t="s">
        <v>25</v>
      </c>
      <c r="H27" t="s">
        <v>25</v>
      </c>
      <c r="J27" t="s">
        <v>76</v>
      </c>
      <c r="K27" t="s">
        <v>70</v>
      </c>
      <c r="L27">
        <v>77</v>
      </c>
      <c r="M27" t="s">
        <v>29</v>
      </c>
      <c r="N27" t="s">
        <v>30</v>
      </c>
      <c r="O27">
        <v>0</v>
      </c>
      <c r="P27">
        <v>3</v>
      </c>
      <c r="Q27" t="s">
        <v>177</v>
      </c>
    </row>
    <row r="28" spans="1:17" x14ac:dyDescent="0.25">
      <c r="A28">
        <v>40</v>
      </c>
      <c r="B28" t="s">
        <v>22</v>
      </c>
      <c r="C28" t="s">
        <v>47</v>
      </c>
      <c r="D28" t="s">
        <v>67</v>
      </c>
      <c r="E28" t="s">
        <v>22</v>
      </c>
      <c r="F28" t="s">
        <v>25</v>
      </c>
      <c r="K28" t="s">
        <v>70</v>
      </c>
      <c r="L28">
        <v>70</v>
      </c>
      <c r="M28" t="s">
        <v>29</v>
      </c>
      <c r="N28" t="s">
        <v>30</v>
      </c>
      <c r="O28">
        <v>80</v>
      </c>
      <c r="P28">
        <v>3</v>
      </c>
      <c r="Q28" t="s">
        <v>177</v>
      </c>
    </row>
    <row r="29" spans="1:17" x14ac:dyDescent="0.25">
      <c r="A29">
        <v>46</v>
      </c>
      <c r="B29" t="s">
        <v>22</v>
      </c>
      <c r="C29" t="s">
        <v>47</v>
      </c>
      <c r="D29" t="s">
        <v>58</v>
      </c>
      <c r="E29" t="s">
        <v>25</v>
      </c>
      <c r="G29" t="s">
        <v>25</v>
      </c>
      <c r="H29" t="s">
        <v>22</v>
      </c>
      <c r="K29" t="s">
        <v>70</v>
      </c>
      <c r="L29">
        <v>60</v>
      </c>
      <c r="M29" t="s">
        <v>29</v>
      </c>
      <c r="N29" t="s">
        <v>30</v>
      </c>
      <c r="O29">
        <v>30</v>
      </c>
      <c r="P29">
        <v>3</v>
      </c>
      <c r="Q29" t="s">
        <v>177</v>
      </c>
    </row>
    <row r="30" spans="1:17" x14ac:dyDescent="0.25">
      <c r="A30">
        <v>8</v>
      </c>
      <c r="B30" t="s">
        <v>22</v>
      </c>
      <c r="C30" t="s">
        <v>47</v>
      </c>
      <c r="D30" t="s">
        <v>24</v>
      </c>
      <c r="E30" t="s">
        <v>25</v>
      </c>
      <c r="G30" t="s">
        <v>25</v>
      </c>
      <c r="H30" t="s">
        <v>25</v>
      </c>
      <c r="J30" t="s">
        <v>48</v>
      </c>
      <c r="K30" t="s">
        <v>27</v>
      </c>
      <c r="L30">
        <v>29</v>
      </c>
      <c r="M30" t="s">
        <v>34</v>
      </c>
      <c r="N30" t="s">
        <v>30</v>
      </c>
      <c r="O30">
        <v>0</v>
      </c>
      <c r="P30">
        <v>2</v>
      </c>
      <c r="Q30" t="s">
        <v>174</v>
      </c>
    </row>
    <row r="31" spans="1:17" x14ac:dyDescent="0.25">
      <c r="A31">
        <v>42</v>
      </c>
      <c r="B31" t="s">
        <v>22</v>
      </c>
      <c r="C31" t="s">
        <v>47</v>
      </c>
      <c r="D31" t="s">
        <v>24</v>
      </c>
      <c r="E31" t="s">
        <v>22</v>
      </c>
      <c r="F31" t="s">
        <v>25</v>
      </c>
      <c r="K31" t="s">
        <v>70</v>
      </c>
      <c r="L31">
        <v>25</v>
      </c>
      <c r="M31" t="s">
        <v>34</v>
      </c>
      <c r="N31" t="s">
        <v>30</v>
      </c>
      <c r="O31">
        <v>80</v>
      </c>
      <c r="P31">
        <v>4</v>
      </c>
      <c r="Q31" t="s">
        <v>174</v>
      </c>
    </row>
    <row r="32" spans="1:17" x14ac:dyDescent="0.25">
      <c r="A32">
        <v>2</v>
      </c>
      <c r="B32" t="s">
        <v>22</v>
      </c>
      <c r="C32" t="s">
        <v>31</v>
      </c>
      <c r="D32" t="s">
        <v>24</v>
      </c>
      <c r="E32" t="s">
        <v>25</v>
      </c>
      <c r="G32" t="s">
        <v>25</v>
      </c>
      <c r="H32" t="s">
        <v>25</v>
      </c>
      <c r="J32" t="s">
        <v>32</v>
      </c>
      <c r="K32" t="s">
        <v>27</v>
      </c>
      <c r="L32">
        <v>37</v>
      </c>
      <c r="M32" t="s">
        <v>34</v>
      </c>
      <c r="N32" t="s">
        <v>35</v>
      </c>
      <c r="O32">
        <v>0</v>
      </c>
      <c r="P32">
        <v>2</v>
      </c>
      <c r="Q32" t="s">
        <v>175</v>
      </c>
    </row>
    <row r="33" spans="1:17" x14ac:dyDescent="0.25">
      <c r="A33">
        <v>37</v>
      </c>
      <c r="B33" t="s">
        <v>22</v>
      </c>
      <c r="C33" t="s">
        <v>41</v>
      </c>
      <c r="D33" t="s">
        <v>24</v>
      </c>
      <c r="E33" t="s">
        <v>22</v>
      </c>
      <c r="F33" t="s">
        <v>25</v>
      </c>
      <c r="K33" t="s">
        <v>70</v>
      </c>
      <c r="L33">
        <v>37</v>
      </c>
      <c r="M33" t="s">
        <v>34</v>
      </c>
      <c r="N33" t="s">
        <v>30</v>
      </c>
      <c r="O33">
        <v>80</v>
      </c>
      <c r="P33">
        <v>4</v>
      </c>
      <c r="Q33" t="s">
        <v>175</v>
      </c>
    </row>
    <row r="34" spans="1:17" x14ac:dyDescent="0.25">
      <c r="A34">
        <v>15</v>
      </c>
      <c r="B34" t="s">
        <v>22</v>
      </c>
      <c r="C34" t="s">
        <v>57</v>
      </c>
      <c r="D34" t="s">
        <v>58</v>
      </c>
      <c r="E34" t="s">
        <v>22</v>
      </c>
      <c r="F34" t="s">
        <v>22</v>
      </c>
      <c r="I34" t="s">
        <v>25</v>
      </c>
      <c r="K34" t="s">
        <v>27</v>
      </c>
      <c r="L34">
        <v>44</v>
      </c>
      <c r="M34" t="s">
        <v>34</v>
      </c>
      <c r="N34" t="s">
        <v>30</v>
      </c>
      <c r="O34">
        <v>100</v>
      </c>
      <c r="P34">
        <v>1</v>
      </c>
      <c r="Q34" t="s">
        <v>176</v>
      </c>
    </row>
    <row r="35" spans="1:17" x14ac:dyDescent="0.25">
      <c r="A35">
        <v>32</v>
      </c>
      <c r="B35" t="s">
        <v>40</v>
      </c>
      <c r="C35" t="s">
        <v>23</v>
      </c>
      <c r="D35" t="s">
        <v>58</v>
      </c>
      <c r="E35" t="s">
        <v>25</v>
      </c>
      <c r="G35" t="s">
        <v>25</v>
      </c>
      <c r="H35" t="s">
        <v>25</v>
      </c>
      <c r="J35" t="s">
        <v>43</v>
      </c>
      <c r="K35" t="s">
        <v>70</v>
      </c>
      <c r="L35">
        <v>43</v>
      </c>
      <c r="M35" t="s">
        <v>34</v>
      </c>
      <c r="N35" t="s">
        <v>30</v>
      </c>
      <c r="O35">
        <v>0</v>
      </c>
      <c r="P35">
        <v>3</v>
      </c>
      <c r="Q35" t="s">
        <v>176</v>
      </c>
    </row>
    <row r="36" spans="1:17" x14ac:dyDescent="0.25">
      <c r="A36">
        <v>22</v>
      </c>
      <c r="B36" t="s">
        <v>22</v>
      </c>
      <c r="C36" t="s">
        <v>54</v>
      </c>
      <c r="D36" t="s">
        <v>67</v>
      </c>
      <c r="E36" t="s">
        <v>25</v>
      </c>
      <c r="G36" t="s">
        <v>22</v>
      </c>
      <c r="K36" t="s">
        <v>27</v>
      </c>
      <c r="L36">
        <v>51</v>
      </c>
      <c r="M36" t="s">
        <v>34</v>
      </c>
      <c r="N36" t="s">
        <v>35</v>
      </c>
      <c r="O36">
        <v>50</v>
      </c>
      <c r="P36">
        <v>1</v>
      </c>
      <c r="Q36" t="s">
        <v>177</v>
      </c>
    </row>
    <row r="37" spans="1:17" x14ac:dyDescent="0.25">
      <c r="A37">
        <v>25</v>
      </c>
      <c r="B37" t="s">
        <v>22</v>
      </c>
      <c r="C37" t="s">
        <v>54</v>
      </c>
      <c r="D37" t="s">
        <v>42</v>
      </c>
      <c r="E37" t="s">
        <v>25</v>
      </c>
      <c r="G37" t="s">
        <v>22</v>
      </c>
      <c r="K37" t="s">
        <v>70</v>
      </c>
      <c r="L37">
        <v>54</v>
      </c>
      <c r="M37" t="s">
        <v>34</v>
      </c>
      <c r="N37" t="s">
        <v>30</v>
      </c>
      <c r="O37">
        <v>50</v>
      </c>
      <c r="P37">
        <v>3</v>
      </c>
      <c r="Q37" t="s">
        <v>177</v>
      </c>
    </row>
    <row r="38" spans="1:17" x14ac:dyDescent="0.25">
      <c r="A38">
        <v>3</v>
      </c>
      <c r="B38" t="s">
        <v>22</v>
      </c>
      <c r="C38" t="s">
        <v>31</v>
      </c>
      <c r="D38" t="s">
        <v>36</v>
      </c>
      <c r="E38" t="s">
        <v>25</v>
      </c>
      <c r="G38" t="s">
        <v>25</v>
      </c>
      <c r="H38" t="s">
        <v>25</v>
      </c>
      <c r="J38" t="s">
        <v>37</v>
      </c>
      <c r="K38" t="s">
        <v>27</v>
      </c>
      <c r="L38">
        <v>34</v>
      </c>
      <c r="M38" t="s">
        <v>39</v>
      </c>
      <c r="N38" t="s">
        <v>30</v>
      </c>
      <c r="O38">
        <v>0</v>
      </c>
      <c r="P38">
        <v>2</v>
      </c>
      <c r="Q38" t="s">
        <v>174</v>
      </c>
    </row>
    <row r="39" spans="1:17" x14ac:dyDescent="0.25">
      <c r="A39">
        <v>28</v>
      </c>
      <c r="B39" t="s">
        <v>40</v>
      </c>
      <c r="C39" t="s">
        <v>23</v>
      </c>
      <c r="D39" t="s">
        <v>24</v>
      </c>
      <c r="E39" t="s">
        <v>25</v>
      </c>
      <c r="G39" t="s">
        <v>25</v>
      </c>
      <c r="H39" t="s">
        <v>25</v>
      </c>
      <c r="J39" t="s">
        <v>43</v>
      </c>
      <c r="K39" t="s">
        <v>70</v>
      </c>
      <c r="L39">
        <v>33</v>
      </c>
      <c r="M39" t="s">
        <v>39</v>
      </c>
      <c r="N39" t="s">
        <v>30</v>
      </c>
      <c r="O39">
        <v>0</v>
      </c>
      <c r="P39">
        <v>2</v>
      </c>
      <c r="Q39" t="s">
        <v>174</v>
      </c>
    </row>
    <row r="40" spans="1:17" x14ac:dyDescent="0.25">
      <c r="A40">
        <v>14</v>
      </c>
      <c r="B40" t="s">
        <v>22</v>
      </c>
      <c r="C40" t="s">
        <v>47</v>
      </c>
      <c r="D40" t="s">
        <v>24</v>
      </c>
      <c r="E40" t="s">
        <v>22</v>
      </c>
      <c r="F40" t="s">
        <v>25</v>
      </c>
      <c r="K40" t="s">
        <v>27</v>
      </c>
      <c r="L40">
        <v>42</v>
      </c>
      <c r="M40" t="s">
        <v>39</v>
      </c>
      <c r="N40" t="s">
        <v>30</v>
      </c>
      <c r="O40">
        <v>80</v>
      </c>
      <c r="P40">
        <v>1</v>
      </c>
      <c r="Q40" t="s">
        <v>176</v>
      </c>
    </row>
    <row r="41" spans="1:17" x14ac:dyDescent="0.25">
      <c r="A41">
        <v>29</v>
      </c>
      <c r="B41" t="s">
        <v>22</v>
      </c>
      <c r="C41" t="s">
        <v>54</v>
      </c>
      <c r="D41" t="s">
        <v>24</v>
      </c>
      <c r="E41" t="s">
        <v>22</v>
      </c>
      <c r="F41" t="s">
        <v>22</v>
      </c>
      <c r="I41" t="s">
        <v>22</v>
      </c>
      <c r="K41" t="s">
        <v>70</v>
      </c>
      <c r="L41">
        <v>43</v>
      </c>
      <c r="M41" t="s">
        <v>39</v>
      </c>
      <c r="N41" t="s">
        <v>30</v>
      </c>
      <c r="O41">
        <v>120</v>
      </c>
      <c r="P41">
        <v>5</v>
      </c>
      <c r="Q41" t="s">
        <v>176</v>
      </c>
    </row>
    <row r="42" spans="1:17" x14ac:dyDescent="0.25">
      <c r="A42">
        <v>18</v>
      </c>
      <c r="B42" t="s">
        <v>22</v>
      </c>
      <c r="C42" t="s">
        <v>23</v>
      </c>
      <c r="D42" t="s">
        <v>36</v>
      </c>
      <c r="E42" t="s">
        <v>22</v>
      </c>
      <c r="F42" t="s">
        <v>25</v>
      </c>
      <c r="K42" t="s">
        <v>27</v>
      </c>
      <c r="L42">
        <v>53</v>
      </c>
      <c r="M42" t="s">
        <v>39</v>
      </c>
      <c r="N42" t="s">
        <v>30</v>
      </c>
      <c r="O42">
        <v>80</v>
      </c>
      <c r="P42">
        <v>1</v>
      </c>
      <c r="Q42" t="s">
        <v>177</v>
      </c>
    </row>
    <row r="43" spans="1:17" x14ac:dyDescent="0.25">
      <c r="A43">
        <v>44</v>
      </c>
      <c r="B43" t="s">
        <v>22</v>
      </c>
      <c r="C43" t="s">
        <v>47</v>
      </c>
      <c r="D43" t="s">
        <v>24</v>
      </c>
      <c r="E43" t="s">
        <v>22</v>
      </c>
      <c r="F43" t="s">
        <v>25</v>
      </c>
      <c r="K43" t="s">
        <v>70</v>
      </c>
      <c r="L43">
        <v>51</v>
      </c>
      <c r="M43" t="s">
        <v>39</v>
      </c>
      <c r="N43" t="s">
        <v>30</v>
      </c>
      <c r="O43">
        <v>80</v>
      </c>
      <c r="P43">
        <v>3</v>
      </c>
      <c r="Q43" t="s">
        <v>177</v>
      </c>
    </row>
    <row r="44" spans="1:17" x14ac:dyDescent="0.25">
      <c r="A44">
        <v>10</v>
      </c>
      <c r="B44" t="s">
        <v>25</v>
      </c>
      <c r="J44" t="s">
        <v>51</v>
      </c>
      <c r="K44" t="s">
        <v>27</v>
      </c>
      <c r="L44">
        <v>35</v>
      </c>
      <c r="M44" t="s">
        <v>52</v>
      </c>
      <c r="N44" t="s">
        <v>30</v>
      </c>
      <c r="O44">
        <v>0</v>
      </c>
      <c r="P44">
        <v>2</v>
      </c>
      <c r="Q44" t="s">
        <v>174</v>
      </c>
    </row>
    <row r="45" spans="1:17" x14ac:dyDescent="0.25">
      <c r="A45">
        <v>43</v>
      </c>
      <c r="B45" t="s">
        <v>40</v>
      </c>
      <c r="C45" t="s">
        <v>57</v>
      </c>
      <c r="D45" t="s">
        <v>67</v>
      </c>
      <c r="E45" t="s">
        <v>22</v>
      </c>
      <c r="F45" t="s">
        <v>25</v>
      </c>
      <c r="K45" t="s">
        <v>70</v>
      </c>
      <c r="L45">
        <v>37</v>
      </c>
      <c r="M45" t="s">
        <v>52</v>
      </c>
      <c r="N45" t="s">
        <v>30</v>
      </c>
      <c r="O45">
        <v>80</v>
      </c>
      <c r="P45">
        <v>4</v>
      </c>
      <c r="Q45" t="s">
        <v>175</v>
      </c>
    </row>
    <row r="46" spans="1:17" x14ac:dyDescent="0.25">
      <c r="A46">
        <v>50</v>
      </c>
      <c r="B46" t="s">
        <v>40</v>
      </c>
      <c r="C46" t="s">
        <v>23</v>
      </c>
      <c r="D46" t="s">
        <v>67</v>
      </c>
      <c r="E46" t="s">
        <v>22</v>
      </c>
      <c r="F46" t="s">
        <v>25</v>
      </c>
      <c r="K46" t="s">
        <v>70</v>
      </c>
      <c r="L46">
        <v>46</v>
      </c>
      <c r="M46" t="s">
        <v>52</v>
      </c>
      <c r="N46" t="s">
        <v>30</v>
      </c>
      <c r="O46">
        <v>80</v>
      </c>
      <c r="P46">
        <v>4</v>
      </c>
      <c r="Q46" t="s">
        <v>176</v>
      </c>
    </row>
    <row r="47" spans="1:17" x14ac:dyDescent="0.25">
      <c r="A47">
        <v>21</v>
      </c>
      <c r="B47" t="s">
        <v>25</v>
      </c>
      <c r="J47" t="s">
        <v>32</v>
      </c>
      <c r="K47" t="s">
        <v>27</v>
      </c>
      <c r="L47">
        <v>69</v>
      </c>
      <c r="M47" t="s">
        <v>52</v>
      </c>
      <c r="N47" t="s">
        <v>35</v>
      </c>
      <c r="O47">
        <v>0</v>
      </c>
      <c r="P47">
        <v>2</v>
      </c>
      <c r="Q47" t="s">
        <v>177</v>
      </c>
    </row>
    <row r="48" spans="1:17" x14ac:dyDescent="0.25">
      <c r="A48">
        <v>49</v>
      </c>
      <c r="B48" t="s">
        <v>25</v>
      </c>
      <c r="J48" t="s">
        <v>43</v>
      </c>
      <c r="K48" t="s">
        <v>70</v>
      </c>
      <c r="L48">
        <v>62</v>
      </c>
      <c r="M48" t="s">
        <v>52</v>
      </c>
      <c r="N48" t="s">
        <v>30</v>
      </c>
      <c r="O48">
        <v>0</v>
      </c>
      <c r="P48">
        <v>3</v>
      </c>
      <c r="Q48" t="s">
        <v>177</v>
      </c>
    </row>
    <row r="49" spans="1:17" x14ac:dyDescent="0.25">
      <c r="A49">
        <v>48</v>
      </c>
      <c r="B49" t="s">
        <v>22</v>
      </c>
      <c r="C49" t="s">
        <v>57</v>
      </c>
      <c r="D49" t="s">
        <v>58</v>
      </c>
      <c r="E49" t="s">
        <v>22</v>
      </c>
      <c r="F49" t="s">
        <v>25</v>
      </c>
      <c r="K49" t="s">
        <v>70</v>
      </c>
      <c r="L49">
        <v>52</v>
      </c>
      <c r="M49" t="s">
        <v>52</v>
      </c>
      <c r="N49" t="s">
        <v>30</v>
      </c>
      <c r="O49">
        <v>80</v>
      </c>
      <c r="P49">
        <v>4</v>
      </c>
      <c r="Q49" t="s">
        <v>177</v>
      </c>
    </row>
    <row r="50" spans="1:17" x14ac:dyDescent="0.25">
      <c r="A50">
        <v>47</v>
      </c>
      <c r="B50" t="s">
        <v>40</v>
      </c>
      <c r="C50" t="s">
        <v>41</v>
      </c>
      <c r="D50" t="s">
        <v>58</v>
      </c>
      <c r="E50" t="s">
        <v>22</v>
      </c>
      <c r="F50" t="s">
        <v>22</v>
      </c>
      <c r="I50" t="s">
        <v>22</v>
      </c>
      <c r="K50" t="s">
        <v>70</v>
      </c>
      <c r="L50">
        <v>32</v>
      </c>
      <c r="M50" t="s">
        <v>65</v>
      </c>
      <c r="N50" t="s">
        <v>30</v>
      </c>
      <c r="O50">
        <v>120</v>
      </c>
      <c r="P50">
        <v>5</v>
      </c>
      <c r="Q50" t="s">
        <v>174</v>
      </c>
    </row>
    <row r="51" spans="1:17" x14ac:dyDescent="0.25">
      <c r="A51">
        <v>19</v>
      </c>
      <c r="B51" t="s">
        <v>22</v>
      </c>
      <c r="C51" t="s">
        <v>41</v>
      </c>
      <c r="D51" t="s">
        <v>24</v>
      </c>
      <c r="E51" t="s">
        <v>22</v>
      </c>
      <c r="F51" t="s">
        <v>25</v>
      </c>
      <c r="K51" t="s">
        <v>27</v>
      </c>
      <c r="L51">
        <v>36</v>
      </c>
      <c r="M51" t="s">
        <v>65</v>
      </c>
      <c r="N51" t="s">
        <v>30</v>
      </c>
      <c r="O51">
        <v>80</v>
      </c>
      <c r="P51">
        <v>1</v>
      </c>
      <c r="Q51" t="s">
        <v>175</v>
      </c>
    </row>
    <row r="57" spans="1:17" x14ac:dyDescent="0.25">
      <c r="M57" s="21" t="s">
        <v>180</v>
      </c>
      <c r="N57" s="21" t="s">
        <v>181</v>
      </c>
      <c r="O57" s="21"/>
    </row>
    <row r="58" spans="1:17" x14ac:dyDescent="0.25">
      <c r="M58">
        <v>0</v>
      </c>
      <c r="N58" s="11">
        <f>O58/$O$58</f>
        <v>1</v>
      </c>
      <c r="O58" cm="1">
        <f t="array" ref="O58">COUNT(IF($O$2:$O$51&gt;=M58,$O$2:$O$51))</f>
        <v>50</v>
      </c>
    </row>
    <row r="59" spans="1:17" x14ac:dyDescent="0.25">
      <c r="M59">
        <v>30</v>
      </c>
      <c r="N59" s="11">
        <f t="shared" ref="N59:N63" si="0">O59/$O$58</f>
        <v>0.64</v>
      </c>
      <c r="O59" cm="1">
        <f t="array" ref="O59">COUNT(IF($O$2:$O$51&gt;=M59,$O$2:$O$51))</f>
        <v>32</v>
      </c>
    </row>
    <row r="60" spans="1:17" x14ac:dyDescent="0.25">
      <c r="M60">
        <v>50</v>
      </c>
      <c r="N60" s="11">
        <f t="shared" si="0"/>
        <v>0.56000000000000005</v>
      </c>
      <c r="O60" cm="1">
        <f t="array" ref="O60">COUNT(IF($O$2:$O$51&gt;=M60,$O$2:$O$51))</f>
        <v>28</v>
      </c>
    </row>
    <row r="61" spans="1:17" x14ac:dyDescent="0.25">
      <c r="M61">
        <v>80</v>
      </c>
      <c r="N61" s="11">
        <f t="shared" si="0"/>
        <v>0.5</v>
      </c>
      <c r="O61" cm="1">
        <f t="array" ref="O61">COUNT(IF($O$2:$O$51&gt;=M61,$O$2:$O$51))</f>
        <v>25</v>
      </c>
    </row>
    <row r="62" spans="1:17" x14ac:dyDescent="0.25">
      <c r="M62">
        <v>100</v>
      </c>
      <c r="N62" s="11">
        <f t="shared" si="0"/>
        <v>0.2</v>
      </c>
      <c r="O62" cm="1">
        <f t="array" ref="O62">COUNT(IF($O$2:$O$51&gt;=M62,$O$2:$O$51))</f>
        <v>10</v>
      </c>
    </row>
    <row r="63" spans="1:17" x14ac:dyDescent="0.25">
      <c r="M63">
        <v>120</v>
      </c>
      <c r="N63" s="11">
        <f t="shared" si="0"/>
        <v>0.1</v>
      </c>
      <c r="O63" cm="1">
        <f t="array" ref="O63">COUNT(IF($O$2:$O$51&gt;=M63,$O$2:$O$51))</f>
        <v>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E40AF-CE1A-41A3-B132-B117AC8789B0}">
  <dimension ref="A1:I18"/>
  <sheetViews>
    <sheetView workbookViewId="0">
      <selection activeCell="G9" sqref="G8:G9"/>
    </sheetView>
  </sheetViews>
  <sheetFormatPr defaultRowHeight="15" x14ac:dyDescent="0.25"/>
  <cols>
    <col min="1" max="1" width="24.85546875" bestFit="1" customWidth="1"/>
    <col min="2" max="2" width="12.7109375" bestFit="1" customWidth="1"/>
    <col min="3" max="3" width="12" bestFit="1" customWidth="1"/>
    <col min="4" max="4" width="12.7109375" bestFit="1" customWidth="1"/>
    <col min="5" max="5" width="12" bestFit="1" customWidth="1"/>
    <col min="6" max="6" width="16" bestFit="1" customWidth="1"/>
    <col min="7" max="7" width="14.7109375" bestFit="1" customWidth="1"/>
    <col min="8" max="8" width="13.7109375" bestFit="1" customWidth="1"/>
    <col min="9" max="9" width="14.5703125" bestFit="1" customWidth="1"/>
  </cols>
  <sheetData>
    <row r="1" spans="1:9" x14ac:dyDescent="0.25">
      <c r="A1" t="s">
        <v>214</v>
      </c>
    </row>
    <row r="2" spans="1:9" ht="15.75" thickBot="1" x14ac:dyDescent="0.3"/>
    <row r="3" spans="1:9" x14ac:dyDescent="0.25">
      <c r="A3" s="34" t="s">
        <v>215</v>
      </c>
      <c r="B3" s="34"/>
    </row>
    <row r="4" spans="1:9" x14ac:dyDescent="0.25">
      <c r="A4" t="s">
        <v>216</v>
      </c>
      <c r="B4">
        <v>0.95185530000130081</v>
      </c>
    </row>
    <row r="5" spans="1:9" x14ac:dyDescent="0.25">
      <c r="A5" t="s">
        <v>217</v>
      </c>
      <c r="B5">
        <v>0.90602851214056646</v>
      </c>
    </row>
    <row r="6" spans="1:9" x14ac:dyDescent="0.25">
      <c r="A6" t="s">
        <v>218</v>
      </c>
      <c r="B6">
        <v>0.87470468285408864</v>
      </c>
    </row>
    <row r="7" spans="1:9" x14ac:dyDescent="0.25">
      <c r="A7" s="28" t="s">
        <v>219</v>
      </c>
      <c r="B7" s="28">
        <v>8.3615062618776131E-2</v>
      </c>
    </row>
    <row r="8" spans="1:9" ht="15.75" thickBot="1" x14ac:dyDescent="0.3">
      <c r="A8" s="32" t="s">
        <v>220</v>
      </c>
      <c r="B8" s="32">
        <v>5</v>
      </c>
    </row>
    <row r="10" spans="1:9" ht="15.75" thickBot="1" x14ac:dyDescent="0.3">
      <c r="A10" t="s">
        <v>221</v>
      </c>
    </row>
    <row r="11" spans="1:9" x14ac:dyDescent="0.25">
      <c r="A11" s="33"/>
      <c r="B11" s="33" t="s">
        <v>226</v>
      </c>
      <c r="C11" s="33" t="s">
        <v>227</v>
      </c>
      <c r="D11" s="33" t="s">
        <v>228</v>
      </c>
      <c r="E11" s="33" t="s">
        <v>229</v>
      </c>
      <c r="F11" s="33" t="s">
        <v>230</v>
      </c>
    </row>
    <row r="12" spans="1:9" x14ac:dyDescent="0.25">
      <c r="A12" t="s">
        <v>222</v>
      </c>
      <c r="B12">
        <v>1</v>
      </c>
      <c r="C12">
        <v>0.20222556390977448</v>
      </c>
      <c r="D12">
        <v>0.20222556390977448</v>
      </c>
      <c r="E12">
        <v>28.924577000286789</v>
      </c>
      <c r="F12">
        <v>1.2589113508815633E-2</v>
      </c>
    </row>
    <row r="13" spans="1:9" x14ac:dyDescent="0.25">
      <c r="A13" t="s">
        <v>223</v>
      </c>
      <c r="B13">
        <v>3</v>
      </c>
      <c r="C13">
        <v>2.0974436090225562E-2</v>
      </c>
      <c r="D13">
        <v>6.9914786967418541E-3</v>
      </c>
    </row>
    <row r="14" spans="1:9" ht="15.75" thickBot="1" x14ac:dyDescent="0.3">
      <c r="A14" s="32" t="s">
        <v>224</v>
      </c>
      <c r="B14" s="32">
        <v>4</v>
      </c>
      <c r="C14" s="32">
        <v>0.22320000000000004</v>
      </c>
      <c r="D14" s="32"/>
      <c r="E14" s="32"/>
      <c r="F14" s="32"/>
    </row>
    <row r="15" spans="1:9" ht="15.75" thickBot="1" x14ac:dyDescent="0.3"/>
    <row r="16" spans="1:9" x14ac:dyDescent="0.25">
      <c r="A16" s="33"/>
      <c r="B16" s="33" t="s">
        <v>231</v>
      </c>
      <c r="C16" s="33" t="s">
        <v>219</v>
      </c>
      <c r="D16" s="33" t="s">
        <v>232</v>
      </c>
      <c r="E16" s="33" t="s">
        <v>233</v>
      </c>
      <c r="F16" s="33" t="s">
        <v>234</v>
      </c>
      <c r="G16" s="33" t="s">
        <v>235</v>
      </c>
      <c r="H16" s="33" t="s">
        <v>236</v>
      </c>
      <c r="I16" s="33" t="s">
        <v>237</v>
      </c>
    </row>
    <row r="17" spans="1:9" x14ac:dyDescent="0.25">
      <c r="A17" t="s">
        <v>225</v>
      </c>
      <c r="B17">
        <v>0.86857142857142855</v>
      </c>
      <c r="C17">
        <v>9.4810569235017766E-2</v>
      </c>
      <c r="D17">
        <v>9.161124498877351</v>
      </c>
      <c r="E17">
        <v>2.7498072156432567E-3</v>
      </c>
      <c r="F17">
        <v>0.56684188280760095</v>
      </c>
      <c r="G17">
        <v>1.1703009743352562</v>
      </c>
      <c r="H17">
        <v>0.56684188280760095</v>
      </c>
      <c r="I17">
        <v>1.1703009743352562</v>
      </c>
    </row>
    <row r="18" spans="1:9" ht="15.75" thickBot="1" x14ac:dyDescent="0.3">
      <c r="A18" s="32">
        <v>0</v>
      </c>
      <c r="B18" s="32">
        <v>-6.1654135338345848E-3</v>
      </c>
      <c r="C18" s="32">
        <v>1.1463802706569387E-3</v>
      </c>
      <c r="D18" s="32">
        <v>-5.3781573982440092</v>
      </c>
      <c r="E18" s="32">
        <v>1.2589113508815641E-2</v>
      </c>
      <c r="F18" s="32">
        <v>-9.8137071906368983E-3</v>
      </c>
      <c r="G18" s="32">
        <v>-2.5171198770322718E-3</v>
      </c>
      <c r="H18" s="32">
        <v>-9.8137071906368983E-3</v>
      </c>
      <c r="I18" s="32">
        <v>-2.5171198770322718E-3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F7119-519E-449B-B271-3F2F2173C8DF}">
  <sheetPr codeName="Planilha10"/>
  <dimension ref="A1:Q17"/>
  <sheetViews>
    <sheetView topLeftCell="J1" zoomScale="90" zoomScaleNormal="90" workbookViewId="0">
      <selection activeCell="N15" sqref="N15"/>
    </sheetView>
  </sheetViews>
  <sheetFormatPr defaultColWidth="15.140625" defaultRowHeight="15" x14ac:dyDescent="0.25"/>
  <sheetData>
    <row r="1" spans="1:17" x14ac:dyDescent="0.25">
      <c r="A1" t="s">
        <v>152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149</v>
      </c>
      <c r="P1" t="s">
        <v>153</v>
      </c>
      <c r="Q1" t="s">
        <v>173</v>
      </c>
    </row>
    <row r="2" spans="1:17" x14ac:dyDescent="0.25">
      <c r="A2">
        <v>41</v>
      </c>
      <c r="B2" t="s">
        <v>22</v>
      </c>
      <c r="C2" t="s">
        <v>47</v>
      </c>
      <c r="D2" t="s">
        <v>58</v>
      </c>
      <c r="E2" t="s">
        <v>22</v>
      </c>
      <c r="F2" t="s">
        <v>25</v>
      </c>
      <c r="K2" t="s">
        <v>70</v>
      </c>
      <c r="L2">
        <v>25</v>
      </c>
      <c r="M2" t="s">
        <v>29</v>
      </c>
      <c r="N2" t="s">
        <v>30</v>
      </c>
      <c r="O2">
        <v>80</v>
      </c>
      <c r="P2">
        <v>2</v>
      </c>
      <c r="Q2" t="s">
        <v>174</v>
      </c>
    </row>
    <row r="3" spans="1:17" x14ac:dyDescent="0.25">
      <c r="A3">
        <v>36</v>
      </c>
      <c r="B3" t="s">
        <v>40</v>
      </c>
      <c r="C3" t="s">
        <v>41</v>
      </c>
      <c r="D3" t="s">
        <v>67</v>
      </c>
      <c r="E3" t="s">
        <v>25</v>
      </c>
      <c r="G3" t="s">
        <v>25</v>
      </c>
      <c r="H3" t="s">
        <v>22</v>
      </c>
      <c r="K3" t="s">
        <v>70</v>
      </c>
      <c r="L3">
        <v>31</v>
      </c>
      <c r="M3" t="s">
        <v>29</v>
      </c>
      <c r="N3" t="s">
        <v>30</v>
      </c>
      <c r="O3">
        <v>30</v>
      </c>
      <c r="P3">
        <v>2</v>
      </c>
      <c r="Q3" t="s">
        <v>174</v>
      </c>
    </row>
    <row r="4" spans="1:17" x14ac:dyDescent="0.25">
      <c r="A4">
        <v>35</v>
      </c>
      <c r="B4" t="s">
        <v>22</v>
      </c>
      <c r="C4" t="s">
        <v>57</v>
      </c>
      <c r="D4" t="s">
        <v>24</v>
      </c>
      <c r="E4" t="s">
        <v>22</v>
      </c>
      <c r="F4" t="s">
        <v>22</v>
      </c>
      <c r="I4" t="s">
        <v>22</v>
      </c>
      <c r="K4" t="s">
        <v>70</v>
      </c>
      <c r="L4">
        <v>34</v>
      </c>
      <c r="M4" t="s">
        <v>29</v>
      </c>
      <c r="N4" t="s">
        <v>30</v>
      </c>
      <c r="O4">
        <v>120</v>
      </c>
      <c r="P4">
        <v>2</v>
      </c>
      <c r="Q4" t="s">
        <v>174</v>
      </c>
    </row>
    <row r="5" spans="1:17" x14ac:dyDescent="0.25">
      <c r="A5">
        <v>33</v>
      </c>
      <c r="B5" t="s">
        <v>22</v>
      </c>
      <c r="C5" t="s">
        <v>47</v>
      </c>
      <c r="D5" t="s">
        <v>36</v>
      </c>
      <c r="E5" t="s">
        <v>25</v>
      </c>
      <c r="G5" t="s">
        <v>25</v>
      </c>
      <c r="H5" t="s">
        <v>22</v>
      </c>
      <c r="K5" t="s">
        <v>70</v>
      </c>
      <c r="L5">
        <v>33</v>
      </c>
      <c r="M5" t="s">
        <v>29</v>
      </c>
      <c r="N5" t="s">
        <v>30</v>
      </c>
      <c r="O5">
        <v>30</v>
      </c>
      <c r="P5">
        <v>2</v>
      </c>
      <c r="Q5" t="s">
        <v>174</v>
      </c>
    </row>
    <row r="11" spans="1:17" x14ac:dyDescent="0.25">
      <c r="M11" t="s">
        <v>180</v>
      </c>
      <c r="N11" t="s">
        <v>181</v>
      </c>
    </row>
    <row r="12" spans="1:17" x14ac:dyDescent="0.25">
      <c r="M12">
        <v>0</v>
      </c>
      <c r="N12" s="11">
        <f>O12/$O$12</f>
        <v>1</v>
      </c>
      <c r="O12" cm="1">
        <f t="array" ref="O12">COUNT(IF($O$2:$O$5&gt;=M12,$O$2:$O$5))</f>
        <v>4</v>
      </c>
    </row>
    <row r="13" spans="1:17" x14ac:dyDescent="0.25">
      <c r="M13">
        <v>30</v>
      </c>
      <c r="N13" s="11">
        <f t="shared" ref="N13:N17" si="0">O13/$O$12</f>
        <v>1</v>
      </c>
      <c r="O13" cm="1">
        <f t="array" ref="O13">COUNT(IF($O$2:$O$5&gt;=M13,$O$2:$O$5))</f>
        <v>4</v>
      </c>
    </row>
    <row r="14" spans="1:17" x14ac:dyDescent="0.25">
      <c r="M14">
        <v>50</v>
      </c>
      <c r="N14" s="11">
        <f t="shared" si="0"/>
        <v>0.5</v>
      </c>
      <c r="O14" cm="1">
        <f t="array" ref="O14">COUNT(IF($O$2:$O$5&gt;=M14,$O$2:$O$5))</f>
        <v>2</v>
      </c>
    </row>
    <row r="15" spans="1:17" x14ac:dyDescent="0.25">
      <c r="M15">
        <v>80</v>
      </c>
      <c r="N15" s="11">
        <f t="shared" si="0"/>
        <v>0.5</v>
      </c>
      <c r="O15" cm="1">
        <f t="array" ref="O15">COUNT(IF($O$2:$O$5&gt;=M15,$O$2:$O$5))</f>
        <v>2</v>
      </c>
    </row>
    <row r="16" spans="1:17" x14ac:dyDescent="0.25">
      <c r="M16">
        <v>100</v>
      </c>
      <c r="N16" s="11">
        <f t="shared" si="0"/>
        <v>0.25</v>
      </c>
      <c r="O16" cm="1">
        <f t="array" ref="O16">COUNT(IF($O$2:$O$5&gt;=M16,$O$2:$O$5))</f>
        <v>1</v>
      </c>
    </row>
    <row r="17" spans="13:15" x14ac:dyDescent="0.25">
      <c r="M17">
        <v>120</v>
      </c>
      <c r="N17" s="11">
        <f t="shared" si="0"/>
        <v>0.25</v>
      </c>
      <c r="O17" cm="1">
        <f t="array" ref="O17">COUNT(IF($O$2:$O$5&gt;=M17,$O$2:$O$5))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256B-2C5C-46DD-8CBC-26ABB18C6D87}">
  <dimension ref="A1:I18"/>
  <sheetViews>
    <sheetView workbookViewId="0">
      <selection sqref="A1:XFD1048576"/>
    </sheetView>
  </sheetViews>
  <sheetFormatPr defaultRowHeight="15" x14ac:dyDescent="0.25"/>
  <cols>
    <col min="1" max="1" width="24.85546875" bestFit="1" customWidth="1"/>
    <col min="2" max="2" width="12.7109375" bestFit="1" customWidth="1"/>
    <col min="3" max="3" width="12" bestFit="1" customWidth="1"/>
    <col min="4" max="4" width="12.7109375" bestFit="1" customWidth="1"/>
    <col min="5" max="5" width="12" bestFit="1" customWidth="1"/>
    <col min="6" max="6" width="16" bestFit="1" customWidth="1"/>
    <col min="7" max="7" width="14.7109375" bestFit="1" customWidth="1"/>
    <col min="8" max="8" width="13.7109375" bestFit="1" customWidth="1"/>
    <col min="9" max="9" width="14.5703125" bestFit="1" customWidth="1"/>
  </cols>
  <sheetData>
    <row r="1" spans="1:9" x14ac:dyDescent="0.25">
      <c r="A1" t="s">
        <v>214</v>
      </c>
    </row>
    <row r="2" spans="1:9" ht="15.75" thickBot="1" x14ac:dyDescent="0.3"/>
    <row r="3" spans="1:9" x14ac:dyDescent="0.25">
      <c r="A3" s="34" t="s">
        <v>215</v>
      </c>
      <c r="B3" s="34"/>
    </row>
    <row r="4" spans="1:9" x14ac:dyDescent="0.25">
      <c r="A4" t="s">
        <v>216</v>
      </c>
      <c r="B4">
        <v>0.93214321723842897</v>
      </c>
    </row>
    <row r="5" spans="1:9" x14ac:dyDescent="0.25">
      <c r="A5" t="s">
        <v>217</v>
      </c>
      <c r="B5">
        <v>0.86889097744360888</v>
      </c>
    </row>
    <row r="6" spans="1:9" x14ac:dyDescent="0.25">
      <c r="A6" t="s">
        <v>218</v>
      </c>
      <c r="B6">
        <v>0.83611372180451116</v>
      </c>
    </row>
    <row r="7" spans="1:9" x14ac:dyDescent="0.25">
      <c r="A7" s="28" t="s">
        <v>219</v>
      </c>
      <c r="B7" s="28">
        <v>0.13827532603278755</v>
      </c>
    </row>
    <row r="8" spans="1:9" ht="15.75" thickBot="1" x14ac:dyDescent="0.3">
      <c r="A8" s="32" t="s">
        <v>220</v>
      </c>
      <c r="B8" s="32">
        <v>6</v>
      </c>
    </row>
    <row r="10" spans="1:9" ht="15.75" thickBot="1" x14ac:dyDescent="0.3">
      <c r="A10" t="s">
        <v>221</v>
      </c>
    </row>
    <row r="11" spans="1:9" x14ac:dyDescent="0.25">
      <c r="A11" s="33"/>
      <c r="B11" s="33" t="s">
        <v>226</v>
      </c>
      <c r="C11" s="33" t="s">
        <v>227</v>
      </c>
      <c r="D11" s="33" t="s">
        <v>228</v>
      </c>
      <c r="E11" s="33" t="s">
        <v>229</v>
      </c>
      <c r="F11" s="33" t="s">
        <v>230</v>
      </c>
    </row>
    <row r="12" spans="1:9" x14ac:dyDescent="0.25">
      <c r="A12" t="s">
        <v>222</v>
      </c>
      <c r="B12">
        <v>1</v>
      </c>
      <c r="C12">
        <v>0.50685307017543857</v>
      </c>
      <c r="D12">
        <v>0.50685307017543857</v>
      </c>
      <c r="E12">
        <v>26.508960573476688</v>
      </c>
      <c r="F12">
        <v>6.7505897142209927E-3</v>
      </c>
    </row>
    <row r="13" spans="1:9" x14ac:dyDescent="0.25">
      <c r="A13" t="s">
        <v>223</v>
      </c>
      <c r="B13">
        <v>4</v>
      </c>
      <c r="C13">
        <v>7.6480263157894773E-2</v>
      </c>
      <c r="D13">
        <v>1.9120065789473693E-2</v>
      </c>
    </row>
    <row r="14" spans="1:9" ht="15.75" thickBot="1" x14ac:dyDescent="0.3">
      <c r="A14" s="32" t="s">
        <v>224</v>
      </c>
      <c r="B14" s="32">
        <v>5</v>
      </c>
      <c r="C14" s="32">
        <v>0.58333333333333337</v>
      </c>
      <c r="D14" s="32"/>
      <c r="E14" s="32"/>
      <c r="F14" s="32"/>
    </row>
    <row r="15" spans="1:9" ht="15.75" thickBot="1" x14ac:dyDescent="0.3"/>
    <row r="16" spans="1:9" x14ac:dyDescent="0.25">
      <c r="A16" s="33"/>
      <c r="B16" s="33" t="s">
        <v>231</v>
      </c>
      <c r="C16" s="33" t="s">
        <v>219</v>
      </c>
      <c r="D16" s="33" t="s">
        <v>232</v>
      </c>
      <c r="E16" s="33" t="s">
        <v>233</v>
      </c>
      <c r="F16" s="33" t="s">
        <v>234</v>
      </c>
      <c r="G16" s="33" t="s">
        <v>235</v>
      </c>
      <c r="H16" s="33" t="s">
        <v>236</v>
      </c>
      <c r="I16" s="33" t="s">
        <v>237</v>
      </c>
    </row>
    <row r="17" spans="1:9" x14ac:dyDescent="0.25">
      <c r="A17" t="s">
        <v>225</v>
      </c>
      <c r="B17">
        <v>1.03125</v>
      </c>
      <c r="C17">
        <v>0.10370649452459066</v>
      </c>
      <c r="D17">
        <v>9.9439288226589539</v>
      </c>
      <c r="E17">
        <v>5.743700604133521E-4</v>
      </c>
      <c r="F17">
        <v>0.74331461089997852</v>
      </c>
      <c r="G17">
        <v>1.3191853891000216</v>
      </c>
      <c r="H17">
        <v>0.74331461089997852</v>
      </c>
      <c r="I17">
        <v>1.3191853891000216</v>
      </c>
    </row>
    <row r="18" spans="1:9" ht="15.75" thickBot="1" x14ac:dyDescent="0.3">
      <c r="A18" s="32" t="s">
        <v>180</v>
      </c>
      <c r="B18" s="32">
        <v>-7.0723684210526301E-3</v>
      </c>
      <c r="C18" s="32">
        <v>1.3736260763560913E-3</v>
      </c>
      <c r="D18" s="32">
        <v>-5.1486853247675448</v>
      </c>
      <c r="E18" s="32">
        <v>6.7505897142209987E-3</v>
      </c>
      <c r="F18" s="32">
        <v>-1.0886165817123551E-2</v>
      </c>
      <c r="G18" s="32">
        <v>-3.2585710249817099E-3</v>
      </c>
      <c r="H18" s="32">
        <v>-1.0886165817123551E-2</v>
      </c>
      <c r="I18" s="32">
        <v>-3.2585710249817099E-3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7E2CE-E83D-462D-99A3-E825C795B790}">
  <sheetPr codeName="Planilha11"/>
  <dimension ref="A1:Q18"/>
  <sheetViews>
    <sheetView topLeftCell="J2" zoomScale="90" zoomScaleNormal="90" workbookViewId="0">
      <selection activeCell="V17" sqref="V17"/>
    </sheetView>
  </sheetViews>
  <sheetFormatPr defaultColWidth="15.140625" defaultRowHeight="15" x14ac:dyDescent="0.25"/>
  <sheetData>
    <row r="1" spans="1:17" x14ac:dyDescent="0.25">
      <c r="A1" t="s">
        <v>152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149</v>
      </c>
      <c r="P1" t="s">
        <v>153</v>
      </c>
      <c r="Q1" t="s">
        <v>173</v>
      </c>
    </row>
    <row r="2" spans="1:17" x14ac:dyDescent="0.25">
      <c r="A2">
        <v>20</v>
      </c>
      <c r="B2" t="s">
        <v>40</v>
      </c>
      <c r="C2" t="s">
        <v>23</v>
      </c>
      <c r="D2" t="s">
        <v>36</v>
      </c>
      <c r="E2" t="s">
        <v>22</v>
      </c>
      <c r="F2" t="s">
        <v>22</v>
      </c>
      <c r="I2" t="s">
        <v>25</v>
      </c>
      <c r="K2" t="s">
        <v>27</v>
      </c>
      <c r="L2">
        <v>50</v>
      </c>
      <c r="M2" t="s">
        <v>29</v>
      </c>
      <c r="N2" t="s">
        <v>30</v>
      </c>
      <c r="O2">
        <v>100</v>
      </c>
      <c r="P2">
        <v>3</v>
      </c>
      <c r="Q2" t="s">
        <v>176</v>
      </c>
    </row>
    <row r="3" spans="1:17" x14ac:dyDescent="0.25">
      <c r="A3">
        <v>13</v>
      </c>
      <c r="B3" t="s">
        <v>22</v>
      </c>
      <c r="C3" t="s">
        <v>54</v>
      </c>
      <c r="D3" t="s">
        <v>42</v>
      </c>
      <c r="E3" t="s">
        <v>22</v>
      </c>
      <c r="F3" t="s">
        <v>22</v>
      </c>
      <c r="I3" t="s">
        <v>22</v>
      </c>
      <c r="K3" t="s">
        <v>27</v>
      </c>
      <c r="L3">
        <v>46</v>
      </c>
      <c r="M3" t="s">
        <v>29</v>
      </c>
      <c r="N3" t="s">
        <v>30</v>
      </c>
      <c r="O3">
        <v>120</v>
      </c>
      <c r="P3">
        <v>3</v>
      </c>
      <c r="Q3" t="s">
        <v>176</v>
      </c>
    </row>
    <row r="4" spans="1:17" x14ac:dyDescent="0.25">
      <c r="A4">
        <v>12</v>
      </c>
      <c r="B4" t="s">
        <v>22</v>
      </c>
      <c r="C4" t="s">
        <v>54</v>
      </c>
      <c r="D4" t="s">
        <v>42</v>
      </c>
      <c r="E4" t="s">
        <v>22</v>
      </c>
      <c r="F4" t="s">
        <v>25</v>
      </c>
      <c r="K4" t="s">
        <v>27</v>
      </c>
      <c r="L4">
        <v>50</v>
      </c>
      <c r="M4" t="s">
        <v>29</v>
      </c>
      <c r="N4" t="s">
        <v>30</v>
      </c>
      <c r="O4">
        <v>80</v>
      </c>
      <c r="P4">
        <v>3</v>
      </c>
      <c r="Q4" t="s">
        <v>176</v>
      </c>
    </row>
    <row r="5" spans="1:17" x14ac:dyDescent="0.25">
      <c r="A5">
        <v>11</v>
      </c>
      <c r="B5" t="s">
        <v>22</v>
      </c>
      <c r="C5" t="s">
        <v>23</v>
      </c>
      <c r="D5" t="s">
        <v>24</v>
      </c>
      <c r="E5" t="s">
        <v>22</v>
      </c>
      <c r="F5" t="s">
        <v>22</v>
      </c>
      <c r="I5" t="s">
        <v>25</v>
      </c>
      <c r="K5" t="s">
        <v>27</v>
      </c>
      <c r="L5">
        <v>45</v>
      </c>
      <c r="M5" t="s">
        <v>29</v>
      </c>
      <c r="N5" t="s">
        <v>30</v>
      </c>
      <c r="O5">
        <v>100</v>
      </c>
      <c r="P5">
        <v>3</v>
      </c>
      <c r="Q5" t="s">
        <v>176</v>
      </c>
    </row>
    <row r="6" spans="1:17" x14ac:dyDescent="0.25">
      <c r="A6">
        <v>6</v>
      </c>
      <c r="B6" t="s">
        <v>22</v>
      </c>
      <c r="C6" t="s">
        <v>41</v>
      </c>
      <c r="D6" t="s">
        <v>36</v>
      </c>
      <c r="E6" t="s">
        <v>22</v>
      </c>
      <c r="F6" t="s">
        <v>25</v>
      </c>
      <c r="K6" t="s">
        <v>27</v>
      </c>
      <c r="L6">
        <v>42</v>
      </c>
      <c r="M6" t="s">
        <v>29</v>
      </c>
      <c r="N6" t="s">
        <v>30</v>
      </c>
      <c r="O6">
        <v>80</v>
      </c>
      <c r="P6">
        <v>3</v>
      </c>
      <c r="Q6" t="s">
        <v>176</v>
      </c>
    </row>
    <row r="12" spans="1:17" x14ac:dyDescent="0.25">
      <c r="M12" t="s">
        <v>180</v>
      </c>
      <c r="N12" t="s">
        <v>181</v>
      </c>
    </row>
    <row r="13" spans="1:17" x14ac:dyDescent="0.25">
      <c r="M13">
        <v>0</v>
      </c>
      <c r="N13" s="11">
        <f>O13/$O$13</f>
        <v>1</v>
      </c>
      <c r="O13" cm="1">
        <f t="array" ref="O13">COUNT(IF($O$2:$O$6&gt;=M13,$O$2:$O$6))</f>
        <v>5</v>
      </c>
    </row>
    <row r="14" spans="1:17" x14ac:dyDescent="0.25">
      <c r="M14">
        <v>30</v>
      </c>
      <c r="N14" s="11">
        <f t="shared" ref="N14:N18" si="0">O14/$O$13</f>
        <v>1</v>
      </c>
      <c r="O14" cm="1">
        <f t="array" ref="O14">COUNT(IF($O$2:$O$6&gt;=M14,$O$2:$O$6))</f>
        <v>5</v>
      </c>
    </row>
    <row r="15" spans="1:17" x14ac:dyDescent="0.25">
      <c r="M15">
        <v>50</v>
      </c>
      <c r="N15" s="11">
        <f t="shared" si="0"/>
        <v>1</v>
      </c>
      <c r="O15" cm="1">
        <f t="array" ref="O15">COUNT(IF($O$2:$O$6&gt;=M15,$O$2:$O$6))</f>
        <v>5</v>
      </c>
    </row>
    <row r="16" spans="1:17" x14ac:dyDescent="0.25">
      <c r="M16">
        <v>80</v>
      </c>
      <c r="N16" s="11">
        <f t="shared" si="0"/>
        <v>1</v>
      </c>
      <c r="O16" cm="1">
        <f t="array" ref="O16">COUNT(IF($O$2:$O$6&gt;=M16,$O$2:$O$6))</f>
        <v>5</v>
      </c>
    </row>
    <row r="17" spans="13:15" x14ac:dyDescent="0.25">
      <c r="M17">
        <v>100</v>
      </c>
      <c r="N17" s="11">
        <f t="shared" si="0"/>
        <v>0.6</v>
      </c>
      <c r="O17" cm="1">
        <f t="array" ref="O17">COUNT(IF($O$2:$O$6&gt;=M17,$O$2:$O$6))</f>
        <v>3</v>
      </c>
    </row>
    <row r="18" spans="13:15" x14ac:dyDescent="0.25">
      <c r="M18">
        <v>120</v>
      </c>
      <c r="N18" s="11">
        <f t="shared" si="0"/>
        <v>0.2</v>
      </c>
      <c r="O18" cm="1">
        <f t="array" ref="O18">COUNT(IF($O$2:$O$6&gt;=M18,$O$2:$O$6))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48361-EC05-46C0-8F7B-11066ECCA11F}">
  <dimension ref="A1:I18"/>
  <sheetViews>
    <sheetView workbookViewId="0">
      <selection activeCell="K12" sqref="K12"/>
    </sheetView>
  </sheetViews>
  <sheetFormatPr defaultRowHeight="15" x14ac:dyDescent="0.25"/>
  <cols>
    <col min="1" max="1" width="24.85546875" bestFit="1" customWidth="1"/>
    <col min="2" max="2" width="12.7109375" bestFit="1" customWidth="1"/>
    <col min="3" max="3" width="12" bestFit="1" customWidth="1"/>
    <col min="4" max="4" width="12.7109375" bestFit="1" customWidth="1"/>
    <col min="5" max="5" width="12" bestFit="1" customWidth="1"/>
    <col min="6" max="6" width="16" bestFit="1" customWidth="1"/>
    <col min="7" max="7" width="14.7109375" bestFit="1" customWidth="1"/>
    <col min="8" max="8" width="13.7109375" bestFit="1" customWidth="1"/>
    <col min="9" max="9" width="14.5703125" bestFit="1" customWidth="1"/>
  </cols>
  <sheetData>
    <row r="1" spans="1:9" x14ac:dyDescent="0.25">
      <c r="A1" t="s">
        <v>214</v>
      </c>
    </row>
    <row r="2" spans="1:9" ht="15.75" thickBot="1" x14ac:dyDescent="0.3"/>
    <row r="3" spans="1:9" x14ac:dyDescent="0.25">
      <c r="A3" s="34" t="s">
        <v>215</v>
      </c>
      <c r="B3" s="34"/>
    </row>
    <row r="4" spans="1:9" x14ac:dyDescent="0.25">
      <c r="A4" t="s">
        <v>216</v>
      </c>
      <c r="B4">
        <v>0.79649136608038729</v>
      </c>
    </row>
    <row r="5" spans="1:9" x14ac:dyDescent="0.25">
      <c r="A5" t="s">
        <v>217</v>
      </c>
      <c r="B5">
        <v>0.63439849624060152</v>
      </c>
    </row>
    <row r="6" spans="1:9" x14ac:dyDescent="0.25">
      <c r="A6" t="s">
        <v>218</v>
      </c>
      <c r="B6">
        <v>0.5429981203007519</v>
      </c>
    </row>
    <row r="7" spans="1:9" x14ac:dyDescent="0.25">
      <c r="A7" t="s">
        <v>219</v>
      </c>
      <c r="B7" s="28">
        <v>0.22623927715212447</v>
      </c>
    </row>
    <row r="8" spans="1:9" ht="15.75" thickBot="1" x14ac:dyDescent="0.3">
      <c r="A8" s="32" t="s">
        <v>220</v>
      </c>
      <c r="B8" s="32">
        <v>6</v>
      </c>
    </row>
    <row r="10" spans="1:9" ht="15.75" thickBot="1" x14ac:dyDescent="0.3">
      <c r="A10" t="s">
        <v>221</v>
      </c>
    </row>
    <row r="11" spans="1:9" x14ac:dyDescent="0.25">
      <c r="A11" s="33"/>
      <c r="B11" s="33" t="s">
        <v>226</v>
      </c>
      <c r="C11" s="33" t="s">
        <v>227</v>
      </c>
      <c r="D11" s="33" t="s">
        <v>228</v>
      </c>
      <c r="E11" s="33" t="s">
        <v>229</v>
      </c>
      <c r="F11" s="33" t="s">
        <v>230</v>
      </c>
    </row>
    <row r="12" spans="1:9" x14ac:dyDescent="0.25">
      <c r="A12" t="s">
        <v>222</v>
      </c>
      <c r="B12">
        <v>1</v>
      </c>
      <c r="C12">
        <v>0.35526315789473684</v>
      </c>
      <c r="D12">
        <v>0.35526315789473684</v>
      </c>
      <c r="E12">
        <v>6.9408740359897179</v>
      </c>
      <c r="F12">
        <v>5.790941333442913E-2</v>
      </c>
    </row>
    <row r="13" spans="1:9" x14ac:dyDescent="0.25">
      <c r="A13" t="s">
        <v>223</v>
      </c>
      <c r="B13">
        <v>4</v>
      </c>
      <c r="C13">
        <v>0.20473684210526313</v>
      </c>
      <c r="D13">
        <v>5.1184210526315783E-2</v>
      </c>
    </row>
    <row r="14" spans="1:9" ht="15.75" thickBot="1" x14ac:dyDescent="0.3">
      <c r="A14" s="32" t="s">
        <v>224</v>
      </c>
      <c r="B14" s="32">
        <v>5</v>
      </c>
      <c r="C14" s="32">
        <v>0.55999999999999994</v>
      </c>
      <c r="D14" s="32"/>
      <c r="E14" s="32"/>
      <c r="F14" s="32"/>
    </row>
    <row r="15" spans="1:9" ht="15.75" thickBot="1" x14ac:dyDescent="0.3"/>
    <row r="16" spans="1:9" x14ac:dyDescent="0.25">
      <c r="A16" s="33"/>
      <c r="B16" s="33" t="s">
        <v>231</v>
      </c>
      <c r="C16" s="33" t="s">
        <v>219</v>
      </c>
      <c r="D16" s="33" t="s">
        <v>232</v>
      </c>
      <c r="E16" s="33" t="s">
        <v>233</v>
      </c>
      <c r="F16" s="33" t="s">
        <v>234</v>
      </c>
      <c r="G16" s="33" t="s">
        <v>235</v>
      </c>
      <c r="H16" s="33" t="s">
        <v>236</v>
      </c>
      <c r="I16" s="33" t="s">
        <v>237</v>
      </c>
    </row>
    <row r="17" spans="1:9" x14ac:dyDescent="0.25">
      <c r="A17" t="s">
        <v>225</v>
      </c>
      <c r="B17">
        <v>1.1749999999999998</v>
      </c>
      <c r="C17">
        <v>0.16967945786409333</v>
      </c>
      <c r="D17">
        <v>6.9248217479639127</v>
      </c>
      <c r="E17">
        <v>2.2825930593717673E-3</v>
      </c>
      <c r="F17">
        <v>0.70389429976062268</v>
      </c>
      <c r="G17">
        <v>1.6461057002393771</v>
      </c>
      <c r="H17">
        <v>0.70389429976062268</v>
      </c>
      <c r="I17">
        <v>1.6461057002393771</v>
      </c>
    </row>
    <row r="18" spans="1:9" ht="15.75" thickBot="1" x14ac:dyDescent="0.3">
      <c r="A18" s="32" t="s">
        <v>180</v>
      </c>
      <c r="B18" s="32">
        <v>-5.9210526315789467E-3</v>
      </c>
      <c r="C18" s="32">
        <v>2.2474593227024631E-3</v>
      </c>
      <c r="D18" s="32">
        <v>-2.6345538590034021</v>
      </c>
      <c r="E18" s="32">
        <v>5.790941333442913E-2</v>
      </c>
      <c r="F18" s="32">
        <v>-1.2161000067227349E-2</v>
      </c>
      <c r="G18" s="32">
        <v>3.1889480406945524E-4</v>
      </c>
      <c r="H18" s="32">
        <v>-1.2161000067227349E-2</v>
      </c>
      <c r="I18" s="32">
        <v>3.1889480406945524E-4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41D7-DF6E-40F5-9D50-9E147617EA2E}">
  <sheetPr codeName="Planilha15"/>
  <dimension ref="A1:V1004"/>
  <sheetViews>
    <sheetView zoomScale="80" zoomScaleNormal="80"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V7" sqref="V7:V18"/>
    </sheetView>
  </sheetViews>
  <sheetFormatPr defaultColWidth="26.7109375" defaultRowHeight="15" x14ac:dyDescent="0.25"/>
  <cols>
    <col min="1" max="1" width="14.28515625" style="36" bestFit="1" customWidth="1"/>
    <col min="2" max="2" width="14.28515625" style="36" hidden="1" customWidth="1"/>
    <col min="3" max="3" width="24.85546875" style="36" bestFit="1" customWidth="1"/>
    <col min="4" max="4" width="0" style="36" hidden="1" customWidth="1"/>
    <col min="5" max="5" width="26.7109375" style="36"/>
    <col min="6" max="6" width="0" style="36" hidden="1" customWidth="1"/>
    <col min="7" max="7" width="26.7109375" style="36"/>
    <col min="8" max="8" width="0" style="36" hidden="1" customWidth="1"/>
    <col min="9" max="9" width="26.7109375" style="36"/>
    <col min="10" max="10" width="0" style="36" hidden="1" customWidth="1"/>
    <col min="11" max="11" width="26.7109375" style="36"/>
    <col min="12" max="12" width="22" style="36" bestFit="1" customWidth="1"/>
    <col min="13" max="13" width="21.5703125" style="36" hidden="1" customWidth="1"/>
    <col min="14" max="14" width="34.7109375" style="36" bestFit="1" customWidth="1"/>
    <col min="15" max="15" width="24.7109375" style="36" bestFit="1" customWidth="1"/>
    <col min="16" max="16" width="16.85546875" style="36" bestFit="1" customWidth="1"/>
    <col min="17" max="19" width="16.85546875" style="36" hidden="1" customWidth="1"/>
    <col min="20" max="16384" width="26.7109375" style="36"/>
  </cols>
  <sheetData>
    <row r="1" spans="1:22" x14ac:dyDescent="0.25">
      <c r="F1" s="39">
        <f ca="1">_xlfn.NORM.INV(RAND(),D1,'Regressão Grupo 3'!$B$7)</f>
        <v>0.17101568886349275</v>
      </c>
    </row>
    <row r="2" spans="1:22" x14ac:dyDescent="0.25">
      <c r="C2" s="37" t="s">
        <v>199</v>
      </c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22" x14ac:dyDescent="0.25">
      <c r="A3" s="40">
        <v>100</v>
      </c>
      <c r="B3" s="40">
        <v>100</v>
      </c>
      <c r="C3" s="41">
        <f>-0.004*A3 + 0.7764</f>
        <v>0.37639999999999996</v>
      </c>
      <c r="D3" s="41">
        <f>-0.004*B3 + 0.7764</f>
        <v>0.37639999999999996</v>
      </c>
      <c r="E3" s="39">
        <f ca="1">_xlfn.NORM.INV(RAND(),-0.004*A3 + 0.7764,0.112022571849487)-(-0.004*A3 + 0.7764)</f>
        <v>-3.6974073268166985E-2</v>
      </c>
      <c r="F3" s="39">
        <f ca="1">_xlfn.NORM.INV(RAND(),-0.004*B3 + 0.7764,0.112022571849487)-(-0.004*B3 + 0.7764)</f>
        <v>0.12538230678169571</v>
      </c>
      <c r="G3" s="39" cm="1">
        <f t="array" ref="G3">DIST_TRIANGULAR(0,3%,2%)</f>
        <v>1.2392130814363618E-2</v>
      </c>
      <c r="H3" s="39" cm="1">
        <f t="array" ref="H3">DIST_TRIANGULAR(0,3%,2%)</f>
        <v>2.178506883349382E-2</v>
      </c>
      <c r="I3" s="40" t="e">
        <f ca="1">IF(E3*G3*L3&gt;0,E3*G3*L3,0)</f>
        <v>#VALUE!</v>
      </c>
      <c r="J3" s="40" t="e">
        <f ca="1">IF(F3*H3*M3&gt;0,F3*H3*M3,0)</f>
        <v>#VALUE!</v>
      </c>
      <c r="K3" s="36" cm="1">
        <f t="array" ref="K3">DIST_TRIANGULAR(0.1,0.3,0.5)</f>
        <v>0.24904732169042279</v>
      </c>
      <c r="L3" s="42" t="s">
        <v>245</v>
      </c>
      <c r="M3" s="42" t="s">
        <v>245</v>
      </c>
      <c r="N3" s="42" t="e">
        <f>(L3+M3)*K3</f>
        <v>#VALUE!</v>
      </c>
      <c r="O3" s="36" cm="1">
        <f t="array" ref="O3">DIST_TRIANGULAR(2,11,5)</f>
        <v>5.9900014831065471</v>
      </c>
      <c r="P3" s="42" t="e">
        <f ca="1">SUMPRODUCT(A3:B3,I3:J3)-SUM(I3:J3)*O3-N3</f>
        <v>#VALUE!</v>
      </c>
      <c r="Q3" s="42"/>
      <c r="R3" s="42"/>
      <c r="S3" s="42"/>
      <c r="U3" s="42">
        <f>L5+M5</f>
        <v>19991.322604477216</v>
      </c>
    </row>
    <row r="4" spans="1:22" ht="40.5" customHeight="1" x14ac:dyDescent="0.25">
      <c r="A4" s="43" t="s">
        <v>261</v>
      </c>
      <c r="B4" s="43" t="s">
        <v>210</v>
      </c>
      <c r="C4" s="43" t="s">
        <v>263</v>
      </c>
      <c r="D4" s="43" t="s">
        <v>212</v>
      </c>
      <c r="E4" s="43" t="s">
        <v>264</v>
      </c>
      <c r="F4" s="43" t="s">
        <v>242</v>
      </c>
      <c r="G4" s="43" t="s">
        <v>262</v>
      </c>
      <c r="H4" s="43" t="s">
        <v>244</v>
      </c>
      <c r="I4" s="38" t="s">
        <v>265</v>
      </c>
      <c r="J4" s="38" t="s">
        <v>239</v>
      </c>
      <c r="K4" s="38" t="s">
        <v>200</v>
      </c>
      <c r="L4" s="38" t="s">
        <v>266</v>
      </c>
      <c r="M4" s="38" t="s">
        <v>241</v>
      </c>
      <c r="N4" s="38" t="s">
        <v>201</v>
      </c>
      <c r="O4" s="38" t="s">
        <v>202</v>
      </c>
      <c r="P4" s="38" t="s">
        <v>184</v>
      </c>
      <c r="Q4" s="38"/>
      <c r="R4" s="38" t="s">
        <v>248</v>
      </c>
      <c r="S4" s="38" t="s">
        <v>248</v>
      </c>
      <c r="U4" s="42">
        <v>20000</v>
      </c>
    </row>
    <row r="5" spans="1:22" x14ac:dyDescent="0.25">
      <c r="A5" s="40">
        <v>64.229676878151835</v>
      </c>
      <c r="B5" s="40">
        <v>32.933286051621081</v>
      </c>
      <c r="C5" s="41">
        <f>-0.007*A5 + 0.9425</f>
        <v>0.49289226185293716</v>
      </c>
      <c r="D5" s="41">
        <f>-0.0059*B5+1.175</f>
        <v>0.98069361229543572</v>
      </c>
      <c r="E5" s="39">
        <f>IF(_xlfn.NORM.INV(R5,C5,'Regressão Grupo 2'!$B$7)&lt;=0,0,IF(_xlfn.NORM.INV(R5,C5,'Regressão Grupo 2'!$B$7)&gt;100%,100%,_xlfn.NORM.INV(R5,C5,'Regressão Grupo 2'!$B$7)))</f>
        <v>0.56206408228707383</v>
      </c>
      <c r="F5" s="39">
        <f>IF(_xlfn.NORM.INV(S5,D5,'Regressão Grupo 2'!$B$7)&lt;=0,0,IF(_xlfn.NORM.INV(S5,D5,'Regressão Grupo 2'!$B$7)&gt;100%,100%,_xlfn.NORM.INV(S5,D5,'Regressão Grupo 2'!$B$7)))</f>
        <v>0.77421839391910741</v>
      </c>
      <c r="G5" s="41">
        <v>1.7393846074728908E-2</v>
      </c>
      <c r="H5" s="41">
        <v>2.4038594335539509E-2</v>
      </c>
      <c r="I5" s="40">
        <f>IF(E5*G5*L5&gt;0,E5*G5*L5,0)</f>
        <v>195.44428845203888</v>
      </c>
      <c r="J5" s="40">
        <f>IF(F5*H5*M5&gt;0,F5*H5*M5,0)</f>
        <v>0</v>
      </c>
      <c r="K5" s="36">
        <v>0.12499961852736302</v>
      </c>
      <c r="L5" s="42">
        <v>19991.322604477216</v>
      </c>
      <c r="M5" s="42">
        <v>0</v>
      </c>
      <c r="N5" s="42">
        <f>(L5+M5)*K5</f>
        <v>2498.9076994171014</v>
      </c>
      <c r="O5" s="36">
        <v>5.484660482905614</v>
      </c>
      <c r="P5" s="42">
        <f>SUMPRODUCT(A5:B5,I5:J5)-SUM(I5:J5)*O5-N5</f>
        <v>8982.4702300551544</v>
      </c>
      <c r="Q5" s="42"/>
      <c r="R5">
        <v>0.69154942472609637</v>
      </c>
      <c r="S5">
        <v>6.7690054017761778E-2</v>
      </c>
      <c r="T5" s="42"/>
      <c r="U5" s="42"/>
    </row>
    <row r="6" spans="1:22" x14ac:dyDescent="0.25">
      <c r="A6" s="40">
        <f>A5</f>
        <v>64.229676878151835</v>
      </c>
      <c r="B6" s="40">
        <f>B5</f>
        <v>32.933286051621081</v>
      </c>
      <c r="C6" s="41">
        <f t="shared" ref="C6:C69" si="0">-0.007*A6 + 0.9425</f>
        <v>0.49289226185293716</v>
      </c>
      <c r="D6" s="41">
        <f t="shared" ref="D6:D69" si="1">-0.0059*B6+1.175</f>
        <v>0.98069361229543572</v>
      </c>
      <c r="E6" s="39">
        <f>IF(_xlfn.NORM.INV(R6,C6,'Regressão Grupo 2'!$B$7)&lt;=0,0,IF(_xlfn.NORM.INV(R6,C6,'Regressão Grupo 2'!$B$7)&gt;100%,100%,_xlfn.NORM.INV(R6,C6,'Regressão Grupo 2'!$B$7)))</f>
        <v>0.35173269278602159</v>
      </c>
      <c r="F6" s="39">
        <f>IF(_xlfn.NORM.INV(S6,D6,'Regressão Grupo 2'!$B$7)&lt;=0,0,IF(_xlfn.NORM.INV(S6,D6,'Regressão Grupo 2'!$B$7)&gt;100%,100%,_xlfn.NORM.INV(S6,D6,'Regressão Grupo 2'!$B$7)))</f>
        <v>1</v>
      </c>
      <c r="G6" s="41">
        <v>1.9370436900149342E-2</v>
      </c>
      <c r="H6" s="41">
        <v>2.1998653882745082E-2</v>
      </c>
      <c r="I6" s="40">
        <f t="shared" ref="I6:J69" si="2">IF(E6*G6*L6&gt;0,E6*G6*L6,0)</f>
        <v>136.20519765720661</v>
      </c>
      <c r="J6" s="40">
        <f t="shared" si="2"/>
        <v>0</v>
      </c>
      <c r="K6" s="36">
        <v>0.23195665046494895</v>
      </c>
      <c r="L6" s="42">
        <f>L5</f>
        <v>19991.322604477216</v>
      </c>
      <c r="M6" s="42">
        <f>M5</f>
        <v>0</v>
      </c>
      <c r="N6" s="42">
        <f t="shared" ref="N6:N69" si="3">(L6+M6)*K6</f>
        <v>4637.1202296987549</v>
      </c>
      <c r="O6" s="36">
        <v>4.2127632178507746</v>
      </c>
      <c r="P6" s="42">
        <f t="shared" ref="P6:P69" si="4">SUMPRODUCT(A6:B6,I6:J6)-SUM(I6:J6)*O6-N6</f>
        <v>3537.4953581780537</v>
      </c>
      <c r="Q6" s="42"/>
      <c r="R6">
        <v>0.15366069521164585</v>
      </c>
      <c r="S6">
        <v>0.91793572801904355</v>
      </c>
      <c r="V6" s="44"/>
    </row>
    <row r="7" spans="1:22" x14ac:dyDescent="0.25">
      <c r="A7" s="40">
        <f t="shared" ref="A7:B70" si="5">A6</f>
        <v>64.229676878151835</v>
      </c>
      <c r="B7" s="40">
        <f t="shared" si="5"/>
        <v>32.933286051621081</v>
      </c>
      <c r="C7" s="41">
        <f t="shared" si="0"/>
        <v>0.49289226185293716</v>
      </c>
      <c r="D7" s="41">
        <f t="shared" si="1"/>
        <v>0.98069361229543572</v>
      </c>
      <c r="E7" s="39">
        <f>IF(_xlfn.NORM.INV(R7,C7,'Regressão Grupo 2'!$B$7)&lt;=0,0,IF(_xlfn.NORM.INV(R7,C7,'Regressão Grupo 2'!$B$7)&gt;100%,100%,_xlfn.NORM.INV(R7,C7,'Regressão Grupo 2'!$B$7)))</f>
        <v>0.28031622046917393</v>
      </c>
      <c r="F7" s="39">
        <f>IF(_xlfn.NORM.INV(S7,D7,'Regressão Grupo 2'!$B$7)&lt;=0,0,IF(_xlfn.NORM.INV(S7,D7,'Regressão Grupo 2'!$B$7)&gt;100%,100%,_xlfn.NORM.INV(S7,D7,'Regressão Grupo 2'!$B$7)))</f>
        <v>0.91143786472485167</v>
      </c>
      <c r="G7" s="41">
        <v>1.3953180738040881E-2</v>
      </c>
      <c r="H7" s="41">
        <v>7.3783618893820064E-3</v>
      </c>
      <c r="I7" s="40">
        <f t="shared" si="2"/>
        <v>78.192117838049299</v>
      </c>
      <c r="J7" s="40">
        <f t="shared" si="2"/>
        <v>0</v>
      </c>
      <c r="K7" s="36">
        <v>0.31803300542693835</v>
      </c>
      <c r="L7" s="42">
        <f t="shared" ref="L7:M22" si="6">L6</f>
        <v>19991.322604477216</v>
      </c>
      <c r="M7" s="42">
        <f t="shared" si="6"/>
        <v>0</v>
      </c>
      <c r="N7" s="42">
        <f t="shared" si="3"/>
        <v>6357.9004103613779</v>
      </c>
      <c r="O7" s="36">
        <v>9.410499403587373</v>
      </c>
      <c r="P7" s="42">
        <f t="shared" si="4"/>
        <v>-2071.4728254852953</v>
      </c>
      <c r="Q7" s="42"/>
      <c r="R7">
        <v>6.2105166783654284E-2</v>
      </c>
      <c r="S7">
        <v>0.30823694570757165</v>
      </c>
      <c r="U7" s="36" t="s">
        <v>203</v>
      </c>
      <c r="V7" s="46">
        <f>AVERAGE(P5:P1004)</f>
        <v>3797.7171105851089</v>
      </c>
    </row>
    <row r="8" spans="1:22" x14ac:dyDescent="0.25">
      <c r="A8" s="40">
        <f t="shared" si="5"/>
        <v>64.229676878151835</v>
      </c>
      <c r="B8" s="40">
        <f t="shared" si="5"/>
        <v>32.933286051621081</v>
      </c>
      <c r="C8" s="41">
        <f t="shared" si="0"/>
        <v>0.49289226185293716</v>
      </c>
      <c r="D8" s="41">
        <f t="shared" si="1"/>
        <v>0.98069361229543572</v>
      </c>
      <c r="E8" s="39">
        <f>IF(_xlfn.NORM.INV(R8,C8,'Regressão Grupo 2'!$B$7)&lt;=0,0,IF(_xlfn.NORM.INV(R8,C8,'Regressão Grupo 2'!$B$7)&gt;100%,100%,_xlfn.NORM.INV(R8,C8,'Regressão Grupo 2'!$B$7)))</f>
        <v>0.28303358190274663</v>
      </c>
      <c r="F8" s="39">
        <f>IF(_xlfn.NORM.INV(S8,D8,'Regressão Grupo 2'!$B$7)&lt;=0,0,IF(_xlfn.NORM.INV(S8,D8,'Regressão Grupo 2'!$B$7)&gt;100%,100%,_xlfn.NORM.INV(S8,D8,'Regressão Grupo 2'!$B$7)))</f>
        <v>0.8736796044101599</v>
      </c>
      <c r="G8" s="41">
        <v>1.9433458797427153E-2</v>
      </c>
      <c r="H8" s="41">
        <v>1.205918030197374E-2</v>
      </c>
      <c r="I8" s="40">
        <f t="shared" si="2"/>
        <v>109.95870057916184</v>
      </c>
      <c r="J8" s="40">
        <f t="shared" si="2"/>
        <v>0</v>
      </c>
      <c r="K8" s="36">
        <v>0.41015601116709732</v>
      </c>
      <c r="L8" s="42">
        <f t="shared" si="6"/>
        <v>19991.322604477216</v>
      </c>
      <c r="M8" s="42">
        <f t="shared" si="6"/>
        <v>0</v>
      </c>
      <c r="N8" s="42">
        <f t="shared" si="3"/>
        <v>8199.5611374070031</v>
      </c>
      <c r="O8" s="36">
        <v>6.701972075728345</v>
      </c>
      <c r="P8" s="42">
        <f t="shared" si="4"/>
        <v>-1873.8894700309074</v>
      </c>
      <c r="Q8" s="42"/>
      <c r="R8">
        <v>6.4546647541734059E-2</v>
      </c>
      <c r="S8">
        <v>0.21948912015137181</v>
      </c>
      <c r="U8" s="36" t="s">
        <v>204</v>
      </c>
      <c r="V8" s="46">
        <f>MAX(P5:P1004)</f>
        <v>21519.455025859919</v>
      </c>
    </row>
    <row r="9" spans="1:22" x14ac:dyDescent="0.25">
      <c r="A9" s="40">
        <f t="shared" si="5"/>
        <v>64.229676878151835</v>
      </c>
      <c r="B9" s="40">
        <f t="shared" si="5"/>
        <v>32.933286051621081</v>
      </c>
      <c r="C9" s="41">
        <f t="shared" si="0"/>
        <v>0.49289226185293716</v>
      </c>
      <c r="D9" s="41">
        <f t="shared" si="1"/>
        <v>0.98069361229543572</v>
      </c>
      <c r="E9" s="39">
        <f>IF(_xlfn.NORM.INV(R9,C9,'Regressão Grupo 2'!$B$7)&lt;=0,0,IF(_xlfn.NORM.INV(R9,C9,'Regressão Grupo 2'!$B$7)&gt;100%,100%,_xlfn.NORM.INV(R9,C9,'Regressão Grupo 2'!$B$7)))</f>
        <v>0.40386294097641462</v>
      </c>
      <c r="F9" s="39">
        <f>IF(_xlfn.NORM.INV(S9,D9,'Regressão Grupo 2'!$B$7)&lt;=0,0,IF(_xlfn.NORM.INV(S9,D9,'Regressão Grupo 2'!$B$7)&gt;100%,100%,_xlfn.NORM.INV(S9,D9,'Regressão Grupo 2'!$B$7)))</f>
        <v>1</v>
      </c>
      <c r="G9" s="41">
        <v>3.4628350629399346E-3</v>
      </c>
      <c r="H9" s="41">
        <v>2.4451210996932891E-2</v>
      </c>
      <c r="I9" s="40">
        <f t="shared" si="2"/>
        <v>27.958079621759914</v>
      </c>
      <c r="J9" s="40">
        <f t="shared" si="2"/>
        <v>0</v>
      </c>
      <c r="K9" s="36">
        <v>0.26123654627306103</v>
      </c>
      <c r="L9" s="42">
        <f t="shared" si="6"/>
        <v>19991.322604477216</v>
      </c>
      <c r="M9" s="42">
        <f t="shared" si="6"/>
        <v>0</v>
      </c>
      <c r="N9" s="42">
        <f t="shared" si="3"/>
        <v>5222.4640726242033</v>
      </c>
      <c r="O9" s="36">
        <v>5.1792311572072798</v>
      </c>
      <c r="P9" s="42">
        <f t="shared" si="4"/>
        <v>-3571.5270094576235</v>
      </c>
      <c r="Q9" s="42"/>
      <c r="R9">
        <v>0.25983458967864009</v>
      </c>
      <c r="S9">
        <v>0.79265724662007508</v>
      </c>
      <c r="U9" s="36" t="s">
        <v>205</v>
      </c>
      <c r="V9" s="46">
        <f>MIN(P5:P1004)</f>
        <v>-7872.9175978169087</v>
      </c>
    </row>
    <row r="10" spans="1:22" x14ac:dyDescent="0.25">
      <c r="A10" s="40">
        <f t="shared" si="5"/>
        <v>64.229676878151835</v>
      </c>
      <c r="B10" s="40">
        <f t="shared" si="5"/>
        <v>32.933286051621081</v>
      </c>
      <c r="C10" s="41">
        <f t="shared" si="0"/>
        <v>0.49289226185293716</v>
      </c>
      <c r="D10" s="41">
        <f t="shared" si="1"/>
        <v>0.98069361229543572</v>
      </c>
      <c r="E10" s="39">
        <f>IF(_xlfn.NORM.INV(R10,C10,'Regressão Grupo 2'!$B$7)&lt;=0,0,IF(_xlfn.NORM.INV(R10,C10,'Regressão Grupo 2'!$B$7)&gt;100%,100%,_xlfn.NORM.INV(R10,C10,'Regressão Grupo 2'!$B$7)))</f>
        <v>0.38810498653367453</v>
      </c>
      <c r="F10" s="39">
        <f>IF(_xlfn.NORM.INV(S10,D10,'Regressão Grupo 2'!$B$7)&lt;=0,0,IF(_xlfn.NORM.INV(S10,D10,'Regressão Grupo 2'!$B$7)&gt;100%,100%,_xlfn.NORM.INV(S10,D10,'Regressão Grupo 2'!$B$7)))</f>
        <v>0.93267976457171087</v>
      </c>
      <c r="G10" s="41">
        <v>8.5753163393353388E-3</v>
      </c>
      <c r="H10" s="41">
        <v>1.0252340142678845E-2</v>
      </c>
      <c r="I10" s="40">
        <f t="shared" si="2"/>
        <v>66.533581208094205</v>
      </c>
      <c r="J10" s="40">
        <f t="shared" si="2"/>
        <v>0</v>
      </c>
      <c r="K10" s="36">
        <v>0.35334027422364744</v>
      </c>
      <c r="L10" s="42">
        <f t="shared" si="6"/>
        <v>19991.322604477216</v>
      </c>
      <c r="M10" s="42">
        <f t="shared" si="6"/>
        <v>0</v>
      </c>
      <c r="N10" s="42">
        <f t="shared" si="3"/>
        <v>7063.7394111593812</v>
      </c>
      <c r="O10" s="36">
        <v>7.4540398723113661</v>
      </c>
      <c r="P10" s="42">
        <f t="shared" si="4"/>
        <v>-3286.2529557900161</v>
      </c>
      <c r="Q10" s="42"/>
      <c r="R10">
        <v>0.22428052613910338</v>
      </c>
      <c r="S10">
        <v>0.36420789208655047</v>
      </c>
      <c r="U10" s="36" t="s">
        <v>206</v>
      </c>
      <c r="V10" s="48">
        <f t="array" ref="V10">COUNT(IF(P5:P1004&gt;0,P5:P1004))</f>
        <v>764</v>
      </c>
    </row>
    <row r="11" spans="1:22" x14ac:dyDescent="0.25">
      <c r="A11" s="40">
        <f t="shared" si="5"/>
        <v>64.229676878151835</v>
      </c>
      <c r="B11" s="40">
        <f t="shared" si="5"/>
        <v>32.933286051621081</v>
      </c>
      <c r="C11" s="41">
        <f t="shared" si="0"/>
        <v>0.49289226185293716</v>
      </c>
      <c r="D11" s="41">
        <f t="shared" si="1"/>
        <v>0.98069361229543572</v>
      </c>
      <c r="E11" s="39">
        <f>IF(_xlfn.NORM.INV(R11,C11,'Regressão Grupo 2'!$B$7)&lt;=0,0,IF(_xlfn.NORM.INV(R11,C11,'Regressão Grupo 2'!$B$7)&gt;100%,100%,_xlfn.NORM.INV(R11,C11,'Regressão Grupo 2'!$B$7)))</f>
        <v>0.51555054852786519</v>
      </c>
      <c r="F11" s="39">
        <f>IF(_xlfn.NORM.INV(S11,D11,'Regressão Grupo 2'!$B$7)&lt;=0,0,IF(_xlfn.NORM.INV(S11,D11,'Regressão Grupo 2'!$B$7)&gt;100%,100%,_xlfn.NORM.INV(S11,D11,'Regressão Grupo 2'!$B$7)))</f>
        <v>1</v>
      </c>
      <c r="G11" s="41">
        <v>5.7624800874113659E-3</v>
      </c>
      <c r="H11" s="41">
        <v>2.2425240939733415E-2</v>
      </c>
      <c r="I11" s="40">
        <f t="shared" si="2"/>
        <v>59.391216160424015</v>
      </c>
      <c r="J11" s="40">
        <f t="shared" si="2"/>
        <v>0</v>
      </c>
      <c r="K11" s="36">
        <v>0.16734345544454143</v>
      </c>
      <c r="L11" s="42">
        <f t="shared" si="6"/>
        <v>19991.322604477216</v>
      </c>
      <c r="M11" s="42">
        <f t="shared" si="6"/>
        <v>0</v>
      </c>
      <c r="N11" s="42">
        <f t="shared" si="3"/>
        <v>3345.4170035397869</v>
      </c>
      <c r="O11" s="36">
        <v>7.2642964607467322</v>
      </c>
      <c r="P11" s="42">
        <f t="shared" si="4"/>
        <v>37.82621849110501</v>
      </c>
      <c r="Q11" s="42"/>
      <c r="R11">
        <v>0.56508072145756405</v>
      </c>
      <c r="S11">
        <v>0.8248237556077761</v>
      </c>
      <c r="U11" s="36" t="s">
        <v>207</v>
      </c>
      <c r="V11" s="47">
        <f>1000-V10</f>
        <v>236</v>
      </c>
    </row>
    <row r="12" spans="1:22" x14ac:dyDescent="0.25">
      <c r="A12" s="40">
        <f t="shared" si="5"/>
        <v>64.229676878151835</v>
      </c>
      <c r="B12" s="40">
        <f t="shared" si="5"/>
        <v>32.933286051621081</v>
      </c>
      <c r="C12" s="41">
        <f t="shared" si="0"/>
        <v>0.49289226185293716</v>
      </c>
      <c r="D12" s="41">
        <f t="shared" si="1"/>
        <v>0.98069361229543572</v>
      </c>
      <c r="E12" s="39">
        <f>IF(_xlfn.NORM.INV(R12,C12,'Regressão Grupo 2'!$B$7)&lt;=0,0,IF(_xlfn.NORM.INV(R12,C12,'Regressão Grupo 2'!$B$7)&gt;100%,100%,_xlfn.NORM.INV(R12,C12,'Regressão Grupo 2'!$B$7)))</f>
        <v>0.6025807847850464</v>
      </c>
      <c r="F12" s="39">
        <f>IF(_xlfn.NORM.INV(S12,D12,'Regressão Grupo 2'!$B$7)&lt;=0,0,IF(_xlfn.NORM.INV(S12,D12,'Regressão Grupo 2'!$B$7)&gt;100%,100%,_xlfn.NORM.INV(S12,D12,'Regressão Grupo 2'!$B$7)))</f>
        <v>0.86304100403898254</v>
      </c>
      <c r="G12" s="41">
        <v>1.7229234137935364E-2</v>
      </c>
      <c r="H12" s="41">
        <v>2.4015620750967924E-3</v>
      </c>
      <c r="I12" s="40">
        <f t="shared" si="2"/>
        <v>207.55001979422892</v>
      </c>
      <c r="J12" s="40">
        <f t="shared" si="2"/>
        <v>0</v>
      </c>
      <c r="K12" s="36">
        <v>0.23229832469776204</v>
      </c>
      <c r="L12" s="42">
        <f t="shared" si="6"/>
        <v>19991.322604477216</v>
      </c>
      <c r="M12" s="42">
        <f t="shared" si="6"/>
        <v>0</v>
      </c>
      <c r="N12" s="42">
        <f t="shared" si="3"/>
        <v>4643.9507495125581</v>
      </c>
      <c r="O12" s="36">
        <v>5.3923892827277431</v>
      </c>
      <c r="P12" s="42">
        <f t="shared" si="4"/>
        <v>7567.7294555564531</v>
      </c>
      <c r="Q12" s="42"/>
      <c r="R12">
        <v>0.78618732261116364</v>
      </c>
      <c r="S12">
        <v>0.19742423780022583</v>
      </c>
      <c r="U12" s="36" t="s">
        <v>208</v>
      </c>
      <c r="V12" s="45">
        <f>V10/1000</f>
        <v>0.76400000000000001</v>
      </c>
    </row>
    <row r="13" spans="1:22" x14ac:dyDescent="0.25">
      <c r="A13" s="40">
        <f t="shared" si="5"/>
        <v>64.229676878151835</v>
      </c>
      <c r="B13" s="40">
        <f t="shared" si="5"/>
        <v>32.933286051621081</v>
      </c>
      <c r="C13" s="41">
        <f t="shared" si="0"/>
        <v>0.49289226185293716</v>
      </c>
      <c r="D13" s="41">
        <f t="shared" si="1"/>
        <v>0.98069361229543572</v>
      </c>
      <c r="E13" s="39">
        <f>IF(_xlfn.NORM.INV(R13,C13,'Regressão Grupo 2'!$B$7)&lt;=0,0,IF(_xlfn.NORM.INV(R13,C13,'Regressão Grupo 2'!$B$7)&gt;100%,100%,_xlfn.NORM.INV(R13,C13,'Regressão Grupo 2'!$B$7)))</f>
        <v>0.22469625712024294</v>
      </c>
      <c r="F13" s="39">
        <f>IF(_xlfn.NORM.INV(S13,D13,'Regressão Grupo 2'!$B$7)&lt;=0,0,IF(_xlfn.NORM.INV(S13,D13,'Regressão Grupo 2'!$B$7)&gt;100%,100%,_xlfn.NORM.INV(S13,D13,'Regressão Grupo 2'!$B$7)))</f>
        <v>0.63367191845579607</v>
      </c>
      <c r="G13" s="41">
        <v>2.1154932059640065E-2</v>
      </c>
      <c r="H13" s="41">
        <v>1.6268186296097439E-2</v>
      </c>
      <c r="I13" s="40">
        <f t="shared" si="2"/>
        <v>95.027433641309969</v>
      </c>
      <c r="J13" s="40">
        <f t="shared" si="2"/>
        <v>0</v>
      </c>
      <c r="K13" s="36">
        <v>0.1993260081703068</v>
      </c>
      <c r="L13" s="42">
        <f t="shared" si="6"/>
        <v>19991.322604477216</v>
      </c>
      <c r="M13" s="42">
        <f t="shared" si="6"/>
        <v>0</v>
      </c>
      <c r="N13" s="42">
        <f t="shared" si="3"/>
        <v>3984.7905327952644</v>
      </c>
      <c r="O13" s="36">
        <v>6.8374702454676743</v>
      </c>
      <c r="P13" s="42">
        <f t="shared" si="4"/>
        <v>1469.04357452048</v>
      </c>
      <c r="Q13" s="42"/>
      <c r="R13">
        <v>2.6215399639881589E-2</v>
      </c>
      <c r="S13">
        <v>6.0426648762474441E-3</v>
      </c>
      <c r="U13" s="36" t="s">
        <v>246</v>
      </c>
      <c r="V13" s="46">
        <f>_xlfn.STDEV.S(P5:P1004)</f>
        <v>4932.2652262081574</v>
      </c>
    </row>
    <row r="14" spans="1:22" x14ac:dyDescent="0.25">
      <c r="A14" s="40">
        <f t="shared" si="5"/>
        <v>64.229676878151835</v>
      </c>
      <c r="B14" s="40">
        <f t="shared" si="5"/>
        <v>32.933286051621081</v>
      </c>
      <c r="C14" s="41">
        <f t="shared" si="0"/>
        <v>0.49289226185293716</v>
      </c>
      <c r="D14" s="41">
        <f t="shared" si="1"/>
        <v>0.98069361229543572</v>
      </c>
      <c r="E14" s="39">
        <f>IF(_xlfn.NORM.INV(R14,C14,'Regressão Grupo 2'!$B$7)&lt;=0,0,IF(_xlfn.NORM.INV(R14,C14,'Regressão Grupo 2'!$B$7)&gt;100%,100%,_xlfn.NORM.INV(R14,C14,'Regressão Grupo 2'!$B$7)))</f>
        <v>0.37969082542245564</v>
      </c>
      <c r="F14" s="39">
        <f>IF(_xlfn.NORM.INV(S14,D14,'Regressão Grupo 2'!$B$7)&lt;=0,0,IF(_xlfn.NORM.INV(S14,D14,'Regressão Grupo 2'!$B$7)&gt;100%,100%,_xlfn.NORM.INV(S14,D14,'Regressão Grupo 2'!$B$7)))</f>
        <v>0.77616528702342558</v>
      </c>
      <c r="G14" s="41">
        <v>2.4250654672491285E-2</v>
      </c>
      <c r="H14" s="41">
        <v>1.9121335332978953E-2</v>
      </c>
      <c r="I14" s="40">
        <f t="shared" si="2"/>
        <v>184.07512249458284</v>
      </c>
      <c r="J14" s="40">
        <f t="shared" si="2"/>
        <v>0</v>
      </c>
      <c r="K14" s="36">
        <v>0.38544347440873572</v>
      </c>
      <c r="L14" s="42">
        <f t="shared" si="6"/>
        <v>19991.322604477216</v>
      </c>
      <c r="M14" s="42">
        <f t="shared" si="6"/>
        <v>0</v>
      </c>
      <c r="N14" s="42">
        <f t="shared" si="3"/>
        <v>7705.5248426955941</v>
      </c>
      <c r="O14" s="36">
        <v>7.9049082111171387</v>
      </c>
      <c r="P14" s="42">
        <f t="shared" si="4"/>
        <v>2662.4638491678588</v>
      </c>
      <c r="Q14" s="42"/>
      <c r="R14">
        <v>0.20648823511459699</v>
      </c>
      <c r="S14">
        <v>6.9551683095797595E-2</v>
      </c>
      <c r="U14" s="36" t="s">
        <v>247</v>
      </c>
      <c r="V14" s="46">
        <f>V7/V13</f>
        <v>0.76997422815089167</v>
      </c>
    </row>
    <row r="15" spans="1:22" x14ac:dyDescent="0.25">
      <c r="A15" s="40">
        <f t="shared" si="5"/>
        <v>64.229676878151835</v>
      </c>
      <c r="B15" s="40">
        <f t="shared" si="5"/>
        <v>32.933286051621081</v>
      </c>
      <c r="C15" s="41">
        <f t="shared" si="0"/>
        <v>0.49289226185293716</v>
      </c>
      <c r="D15" s="41">
        <f t="shared" si="1"/>
        <v>0.98069361229543572</v>
      </c>
      <c r="E15" s="39">
        <f>IF(_xlfn.NORM.INV(R15,C15,'Regressão Grupo 2'!$B$7)&lt;=0,0,IF(_xlfn.NORM.INV(R15,C15,'Regressão Grupo 2'!$B$7)&gt;100%,100%,_xlfn.NORM.INV(R15,C15,'Regressão Grupo 2'!$B$7)))</f>
        <v>0.70171942994297543</v>
      </c>
      <c r="F15" s="39">
        <f>IF(_xlfn.NORM.INV(S15,D15,'Regressão Grupo 2'!$B$7)&lt;=0,0,IF(_xlfn.NORM.INV(S15,D15,'Regressão Grupo 2'!$B$7)&gt;100%,100%,_xlfn.NORM.INV(S15,D15,'Regressão Grupo 2'!$B$7)))</f>
        <v>1</v>
      </c>
      <c r="G15" s="41">
        <v>1.1128616345299366E-2</v>
      </c>
      <c r="H15" s="41">
        <v>1.9709306175410557E-2</v>
      </c>
      <c r="I15" s="40">
        <f t="shared" si="2"/>
        <v>156.11556313270756</v>
      </c>
      <c r="J15" s="40">
        <f t="shared" si="2"/>
        <v>0</v>
      </c>
      <c r="K15" s="36">
        <v>0.32220894512111614</v>
      </c>
      <c r="L15" s="42">
        <f t="shared" si="6"/>
        <v>19991.322604477216</v>
      </c>
      <c r="M15" s="42">
        <f t="shared" si="6"/>
        <v>0</v>
      </c>
      <c r="N15" s="42">
        <f t="shared" si="3"/>
        <v>6441.3829679645278</v>
      </c>
      <c r="O15" s="36">
        <v>9.5830106728685838</v>
      </c>
      <c r="P15" s="42">
        <f t="shared" si="4"/>
        <v>2089.8120999983657</v>
      </c>
      <c r="Q15" s="42"/>
      <c r="R15">
        <v>0.93450727866451</v>
      </c>
      <c r="S15">
        <v>0.93600268562883393</v>
      </c>
      <c r="U15" s="49" t="s">
        <v>250</v>
      </c>
      <c r="V15" s="47">
        <f>L5</f>
        <v>19991.322604477216</v>
      </c>
    </row>
    <row r="16" spans="1:22" x14ac:dyDescent="0.25">
      <c r="A16" s="40">
        <f t="shared" si="5"/>
        <v>64.229676878151835</v>
      </c>
      <c r="B16" s="40">
        <f t="shared" si="5"/>
        <v>32.933286051621081</v>
      </c>
      <c r="C16" s="41">
        <f t="shared" si="0"/>
        <v>0.49289226185293716</v>
      </c>
      <c r="D16" s="41">
        <f t="shared" si="1"/>
        <v>0.98069361229543572</v>
      </c>
      <c r="E16" s="39">
        <f>IF(_xlfn.NORM.INV(R16,C16,'Regressão Grupo 2'!$B$7)&lt;=0,0,IF(_xlfn.NORM.INV(R16,C16,'Regressão Grupo 2'!$B$7)&gt;100%,100%,_xlfn.NORM.INV(R16,C16,'Regressão Grupo 2'!$B$7)))</f>
        <v>0.59377416411673578</v>
      </c>
      <c r="F16" s="39">
        <f>IF(_xlfn.NORM.INV(S16,D16,'Regressão Grupo 2'!$B$7)&lt;=0,0,IF(_xlfn.NORM.INV(S16,D16,'Regressão Grupo 2'!$B$7)&gt;100%,100%,_xlfn.NORM.INV(S16,D16,'Regressão Grupo 2'!$B$7)))</f>
        <v>0.94321180879766919</v>
      </c>
      <c r="G16" s="41">
        <v>1.8949817239891604E-2</v>
      </c>
      <c r="H16" s="41">
        <v>2.5131616166923158E-2</v>
      </c>
      <c r="I16" s="40">
        <f t="shared" si="2"/>
        <v>224.94060054575843</v>
      </c>
      <c r="J16" s="40">
        <f t="shared" si="2"/>
        <v>0</v>
      </c>
      <c r="K16" s="36">
        <v>0.28608109515231117</v>
      </c>
      <c r="L16" s="42">
        <f t="shared" si="6"/>
        <v>19991.322604477216</v>
      </c>
      <c r="M16" s="42">
        <f t="shared" si="6"/>
        <v>0</v>
      </c>
      <c r="N16" s="42">
        <f t="shared" si="3"/>
        <v>5719.1394642319956</v>
      </c>
      <c r="O16" s="36">
        <v>7.1705448515276515</v>
      </c>
      <c r="P16" s="42">
        <f t="shared" si="4"/>
        <v>7115.7759604565654</v>
      </c>
      <c r="Q16" s="42"/>
      <c r="R16">
        <v>0.76717429120761738</v>
      </c>
      <c r="S16">
        <v>0.39316995757927181</v>
      </c>
      <c r="U16" s="49" t="s">
        <v>251</v>
      </c>
      <c r="V16" s="47">
        <f>M5</f>
        <v>0</v>
      </c>
    </row>
    <row r="17" spans="1:22" x14ac:dyDescent="0.25">
      <c r="A17" s="40">
        <f t="shared" si="5"/>
        <v>64.229676878151835</v>
      </c>
      <c r="B17" s="40">
        <f t="shared" si="5"/>
        <v>32.933286051621081</v>
      </c>
      <c r="C17" s="41">
        <f t="shared" si="0"/>
        <v>0.49289226185293716</v>
      </c>
      <c r="D17" s="41">
        <f t="shared" si="1"/>
        <v>0.98069361229543572</v>
      </c>
      <c r="E17" s="39">
        <f>IF(_xlfn.NORM.INV(R17,C17,'Regressão Grupo 2'!$B$7)&lt;=0,0,IF(_xlfn.NORM.INV(R17,C17,'Regressão Grupo 2'!$B$7)&gt;100%,100%,_xlfn.NORM.INV(R17,C17,'Regressão Grupo 2'!$B$7)))</f>
        <v>0.59831497410650569</v>
      </c>
      <c r="F17" s="39">
        <f>IF(_xlfn.NORM.INV(S17,D17,'Regressão Grupo 2'!$B$7)&lt;=0,0,IF(_xlfn.NORM.INV(S17,D17,'Regressão Grupo 2'!$B$7)&gt;100%,100%,_xlfn.NORM.INV(S17,D17,'Regressão Grupo 2'!$B$7)))</f>
        <v>0.97292007911964473</v>
      </c>
      <c r="G17" s="41">
        <v>2.4111115568590552E-2</v>
      </c>
      <c r="H17" s="41">
        <v>1.1758716333064726E-2</v>
      </c>
      <c r="I17" s="40">
        <f t="shared" si="2"/>
        <v>288.39564927419281</v>
      </c>
      <c r="J17" s="40">
        <f t="shared" si="2"/>
        <v>0</v>
      </c>
      <c r="K17" s="36">
        <v>0.35288253668656533</v>
      </c>
      <c r="L17" s="42">
        <f t="shared" si="6"/>
        <v>19991.322604477216</v>
      </c>
      <c r="M17" s="42">
        <f t="shared" si="6"/>
        <v>0</v>
      </c>
      <c r="N17" s="42">
        <f t="shared" si="3"/>
        <v>7054.5886323873938</v>
      </c>
      <c r="O17" s="36">
        <v>4.980666477749061</v>
      </c>
      <c r="P17" s="42">
        <f t="shared" si="4"/>
        <v>10032.568190890168</v>
      </c>
      <c r="Q17" s="42"/>
      <c r="R17">
        <v>0.77709280678731651</v>
      </c>
      <c r="S17">
        <v>0.47758415478988009</v>
      </c>
      <c r="U17" s="49" t="s">
        <v>252</v>
      </c>
      <c r="V17" s="46">
        <f>A5</f>
        <v>64.229676878151835</v>
      </c>
    </row>
    <row r="18" spans="1:22" x14ac:dyDescent="0.25">
      <c r="A18" s="40">
        <f t="shared" si="5"/>
        <v>64.229676878151835</v>
      </c>
      <c r="B18" s="40">
        <f t="shared" si="5"/>
        <v>32.933286051621081</v>
      </c>
      <c r="C18" s="41">
        <f t="shared" si="0"/>
        <v>0.49289226185293716</v>
      </c>
      <c r="D18" s="41">
        <f t="shared" si="1"/>
        <v>0.98069361229543572</v>
      </c>
      <c r="E18" s="39">
        <f>IF(_xlfn.NORM.INV(R18,C18,'Regressão Grupo 2'!$B$7)&lt;=0,0,IF(_xlfn.NORM.INV(R18,C18,'Regressão Grupo 2'!$B$7)&gt;100%,100%,_xlfn.NORM.INV(R18,C18,'Regressão Grupo 2'!$B$7)))</f>
        <v>0.4595859165784939</v>
      </c>
      <c r="F18" s="39">
        <f>IF(_xlfn.NORM.INV(S18,D18,'Regressão Grupo 2'!$B$7)&lt;=0,0,IF(_xlfn.NORM.INV(S18,D18,'Regressão Grupo 2'!$B$7)&gt;100%,100%,_xlfn.NORM.INV(S18,D18,'Regressão Grupo 2'!$B$7)))</f>
        <v>0.90031703758462467</v>
      </c>
      <c r="G18" s="41">
        <v>1.8848850983223257E-2</v>
      </c>
      <c r="H18" s="41">
        <v>1.7940446206288152E-2</v>
      </c>
      <c r="I18" s="40">
        <f t="shared" si="2"/>
        <v>173.17815972840512</v>
      </c>
      <c r="J18" s="40">
        <f t="shared" si="2"/>
        <v>0</v>
      </c>
      <c r="K18" s="36">
        <v>0.38489877926092619</v>
      </c>
      <c r="L18" s="42">
        <f t="shared" si="6"/>
        <v>19991.322604477216</v>
      </c>
      <c r="M18" s="42">
        <f t="shared" si="6"/>
        <v>0</v>
      </c>
      <c r="N18" s="42">
        <f t="shared" si="3"/>
        <v>7694.6356662746402</v>
      </c>
      <c r="O18" s="36">
        <v>7.4544578905681664</v>
      </c>
      <c r="P18" s="42">
        <f t="shared" si="4"/>
        <v>2137.592276172305</v>
      </c>
      <c r="Q18" s="42"/>
      <c r="R18">
        <v>0.40482802819910274</v>
      </c>
      <c r="S18">
        <v>0.28052613910336621</v>
      </c>
      <c r="T18" s="42"/>
      <c r="U18" s="50" t="s">
        <v>253</v>
      </c>
      <c r="V18" s="46">
        <f>B5</f>
        <v>32.933286051621081</v>
      </c>
    </row>
    <row r="19" spans="1:22" x14ac:dyDescent="0.25">
      <c r="A19" s="40">
        <f t="shared" si="5"/>
        <v>64.229676878151835</v>
      </c>
      <c r="B19" s="40">
        <f t="shared" si="5"/>
        <v>32.933286051621081</v>
      </c>
      <c r="C19" s="41">
        <f t="shared" si="0"/>
        <v>0.49289226185293716</v>
      </c>
      <c r="D19" s="41">
        <f t="shared" si="1"/>
        <v>0.98069361229543572</v>
      </c>
      <c r="E19" s="39">
        <f>IF(_xlfn.NORM.INV(R19,C19,'Regressão Grupo 2'!$B$7)&lt;=0,0,IF(_xlfn.NORM.INV(R19,C19,'Regressão Grupo 2'!$B$7)&gt;100%,100%,_xlfn.NORM.INV(R19,C19,'Regressão Grupo 2'!$B$7)))</f>
        <v>0.72071837699650587</v>
      </c>
      <c r="F19" s="39">
        <f>IF(_xlfn.NORM.INV(S19,D19,'Regressão Grupo 2'!$B$7)&lt;=0,0,IF(_xlfn.NORM.INV(S19,D19,'Regressão Grupo 2'!$B$7)&gt;100%,100%,_xlfn.NORM.INV(S19,D19,'Regressão Grupo 2'!$B$7)))</f>
        <v>1</v>
      </c>
      <c r="G19" s="41">
        <v>6.3983160992518041E-3</v>
      </c>
      <c r="H19" s="41">
        <v>1.3997516531017291E-2</v>
      </c>
      <c r="I19" s="40">
        <f t="shared" si="2"/>
        <v>92.187665088439232</v>
      </c>
      <c r="J19" s="40">
        <f t="shared" si="2"/>
        <v>0</v>
      </c>
      <c r="K19" s="36">
        <v>0.28346302329306716</v>
      </c>
      <c r="L19" s="42">
        <f t="shared" si="6"/>
        <v>19991.322604477216</v>
      </c>
      <c r="M19" s="42">
        <f t="shared" si="6"/>
        <v>0</v>
      </c>
      <c r="N19" s="42">
        <f t="shared" si="3"/>
        <v>5666.800745092145</v>
      </c>
      <c r="O19" s="36">
        <v>5.2553099188472956</v>
      </c>
      <c r="P19" s="42">
        <f t="shared" si="4"/>
        <v>-230.0915550450618</v>
      </c>
      <c r="Q19" s="42"/>
      <c r="R19">
        <v>0.95028534806360054</v>
      </c>
      <c r="S19">
        <v>0.74343089083529157</v>
      </c>
      <c r="T19" s="42"/>
      <c r="U19" s="42"/>
    </row>
    <row r="20" spans="1:22" x14ac:dyDescent="0.25">
      <c r="A20" s="40">
        <f t="shared" si="5"/>
        <v>64.229676878151835</v>
      </c>
      <c r="B20" s="40">
        <f t="shared" si="5"/>
        <v>32.933286051621081</v>
      </c>
      <c r="C20" s="41">
        <f t="shared" si="0"/>
        <v>0.49289226185293716</v>
      </c>
      <c r="D20" s="41">
        <f t="shared" si="1"/>
        <v>0.98069361229543572</v>
      </c>
      <c r="E20" s="39">
        <f>IF(_xlfn.NORM.INV(R20,C20,'Regressão Grupo 2'!$B$7)&lt;=0,0,IF(_xlfn.NORM.INV(R20,C20,'Regressão Grupo 2'!$B$7)&gt;100%,100%,_xlfn.NORM.INV(R20,C20,'Regressão Grupo 2'!$B$7)))</f>
        <v>0.44999232164001834</v>
      </c>
      <c r="F20" s="39">
        <f>IF(_xlfn.NORM.INV(S20,D20,'Regressão Grupo 2'!$B$7)&lt;=0,0,IF(_xlfn.NORM.INV(S20,D20,'Regressão Grupo 2'!$B$7)&gt;100%,100%,_xlfn.NORM.INV(S20,D20,'Regressão Grupo 2'!$B$7)))</f>
        <v>1</v>
      </c>
      <c r="G20" s="41">
        <v>2.0436539903855726E-2</v>
      </c>
      <c r="H20" s="41">
        <v>2.2199210742387215E-2</v>
      </c>
      <c r="I20" s="40">
        <f t="shared" si="2"/>
        <v>183.84592094120919</v>
      </c>
      <c r="J20" s="40">
        <f t="shared" si="2"/>
        <v>0</v>
      </c>
      <c r="K20" s="36">
        <v>0.27803332998283731</v>
      </c>
      <c r="L20" s="42">
        <f t="shared" si="6"/>
        <v>19991.322604477216</v>
      </c>
      <c r="M20" s="42">
        <f t="shared" si="6"/>
        <v>0</v>
      </c>
      <c r="N20" s="42">
        <f t="shared" si="3"/>
        <v>5558.2539944839682</v>
      </c>
      <c r="O20" s="36">
        <v>7.4464528498140528</v>
      </c>
      <c r="P20" s="42">
        <f t="shared" si="4"/>
        <v>4881.110121016789</v>
      </c>
      <c r="Q20" s="42"/>
      <c r="R20">
        <v>0.37818536942655723</v>
      </c>
      <c r="S20">
        <v>0.66707358012634665</v>
      </c>
      <c r="T20" s="42"/>
      <c r="U20" s="42"/>
    </row>
    <row r="21" spans="1:22" x14ac:dyDescent="0.25">
      <c r="A21" s="40">
        <f t="shared" si="5"/>
        <v>64.229676878151835</v>
      </c>
      <c r="B21" s="40">
        <f t="shared" si="5"/>
        <v>32.933286051621081</v>
      </c>
      <c r="C21" s="41">
        <f t="shared" si="0"/>
        <v>0.49289226185293716</v>
      </c>
      <c r="D21" s="41">
        <f t="shared" si="1"/>
        <v>0.98069361229543572</v>
      </c>
      <c r="E21" s="39">
        <f>IF(_xlfn.NORM.INV(R21,C21,'Regressão Grupo 2'!$B$7)&lt;=0,0,IF(_xlfn.NORM.INV(R21,C21,'Regressão Grupo 2'!$B$7)&gt;100%,100%,_xlfn.NORM.INV(R21,C21,'Regressão Grupo 2'!$B$7)))</f>
        <v>0.18643713017935254</v>
      </c>
      <c r="F21" s="39">
        <f>IF(_xlfn.NORM.INV(S21,D21,'Regressão Grupo 2'!$B$7)&lt;=0,0,IF(_xlfn.NORM.INV(S21,D21,'Regressão Grupo 2'!$B$7)&gt;100%,100%,_xlfn.NORM.INV(S21,D21,'Regressão Grupo 2'!$B$7)))</f>
        <v>0.96622317128668844</v>
      </c>
      <c r="G21" s="41">
        <v>2.0290501867706132E-2</v>
      </c>
      <c r="H21" s="41">
        <v>2.1348311748319679E-2</v>
      </c>
      <c r="I21" s="40">
        <f t="shared" si="2"/>
        <v>75.625233017260172</v>
      </c>
      <c r="J21" s="40">
        <f t="shared" si="2"/>
        <v>0</v>
      </c>
      <c r="K21" s="36">
        <v>0.3100862357436831</v>
      </c>
      <c r="L21" s="42">
        <f t="shared" si="6"/>
        <v>19991.322604477216</v>
      </c>
      <c r="M21" s="42">
        <f t="shared" si="6"/>
        <v>0</v>
      </c>
      <c r="N21" s="42">
        <f t="shared" si="3"/>
        <v>6199.0339739599431</v>
      </c>
      <c r="O21" s="36">
        <v>9.1258152826877961</v>
      </c>
      <c r="P21" s="42">
        <f t="shared" si="4"/>
        <v>-2031.7916006521209</v>
      </c>
      <c r="Q21" s="42"/>
      <c r="R21">
        <v>1.3336588641010774E-2</v>
      </c>
      <c r="S21">
        <v>0.45832697531052585</v>
      </c>
      <c r="T21" s="42"/>
      <c r="U21" s="42"/>
    </row>
    <row r="22" spans="1:22" x14ac:dyDescent="0.25">
      <c r="A22" s="40">
        <f t="shared" si="5"/>
        <v>64.229676878151835</v>
      </c>
      <c r="B22" s="40">
        <f t="shared" si="5"/>
        <v>32.933286051621081</v>
      </c>
      <c r="C22" s="41">
        <f t="shared" si="0"/>
        <v>0.49289226185293716</v>
      </c>
      <c r="D22" s="41">
        <f t="shared" si="1"/>
        <v>0.98069361229543572</v>
      </c>
      <c r="E22" s="39">
        <f>IF(_xlfn.NORM.INV(R22,C22,'Regressão Grupo 2'!$B$7)&lt;=0,0,IF(_xlfn.NORM.INV(R22,C22,'Regressão Grupo 2'!$B$7)&gt;100%,100%,_xlfn.NORM.INV(R22,C22,'Regressão Grupo 2'!$B$7)))</f>
        <v>0.61130623471150836</v>
      </c>
      <c r="F22" s="39">
        <f>IF(_xlfn.NORM.INV(S22,D22,'Regressão Grupo 2'!$B$7)&lt;=0,0,IF(_xlfn.NORM.INV(S22,D22,'Regressão Grupo 2'!$B$7)&gt;100%,100%,_xlfn.NORM.INV(S22,D22,'Regressão Grupo 2'!$B$7)))</f>
        <v>1</v>
      </c>
      <c r="G22" s="41">
        <v>1.7278900566226049E-2</v>
      </c>
      <c r="H22" s="41">
        <v>1.2086190455920586E-2</v>
      </c>
      <c r="I22" s="40">
        <f t="shared" si="2"/>
        <v>211.16233617927506</v>
      </c>
      <c r="J22" s="40">
        <f t="shared" si="2"/>
        <v>0</v>
      </c>
      <c r="K22" s="36">
        <v>0.33960892191940212</v>
      </c>
      <c r="L22" s="42">
        <f t="shared" si="6"/>
        <v>19991.322604477216</v>
      </c>
      <c r="M22" s="42">
        <f t="shared" si="6"/>
        <v>0</v>
      </c>
      <c r="N22" s="42">
        <f t="shared" si="3"/>
        <v>6789.2315174494815</v>
      </c>
      <c r="O22" s="36">
        <v>7.9292114277465338</v>
      </c>
      <c r="P22" s="42">
        <f t="shared" si="4"/>
        <v>5099.3062950386629</v>
      </c>
      <c r="Q22" s="42"/>
      <c r="R22">
        <v>0.80410168767357404</v>
      </c>
      <c r="S22">
        <v>0.82775353251747186</v>
      </c>
      <c r="T22" s="42"/>
      <c r="U22" s="42"/>
    </row>
    <row r="23" spans="1:22" x14ac:dyDescent="0.25">
      <c r="A23" s="40">
        <f t="shared" si="5"/>
        <v>64.229676878151835</v>
      </c>
      <c r="B23" s="40">
        <f t="shared" si="5"/>
        <v>32.933286051621081</v>
      </c>
      <c r="C23" s="41">
        <f t="shared" si="0"/>
        <v>0.49289226185293716</v>
      </c>
      <c r="D23" s="41">
        <f t="shared" si="1"/>
        <v>0.98069361229543572</v>
      </c>
      <c r="E23" s="39">
        <f>IF(_xlfn.NORM.INV(R23,C23,'Regressão Grupo 2'!$B$7)&lt;=0,0,IF(_xlfn.NORM.INV(R23,C23,'Regressão Grupo 2'!$B$7)&gt;100%,100%,_xlfn.NORM.INV(R23,C23,'Regressão Grupo 2'!$B$7)))</f>
        <v>0.59279665275558868</v>
      </c>
      <c r="F23" s="39">
        <f>IF(_xlfn.NORM.INV(S23,D23,'Regressão Grupo 2'!$B$7)&lt;=0,0,IF(_xlfn.NORM.INV(S23,D23,'Regressão Grupo 2'!$B$7)&gt;100%,100%,_xlfn.NORM.INV(S23,D23,'Regressão Grupo 2'!$B$7)))</f>
        <v>1</v>
      </c>
      <c r="G23" s="41">
        <v>1.8681493540223224E-2</v>
      </c>
      <c r="H23" s="41">
        <v>1.2164103719240886E-2</v>
      </c>
      <c r="I23" s="40">
        <f t="shared" si="2"/>
        <v>221.39044046825796</v>
      </c>
      <c r="J23" s="40">
        <f t="shared" si="2"/>
        <v>0</v>
      </c>
      <c r="K23" s="36">
        <v>0.20174541727379303</v>
      </c>
      <c r="L23" s="42">
        <f t="shared" ref="L23:M38" si="7">L22</f>
        <v>19991.322604477216</v>
      </c>
      <c r="M23" s="42">
        <f t="shared" si="7"/>
        <v>0</v>
      </c>
      <c r="N23" s="42">
        <f t="shared" si="3"/>
        <v>4033.157720695267</v>
      </c>
      <c r="O23" s="36">
        <v>5.5394826567692714</v>
      </c>
      <c r="P23" s="42">
        <f t="shared" si="4"/>
        <v>8960.290229144226</v>
      </c>
      <c r="Q23" s="42"/>
      <c r="R23">
        <v>0.76500747703482164</v>
      </c>
      <c r="S23">
        <v>0.85576952421643726</v>
      </c>
      <c r="T23" s="42"/>
      <c r="U23" s="42"/>
    </row>
    <row r="24" spans="1:22" x14ac:dyDescent="0.25">
      <c r="A24" s="40">
        <f t="shared" si="5"/>
        <v>64.229676878151835</v>
      </c>
      <c r="B24" s="40">
        <f t="shared" si="5"/>
        <v>32.933286051621081</v>
      </c>
      <c r="C24" s="41">
        <f t="shared" si="0"/>
        <v>0.49289226185293716</v>
      </c>
      <c r="D24" s="41">
        <f t="shared" si="1"/>
        <v>0.98069361229543572</v>
      </c>
      <c r="E24" s="39">
        <f>IF(_xlfn.NORM.INV(R24,C24,'Regressão Grupo 2'!$B$7)&lt;=0,0,IF(_xlfn.NORM.INV(R24,C24,'Regressão Grupo 2'!$B$7)&gt;100%,100%,_xlfn.NORM.INV(R24,C24,'Regressão Grupo 2'!$B$7)))</f>
        <v>0.5258502576929911</v>
      </c>
      <c r="F24" s="39">
        <f>IF(_xlfn.NORM.INV(S24,D24,'Regressão Grupo 2'!$B$7)&lt;=0,0,IF(_xlfn.NORM.INV(S24,D24,'Regressão Grupo 2'!$B$7)&gt;100%,100%,_xlfn.NORM.INV(S24,D24,'Regressão Grupo 2'!$B$7)))</f>
        <v>1</v>
      </c>
      <c r="G24" s="41">
        <v>1.3475365627049004E-2</v>
      </c>
      <c r="H24" s="41">
        <v>1.6071211949659672E-2</v>
      </c>
      <c r="I24" s="40">
        <f t="shared" si="2"/>
        <v>141.6590015126578</v>
      </c>
      <c r="J24" s="40">
        <f t="shared" si="2"/>
        <v>0</v>
      </c>
      <c r="K24" s="36">
        <v>0.24646013796885138</v>
      </c>
      <c r="L24" s="42">
        <f t="shared" si="7"/>
        <v>19991.322604477216</v>
      </c>
      <c r="M24" s="42">
        <f t="shared" si="7"/>
        <v>0</v>
      </c>
      <c r="N24" s="42">
        <f t="shared" si="3"/>
        <v>4927.0641272792718</v>
      </c>
      <c r="O24" s="36">
        <v>7.5035199938134332</v>
      </c>
      <c r="P24" s="42">
        <f t="shared" si="4"/>
        <v>3108.7066166064851</v>
      </c>
      <c r="Q24" s="42"/>
      <c r="R24">
        <v>0.59419537949766532</v>
      </c>
      <c r="S24">
        <v>0.69209875789666431</v>
      </c>
      <c r="T24" s="42"/>
      <c r="U24" s="42"/>
    </row>
    <row r="25" spans="1:22" x14ac:dyDescent="0.25">
      <c r="A25" s="40">
        <f t="shared" si="5"/>
        <v>64.229676878151835</v>
      </c>
      <c r="B25" s="40">
        <f t="shared" si="5"/>
        <v>32.933286051621081</v>
      </c>
      <c r="C25" s="41">
        <f t="shared" si="0"/>
        <v>0.49289226185293716</v>
      </c>
      <c r="D25" s="41">
        <f t="shared" si="1"/>
        <v>0.98069361229543572</v>
      </c>
      <c r="E25" s="39">
        <f>IF(_xlfn.NORM.INV(R25,C25,'Regressão Grupo 2'!$B$7)&lt;=0,0,IF(_xlfn.NORM.INV(R25,C25,'Regressão Grupo 2'!$B$7)&gt;100%,100%,_xlfn.NORM.INV(R25,C25,'Regressão Grupo 2'!$B$7)))</f>
        <v>0.69009925336439371</v>
      </c>
      <c r="F25" s="39">
        <f>IF(_xlfn.NORM.INV(S25,D25,'Regressão Grupo 2'!$B$7)&lt;=0,0,IF(_xlfn.NORM.INV(S25,D25,'Regressão Grupo 2'!$B$7)&gt;100%,100%,_xlfn.NORM.INV(S25,D25,'Regressão Grupo 2'!$B$7)))</f>
        <v>1</v>
      </c>
      <c r="G25" s="41">
        <v>2.6767565217288798E-2</v>
      </c>
      <c r="H25" s="41">
        <v>1.3053552437821216E-2</v>
      </c>
      <c r="I25" s="40">
        <f t="shared" si="2"/>
        <v>369.28524416492746</v>
      </c>
      <c r="J25" s="40">
        <f t="shared" si="2"/>
        <v>0</v>
      </c>
      <c r="K25" s="36">
        <v>0.32312785605859468</v>
      </c>
      <c r="L25" s="42">
        <f t="shared" si="7"/>
        <v>19991.322604477216</v>
      </c>
      <c r="M25" s="42">
        <f t="shared" si="7"/>
        <v>0</v>
      </c>
      <c r="N25" s="42">
        <f t="shared" si="3"/>
        <v>6459.7532129604442</v>
      </c>
      <c r="O25" s="36">
        <v>4.1627907028389615</v>
      </c>
      <c r="P25" s="42">
        <f t="shared" si="4"/>
        <v>15722.061514516878</v>
      </c>
      <c r="Q25" s="42"/>
      <c r="R25">
        <v>0.92309335612048704</v>
      </c>
      <c r="S25">
        <v>0.76308481093783376</v>
      </c>
      <c r="T25" s="42"/>
      <c r="U25" s="42"/>
    </row>
    <row r="26" spans="1:22" x14ac:dyDescent="0.25">
      <c r="A26" s="40">
        <f t="shared" si="5"/>
        <v>64.229676878151835</v>
      </c>
      <c r="B26" s="40">
        <f t="shared" si="5"/>
        <v>32.933286051621081</v>
      </c>
      <c r="C26" s="41">
        <f t="shared" si="0"/>
        <v>0.49289226185293716</v>
      </c>
      <c r="D26" s="41">
        <f t="shared" si="1"/>
        <v>0.98069361229543572</v>
      </c>
      <c r="E26" s="39">
        <f>IF(_xlfn.NORM.INV(R26,C26,'Regressão Grupo 2'!$B$7)&lt;=0,0,IF(_xlfn.NORM.INV(R26,C26,'Regressão Grupo 2'!$B$7)&gt;100%,100%,_xlfn.NORM.INV(R26,C26,'Regressão Grupo 2'!$B$7)))</f>
        <v>0.62122889691056116</v>
      </c>
      <c r="F26" s="39">
        <f>IF(_xlfn.NORM.INV(S26,D26,'Regressão Grupo 2'!$B$7)&lt;=0,0,IF(_xlfn.NORM.INV(S26,D26,'Regressão Grupo 2'!$B$7)&gt;100%,100%,_xlfn.NORM.INV(S26,D26,'Regressão Grupo 2'!$B$7)))</f>
        <v>1</v>
      </c>
      <c r="G26" s="41">
        <v>1.4465775186052023E-2</v>
      </c>
      <c r="H26" s="41">
        <v>2.2728917110685264E-2</v>
      </c>
      <c r="I26" s="40">
        <f t="shared" si="2"/>
        <v>179.65317132139342</v>
      </c>
      <c r="J26" s="40">
        <f t="shared" si="2"/>
        <v>0</v>
      </c>
      <c r="K26" s="36">
        <v>0.38093936791470984</v>
      </c>
      <c r="L26" s="42">
        <f t="shared" si="7"/>
        <v>19991.322604477216</v>
      </c>
      <c r="M26" s="42">
        <f t="shared" si="7"/>
        <v>0</v>
      </c>
      <c r="N26" s="42">
        <f t="shared" si="3"/>
        <v>7615.4817967286017</v>
      </c>
      <c r="O26" s="36">
        <v>5.2304738844763294</v>
      </c>
      <c r="P26" s="42">
        <f t="shared" si="4"/>
        <v>2983.9121265198519</v>
      </c>
      <c r="Q26" s="42"/>
      <c r="R26">
        <v>0.82332834864345228</v>
      </c>
      <c r="S26">
        <v>0.86428418836024046</v>
      </c>
      <c r="T26" s="42"/>
      <c r="U26" s="42"/>
    </row>
    <row r="27" spans="1:22" x14ac:dyDescent="0.25">
      <c r="A27" s="40">
        <f t="shared" si="5"/>
        <v>64.229676878151835</v>
      </c>
      <c r="B27" s="40">
        <f t="shared" si="5"/>
        <v>32.933286051621081</v>
      </c>
      <c r="C27" s="41">
        <f t="shared" si="0"/>
        <v>0.49289226185293716</v>
      </c>
      <c r="D27" s="41">
        <f t="shared" si="1"/>
        <v>0.98069361229543572</v>
      </c>
      <c r="E27" s="39">
        <f>IF(_xlfn.NORM.INV(R27,C27,'Regressão Grupo 2'!$B$7)&lt;=0,0,IF(_xlfn.NORM.INV(R27,C27,'Regressão Grupo 2'!$B$7)&gt;100%,100%,_xlfn.NORM.INV(R27,C27,'Regressão Grupo 2'!$B$7)))</f>
        <v>0.56111865972312869</v>
      </c>
      <c r="F27" s="39">
        <f>IF(_xlfn.NORM.INV(S27,D27,'Regressão Grupo 2'!$B$7)&lt;=0,0,IF(_xlfn.NORM.INV(S27,D27,'Regressão Grupo 2'!$B$7)&gt;100%,100%,_xlfn.NORM.INV(S27,D27,'Regressão Grupo 2'!$B$7)))</f>
        <v>0.72663895809077983</v>
      </c>
      <c r="G27" s="41">
        <v>2.047763488147987E-2</v>
      </c>
      <c r="H27" s="41">
        <v>2.0552764709660158E-2</v>
      </c>
      <c r="I27" s="40">
        <f t="shared" si="2"/>
        <v>229.70795418157383</v>
      </c>
      <c r="J27" s="40">
        <f t="shared" si="2"/>
        <v>0</v>
      </c>
      <c r="K27" s="36">
        <v>0.45159430779125243</v>
      </c>
      <c r="L27" s="42">
        <f t="shared" si="7"/>
        <v>19991.322604477216</v>
      </c>
      <c r="M27" s="42">
        <f t="shared" si="7"/>
        <v>0</v>
      </c>
      <c r="N27" s="42">
        <f t="shared" si="3"/>
        <v>9027.967493400507</v>
      </c>
      <c r="O27" s="36">
        <v>6.5664250311219998</v>
      </c>
      <c r="P27" s="42">
        <f t="shared" si="4"/>
        <v>4217.7401198375737</v>
      </c>
      <c r="Q27" s="42"/>
      <c r="R27">
        <v>0.68913846247749255</v>
      </c>
      <c r="S27">
        <v>3.308206427198096E-2</v>
      </c>
      <c r="T27" s="42"/>
      <c r="U27" s="42"/>
    </row>
    <row r="28" spans="1:22" x14ac:dyDescent="0.25">
      <c r="A28" s="40">
        <f t="shared" si="5"/>
        <v>64.229676878151835</v>
      </c>
      <c r="B28" s="40">
        <f t="shared" si="5"/>
        <v>32.933286051621081</v>
      </c>
      <c r="C28" s="41">
        <f t="shared" si="0"/>
        <v>0.49289226185293716</v>
      </c>
      <c r="D28" s="41">
        <f t="shared" si="1"/>
        <v>0.98069361229543572</v>
      </c>
      <c r="E28" s="39">
        <f>IF(_xlfn.NORM.INV(R28,C28,'Regressão Grupo 2'!$B$7)&lt;=0,0,IF(_xlfn.NORM.INV(R28,C28,'Regressão Grupo 2'!$B$7)&gt;100%,100%,_xlfn.NORM.INV(R28,C28,'Regressão Grupo 2'!$B$7)))</f>
        <v>0.27857528050145652</v>
      </c>
      <c r="F28" s="39">
        <f>IF(_xlfn.NORM.INV(S28,D28,'Regressão Grupo 2'!$B$7)&lt;=0,0,IF(_xlfn.NORM.INV(S28,D28,'Regressão Grupo 2'!$B$7)&gt;100%,100%,_xlfn.NORM.INV(S28,D28,'Regressão Grupo 2'!$B$7)))</f>
        <v>1</v>
      </c>
      <c r="G28" s="41">
        <v>9.6681056157452375E-3</v>
      </c>
      <c r="H28" s="41">
        <v>1.9979297234430444E-2</v>
      </c>
      <c r="I28" s="40">
        <f t="shared" si="2"/>
        <v>53.842533888475209</v>
      </c>
      <c r="J28" s="40">
        <f t="shared" si="2"/>
        <v>0</v>
      </c>
      <c r="K28" s="36">
        <v>0.27763922858916168</v>
      </c>
      <c r="L28" s="42">
        <f t="shared" si="7"/>
        <v>19991.322604477216</v>
      </c>
      <c r="M28" s="42">
        <f t="shared" si="7"/>
        <v>0</v>
      </c>
      <c r="N28" s="42">
        <f t="shared" si="3"/>
        <v>5550.3753863841248</v>
      </c>
      <c r="O28" s="36">
        <v>9.6181359391664856</v>
      </c>
      <c r="P28" s="42">
        <f t="shared" si="4"/>
        <v>-2609.9516426749551</v>
      </c>
      <c r="Q28" s="42"/>
      <c r="R28">
        <v>6.0579241309854426E-2</v>
      </c>
      <c r="S28">
        <v>0.75463118381298255</v>
      </c>
      <c r="T28" s="42"/>
      <c r="U28" s="42"/>
    </row>
    <row r="29" spans="1:22" x14ac:dyDescent="0.25">
      <c r="A29" s="40">
        <f t="shared" si="5"/>
        <v>64.229676878151835</v>
      </c>
      <c r="B29" s="40">
        <f t="shared" si="5"/>
        <v>32.933286051621081</v>
      </c>
      <c r="C29" s="41">
        <f t="shared" si="0"/>
        <v>0.49289226185293716</v>
      </c>
      <c r="D29" s="41">
        <f t="shared" si="1"/>
        <v>0.98069361229543572</v>
      </c>
      <c r="E29" s="39">
        <f>IF(_xlfn.NORM.INV(R29,C29,'Regressão Grupo 2'!$B$7)&lt;=0,0,IF(_xlfn.NORM.INV(R29,C29,'Regressão Grupo 2'!$B$7)&gt;100%,100%,_xlfn.NORM.INV(R29,C29,'Regressão Grupo 2'!$B$7)))</f>
        <v>0.77442224994524544</v>
      </c>
      <c r="F29" s="39">
        <f>IF(_xlfn.NORM.INV(S29,D29,'Regressão Grupo 2'!$B$7)&lt;=0,0,IF(_xlfn.NORM.INV(S29,D29,'Regressão Grupo 2'!$B$7)&gt;100%,100%,_xlfn.NORM.INV(S29,D29,'Regressão Grupo 2'!$B$7)))</f>
        <v>1</v>
      </c>
      <c r="G29" s="41">
        <v>1.9108493226263113E-2</v>
      </c>
      <c r="H29" s="41">
        <v>2.0251225475151857E-2</v>
      </c>
      <c r="I29" s="40">
        <f t="shared" si="2"/>
        <v>295.83243788077277</v>
      </c>
      <c r="J29" s="40">
        <f t="shared" si="2"/>
        <v>0</v>
      </c>
      <c r="K29" s="36">
        <v>0.27924812003071581</v>
      </c>
      <c r="L29" s="42">
        <f t="shared" si="7"/>
        <v>19991.322604477216</v>
      </c>
      <c r="M29" s="42">
        <f t="shared" si="7"/>
        <v>0</v>
      </c>
      <c r="N29" s="42">
        <f t="shared" si="3"/>
        <v>5582.5392542278159</v>
      </c>
      <c r="O29" s="36">
        <v>5.6248669862571621</v>
      </c>
      <c r="P29" s="42">
        <f t="shared" si="4"/>
        <v>11754.664527630612</v>
      </c>
      <c r="Q29" s="42"/>
      <c r="R29">
        <v>0.97912533951841796</v>
      </c>
      <c r="S29">
        <v>0.97717215491195408</v>
      </c>
      <c r="T29" s="42"/>
      <c r="U29" s="42"/>
    </row>
    <row r="30" spans="1:22" x14ac:dyDescent="0.25">
      <c r="A30" s="40">
        <f t="shared" si="5"/>
        <v>64.229676878151835</v>
      </c>
      <c r="B30" s="40">
        <f t="shared" si="5"/>
        <v>32.933286051621081</v>
      </c>
      <c r="C30" s="41">
        <f t="shared" si="0"/>
        <v>0.49289226185293716</v>
      </c>
      <c r="D30" s="41">
        <f t="shared" si="1"/>
        <v>0.98069361229543572</v>
      </c>
      <c r="E30" s="39">
        <f>IF(_xlfn.NORM.INV(R30,C30,'Regressão Grupo 2'!$B$7)&lt;=0,0,IF(_xlfn.NORM.INV(R30,C30,'Regressão Grupo 2'!$B$7)&gt;100%,100%,_xlfn.NORM.INV(R30,C30,'Regressão Grupo 2'!$B$7)))</f>
        <v>0.56331364749368495</v>
      </c>
      <c r="F30" s="39">
        <f>IF(_xlfn.NORM.INV(S30,D30,'Regressão Grupo 2'!$B$7)&lt;=0,0,IF(_xlfn.NORM.INV(S30,D30,'Regressão Grupo 2'!$B$7)&gt;100%,100%,_xlfn.NORM.INV(S30,D30,'Regressão Grupo 2'!$B$7)))</f>
        <v>1</v>
      </c>
      <c r="G30" s="41">
        <v>2.278356405910394E-2</v>
      </c>
      <c r="H30" s="41">
        <v>1.4446827934332046E-2</v>
      </c>
      <c r="I30" s="40">
        <f t="shared" si="2"/>
        <v>256.57448322788593</v>
      </c>
      <c r="J30" s="40">
        <f t="shared" si="2"/>
        <v>0</v>
      </c>
      <c r="K30" s="36">
        <v>0.18834307370974451</v>
      </c>
      <c r="L30" s="42">
        <f t="shared" si="7"/>
        <v>19991.322604477216</v>
      </c>
      <c r="M30" s="42">
        <f t="shared" si="7"/>
        <v>0</v>
      </c>
      <c r="N30" s="42">
        <f t="shared" si="3"/>
        <v>3765.2271468503341</v>
      </c>
      <c r="O30" s="36">
        <v>4.5881429412485248</v>
      </c>
      <c r="P30" s="42">
        <f t="shared" si="4"/>
        <v>11537.268601929052</v>
      </c>
      <c r="Q30" s="42"/>
      <c r="R30">
        <v>0.6947233497116001</v>
      </c>
      <c r="S30">
        <v>0.728782006286813</v>
      </c>
      <c r="T30" s="42"/>
      <c r="U30" s="42"/>
    </row>
    <row r="31" spans="1:22" x14ac:dyDescent="0.25">
      <c r="A31" s="40">
        <f t="shared" si="5"/>
        <v>64.229676878151835</v>
      </c>
      <c r="B31" s="40">
        <f t="shared" si="5"/>
        <v>32.933286051621081</v>
      </c>
      <c r="C31" s="41">
        <f t="shared" si="0"/>
        <v>0.49289226185293716</v>
      </c>
      <c r="D31" s="41">
        <f t="shared" si="1"/>
        <v>0.98069361229543572</v>
      </c>
      <c r="E31" s="39">
        <f>IF(_xlfn.NORM.INV(R31,C31,'Regressão Grupo 2'!$B$7)&lt;=0,0,IF(_xlfn.NORM.INV(R31,C31,'Regressão Grupo 2'!$B$7)&gt;100%,100%,_xlfn.NORM.INV(R31,C31,'Regressão Grupo 2'!$B$7)))</f>
        <v>0.52831509340302663</v>
      </c>
      <c r="F31" s="39">
        <f>IF(_xlfn.NORM.INV(S31,D31,'Regressão Grupo 2'!$B$7)&lt;=0,0,IF(_xlfn.NORM.INV(S31,D31,'Regressão Grupo 2'!$B$7)&gt;100%,100%,_xlfn.NORM.INV(S31,D31,'Regressão Grupo 2'!$B$7)))</f>
        <v>1</v>
      </c>
      <c r="G31" s="41">
        <v>1.1553535078972362E-2</v>
      </c>
      <c r="H31" s="41">
        <v>8.1062614329072899E-3</v>
      </c>
      <c r="I31" s="40">
        <f t="shared" si="2"/>
        <v>122.02517327268434</v>
      </c>
      <c r="J31" s="40">
        <f t="shared" si="2"/>
        <v>0</v>
      </c>
      <c r="K31" s="36">
        <v>0.2268840707627639</v>
      </c>
      <c r="L31" s="42">
        <f t="shared" si="7"/>
        <v>19991.322604477216</v>
      </c>
      <c r="M31" s="42">
        <f t="shared" si="7"/>
        <v>0</v>
      </c>
      <c r="N31" s="42">
        <f t="shared" si="3"/>
        <v>4535.7126524354499</v>
      </c>
      <c r="O31" s="36">
        <v>7.7444936008859004</v>
      </c>
      <c r="P31" s="42">
        <f t="shared" si="4"/>
        <v>2356.9016243122578</v>
      </c>
      <c r="Q31" s="42"/>
      <c r="R31">
        <v>0.60109256263924071</v>
      </c>
      <c r="S31">
        <v>0.956602679525132</v>
      </c>
      <c r="T31" s="42"/>
      <c r="U31" s="42"/>
    </row>
    <row r="32" spans="1:22" x14ac:dyDescent="0.25">
      <c r="A32" s="40">
        <f t="shared" si="5"/>
        <v>64.229676878151835</v>
      </c>
      <c r="B32" s="40">
        <f t="shared" si="5"/>
        <v>32.933286051621081</v>
      </c>
      <c r="C32" s="41">
        <f t="shared" si="0"/>
        <v>0.49289226185293716</v>
      </c>
      <c r="D32" s="41">
        <f t="shared" si="1"/>
        <v>0.98069361229543572</v>
      </c>
      <c r="E32" s="39">
        <f>IF(_xlfn.NORM.INV(R32,C32,'Regressão Grupo 2'!$B$7)&lt;=0,0,IF(_xlfn.NORM.INV(R32,C32,'Regressão Grupo 2'!$B$7)&gt;100%,100%,_xlfn.NORM.INV(R32,C32,'Regressão Grupo 2'!$B$7)))</f>
        <v>0.60188668959310954</v>
      </c>
      <c r="F32" s="39">
        <f>IF(_xlfn.NORM.INV(S32,D32,'Regressão Grupo 2'!$B$7)&lt;=0,0,IF(_xlfn.NORM.INV(S32,D32,'Regressão Grupo 2'!$B$7)&gt;100%,100%,_xlfn.NORM.INV(S32,D32,'Regressão Grupo 2'!$B$7)))</f>
        <v>1</v>
      </c>
      <c r="G32" s="41">
        <v>8.9620408806459044E-3</v>
      </c>
      <c r="H32" s="41">
        <v>1.1397832089636009E-2</v>
      </c>
      <c r="I32" s="40">
        <f t="shared" si="2"/>
        <v>107.8358553264372</v>
      </c>
      <c r="J32" s="40">
        <f t="shared" si="2"/>
        <v>0</v>
      </c>
      <c r="K32" s="36">
        <v>0.39046387687346112</v>
      </c>
      <c r="L32" s="42">
        <f t="shared" si="7"/>
        <v>19991.322604477216</v>
      </c>
      <c r="M32" s="42">
        <f t="shared" si="7"/>
        <v>0</v>
      </c>
      <c r="N32" s="42">
        <f t="shared" si="3"/>
        <v>7805.8893279722324</v>
      </c>
      <c r="O32" s="36">
        <v>6.6022765500365539</v>
      </c>
      <c r="P32" s="42">
        <f t="shared" si="4"/>
        <v>-1591.5893233509141</v>
      </c>
      <c r="Q32" s="42"/>
      <c r="R32">
        <v>0.78472243415631582</v>
      </c>
      <c r="S32">
        <v>0.68031861323892939</v>
      </c>
      <c r="T32" s="42"/>
      <c r="U32" s="42"/>
    </row>
    <row r="33" spans="1:21" x14ac:dyDescent="0.25">
      <c r="A33" s="40">
        <f t="shared" si="5"/>
        <v>64.229676878151835</v>
      </c>
      <c r="B33" s="40">
        <f t="shared" si="5"/>
        <v>32.933286051621081</v>
      </c>
      <c r="C33" s="41">
        <f t="shared" si="0"/>
        <v>0.49289226185293716</v>
      </c>
      <c r="D33" s="41">
        <f t="shared" si="1"/>
        <v>0.98069361229543572</v>
      </c>
      <c r="E33" s="39">
        <f>IF(_xlfn.NORM.INV(R33,C33,'Regressão Grupo 2'!$B$7)&lt;=0,0,IF(_xlfn.NORM.INV(R33,C33,'Regressão Grupo 2'!$B$7)&gt;100%,100%,_xlfn.NORM.INV(R33,C33,'Regressão Grupo 2'!$B$7)))</f>
        <v>0.35635598221715459</v>
      </c>
      <c r="F33" s="39">
        <f>IF(_xlfn.NORM.INV(S33,D33,'Regressão Grupo 2'!$B$7)&lt;=0,0,IF(_xlfn.NORM.INV(S33,D33,'Regressão Grupo 2'!$B$7)&gt;100%,100%,_xlfn.NORM.INV(S33,D33,'Regressão Grupo 2'!$B$7)))</f>
        <v>1</v>
      </c>
      <c r="G33" s="41">
        <v>6.5733030500868626E-3</v>
      </c>
      <c r="H33" s="41">
        <v>2.0594996778923721E-2</v>
      </c>
      <c r="I33" s="40">
        <f t="shared" si="2"/>
        <v>46.828391054008605</v>
      </c>
      <c r="J33" s="40">
        <f t="shared" si="2"/>
        <v>0</v>
      </c>
      <c r="K33" s="36">
        <v>0.21000184404388045</v>
      </c>
      <c r="L33" s="42">
        <f t="shared" si="7"/>
        <v>19991.322604477216</v>
      </c>
      <c r="M33" s="42">
        <f t="shared" si="7"/>
        <v>0</v>
      </c>
      <c r="N33" s="42">
        <f t="shared" si="3"/>
        <v>4198.2146118163264</v>
      </c>
      <c r="O33" s="36">
        <v>5.0216425281345884</v>
      </c>
      <c r="P33" s="42">
        <f t="shared" si="4"/>
        <v>-1425.5976257345446</v>
      </c>
      <c r="Q33" s="42"/>
      <c r="R33">
        <v>0.16171758171330913</v>
      </c>
      <c r="S33">
        <v>0.78862880336924346</v>
      </c>
      <c r="T33" s="42"/>
      <c r="U33" s="42"/>
    </row>
    <row r="34" spans="1:21" x14ac:dyDescent="0.25">
      <c r="A34" s="40">
        <f t="shared" si="5"/>
        <v>64.229676878151835</v>
      </c>
      <c r="B34" s="40">
        <f t="shared" si="5"/>
        <v>32.933286051621081</v>
      </c>
      <c r="C34" s="41">
        <f t="shared" si="0"/>
        <v>0.49289226185293716</v>
      </c>
      <c r="D34" s="41">
        <f t="shared" si="1"/>
        <v>0.98069361229543572</v>
      </c>
      <c r="E34" s="39">
        <f>IF(_xlfn.NORM.INV(R34,C34,'Regressão Grupo 2'!$B$7)&lt;=0,0,IF(_xlfn.NORM.INV(R34,C34,'Regressão Grupo 2'!$B$7)&gt;100%,100%,_xlfn.NORM.INV(R34,C34,'Regressão Grupo 2'!$B$7)))</f>
        <v>0.4815771998758786</v>
      </c>
      <c r="F34" s="39">
        <f>IF(_xlfn.NORM.INV(S34,D34,'Regressão Grupo 2'!$B$7)&lt;=0,0,IF(_xlfn.NORM.INV(S34,D34,'Regressão Grupo 2'!$B$7)&gt;100%,100%,_xlfn.NORM.INV(S34,D34,'Regressão Grupo 2'!$B$7)))</f>
        <v>1</v>
      </c>
      <c r="G34" s="41">
        <v>2.5182684768355834E-2</v>
      </c>
      <c r="H34" s="41">
        <v>2.0024371938472292E-2</v>
      </c>
      <c r="I34" s="40">
        <f t="shared" si="2"/>
        <v>242.44290201642582</v>
      </c>
      <c r="J34" s="40">
        <f t="shared" si="2"/>
        <v>0</v>
      </c>
      <c r="K34" s="36">
        <v>0.34350495289605359</v>
      </c>
      <c r="L34" s="42">
        <f t="shared" si="7"/>
        <v>19991.322604477216</v>
      </c>
      <c r="M34" s="42">
        <f t="shared" si="7"/>
        <v>0</v>
      </c>
      <c r="N34" s="42">
        <f t="shared" si="3"/>
        <v>6867.1183295807577</v>
      </c>
      <c r="O34" s="36">
        <v>5.045894493290783</v>
      </c>
      <c r="P34" s="42">
        <f t="shared" si="4"/>
        <v>7481.5696241135784</v>
      </c>
      <c r="Q34" s="42"/>
      <c r="R34">
        <v>0.46739097262489698</v>
      </c>
      <c r="S34">
        <v>0.93395794549394207</v>
      </c>
      <c r="T34" s="42"/>
      <c r="U34" s="42"/>
    </row>
    <row r="35" spans="1:21" x14ac:dyDescent="0.25">
      <c r="A35" s="40">
        <f t="shared" si="5"/>
        <v>64.229676878151835</v>
      </c>
      <c r="B35" s="40">
        <f t="shared" si="5"/>
        <v>32.933286051621081</v>
      </c>
      <c r="C35" s="41">
        <f t="shared" si="0"/>
        <v>0.49289226185293716</v>
      </c>
      <c r="D35" s="41">
        <f t="shared" si="1"/>
        <v>0.98069361229543572</v>
      </c>
      <c r="E35" s="39">
        <f>IF(_xlfn.NORM.INV(R35,C35,'Regressão Grupo 2'!$B$7)&lt;=0,0,IF(_xlfn.NORM.INV(R35,C35,'Regressão Grupo 2'!$B$7)&gt;100%,100%,_xlfn.NORM.INV(R35,C35,'Regressão Grupo 2'!$B$7)))</f>
        <v>0.78417500529843331</v>
      </c>
      <c r="F35" s="39">
        <f>IF(_xlfn.NORM.INV(S35,D35,'Regressão Grupo 2'!$B$7)&lt;=0,0,IF(_xlfn.NORM.INV(S35,D35,'Regressão Grupo 2'!$B$7)&gt;100%,100%,_xlfn.NORM.INV(S35,D35,'Regressão Grupo 2'!$B$7)))</f>
        <v>0.82022911256939302</v>
      </c>
      <c r="G35" s="41">
        <v>2.7283017568665417E-2</v>
      </c>
      <c r="H35" s="41">
        <v>2.1648592958389511E-2</v>
      </c>
      <c r="I35" s="40">
        <f t="shared" si="2"/>
        <v>427.70755899853935</v>
      </c>
      <c r="J35" s="40">
        <f t="shared" si="2"/>
        <v>0</v>
      </c>
      <c r="K35" s="36">
        <v>0.32705145673921437</v>
      </c>
      <c r="L35" s="42">
        <f t="shared" si="7"/>
        <v>19991.322604477216</v>
      </c>
      <c r="M35" s="42">
        <f t="shared" si="7"/>
        <v>0</v>
      </c>
      <c r="N35" s="42">
        <f t="shared" si="3"/>
        <v>6538.1911799378586</v>
      </c>
      <c r="O35" s="36">
        <v>3.1569815460800652</v>
      </c>
      <c r="P35" s="42">
        <f t="shared" si="4"/>
        <v>19583.062262004045</v>
      </c>
      <c r="Q35" s="42"/>
      <c r="R35">
        <v>0.98242133854182556</v>
      </c>
      <c r="S35">
        <v>0.12292855616931669</v>
      </c>
      <c r="T35" s="42"/>
      <c r="U35" s="42"/>
    </row>
    <row r="36" spans="1:21" x14ac:dyDescent="0.25">
      <c r="A36" s="40">
        <f t="shared" si="5"/>
        <v>64.229676878151835</v>
      </c>
      <c r="B36" s="40">
        <f t="shared" si="5"/>
        <v>32.933286051621081</v>
      </c>
      <c r="C36" s="41">
        <f t="shared" si="0"/>
        <v>0.49289226185293716</v>
      </c>
      <c r="D36" s="41">
        <f t="shared" si="1"/>
        <v>0.98069361229543572</v>
      </c>
      <c r="E36" s="39">
        <f>IF(_xlfn.NORM.INV(R36,C36,'Regressão Grupo 2'!$B$7)&lt;=0,0,IF(_xlfn.NORM.INV(R36,C36,'Regressão Grupo 2'!$B$7)&gt;100%,100%,_xlfn.NORM.INV(R36,C36,'Regressão Grupo 2'!$B$7)))</f>
        <v>0.47632479644217957</v>
      </c>
      <c r="F36" s="39">
        <f>IF(_xlfn.NORM.INV(S36,D36,'Regressão Grupo 2'!$B$7)&lt;=0,0,IF(_xlfn.NORM.INV(S36,D36,'Regressão Grupo 2'!$B$7)&gt;100%,100%,_xlfn.NORM.INV(S36,D36,'Regressão Grupo 2'!$B$7)))</f>
        <v>1</v>
      </c>
      <c r="G36" s="41">
        <v>2.5396805720646686E-2</v>
      </c>
      <c r="H36" s="41">
        <v>2.5545630377982399E-2</v>
      </c>
      <c r="I36" s="40">
        <f t="shared" si="2"/>
        <v>241.83759473629169</v>
      </c>
      <c r="J36" s="40">
        <f t="shared" si="2"/>
        <v>0</v>
      </c>
      <c r="K36" s="36">
        <v>0.32340932075066448</v>
      </c>
      <c r="L36" s="42">
        <f t="shared" si="7"/>
        <v>19991.322604477216</v>
      </c>
      <c r="M36" s="42">
        <f t="shared" si="7"/>
        <v>0</v>
      </c>
      <c r="N36" s="42">
        <f t="shared" si="3"/>
        <v>6465.3800644213816</v>
      </c>
      <c r="O36" s="36">
        <v>4.7106235003494712</v>
      </c>
      <c r="P36" s="42">
        <f t="shared" si="4"/>
        <v>7928.5646454472981</v>
      </c>
      <c r="Q36" s="42"/>
      <c r="R36">
        <v>0.45231482894375441</v>
      </c>
      <c r="S36">
        <v>0.88467055269020656</v>
      </c>
      <c r="T36" s="42"/>
      <c r="U36" s="42"/>
    </row>
    <row r="37" spans="1:21" x14ac:dyDescent="0.25">
      <c r="A37" s="40">
        <f t="shared" si="5"/>
        <v>64.229676878151835</v>
      </c>
      <c r="B37" s="40">
        <f t="shared" si="5"/>
        <v>32.933286051621081</v>
      </c>
      <c r="C37" s="41">
        <f t="shared" si="0"/>
        <v>0.49289226185293716</v>
      </c>
      <c r="D37" s="41">
        <f t="shared" si="1"/>
        <v>0.98069361229543572</v>
      </c>
      <c r="E37" s="39">
        <f>IF(_xlfn.NORM.INV(R37,C37,'Regressão Grupo 2'!$B$7)&lt;=0,0,IF(_xlfn.NORM.INV(R37,C37,'Regressão Grupo 2'!$B$7)&gt;100%,100%,_xlfn.NORM.INV(R37,C37,'Regressão Grupo 2'!$B$7)))</f>
        <v>0.61243969101049889</v>
      </c>
      <c r="F37" s="39">
        <f>IF(_xlfn.NORM.INV(S37,D37,'Regressão Grupo 2'!$B$7)&lt;=0,0,IF(_xlfn.NORM.INV(S37,D37,'Regressão Grupo 2'!$B$7)&gt;100%,100%,_xlfn.NORM.INV(S37,D37,'Regressão Grupo 2'!$B$7)))</f>
        <v>0.96165162156047601</v>
      </c>
      <c r="G37" s="41">
        <v>1.7296622918005579E-2</v>
      </c>
      <c r="H37" s="41">
        <v>2.5143347052129023E-2</v>
      </c>
      <c r="I37" s="40">
        <f t="shared" si="2"/>
        <v>211.77084705688429</v>
      </c>
      <c r="J37" s="40">
        <f t="shared" si="2"/>
        <v>0</v>
      </c>
      <c r="K37" s="36">
        <v>0.40037119138715332</v>
      </c>
      <c r="L37" s="42">
        <f t="shared" si="7"/>
        <v>19991.322604477216</v>
      </c>
      <c r="M37" s="42">
        <f t="shared" si="7"/>
        <v>0</v>
      </c>
      <c r="N37" s="42">
        <f t="shared" si="3"/>
        <v>8003.9496485594718</v>
      </c>
      <c r="O37" s="36">
        <v>8.0242170618792628</v>
      </c>
      <c r="P37" s="42">
        <f t="shared" si="4"/>
        <v>3898.7281859542436</v>
      </c>
      <c r="Q37" s="42"/>
      <c r="R37">
        <v>0.80636005737479777</v>
      </c>
      <c r="S37">
        <v>0.44523453474532304</v>
      </c>
      <c r="T37" s="42"/>
      <c r="U37" s="42"/>
    </row>
    <row r="38" spans="1:21" x14ac:dyDescent="0.25">
      <c r="A38" s="40">
        <f t="shared" si="5"/>
        <v>64.229676878151835</v>
      </c>
      <c r="B38" s="40">
        <f t="shared" si="5"/>
        <v>32.933286051621081</v>
      </c>
      <c r="C38" s="41">
        <f t="shared" si="0"/>
        <v>0.49289226185293716</v>
      </c>
      <c r="D38" s="41">
        <f t="shared" si="1"/>
        <v>0.98069361229543572</v>
      </c>
      <c r="E38" s="39">
        <f>IF(_xlfn.NORM.INV(R38,C38,'Regressão Grupo 2'!$B$7)&lt;=0,0,IF(_xlfn.NORM.INV(R38,C38,'Regressão Grupo 2'!$B$7)&gt;100%,100%,_xlfn.NORM.INV(R38,C38,'Regressão Grupo 2'!$B$7)))</f>
        <v>0.54115336019177529</v>
      </c>
      <c r="F38" s="39">
        <f>IF(_xlfn.NORM.INV(S38,D38,'Regressão Grupo 2'!$B$7)&lt;=0,0,IF(_xlfn.NORM.INV(S38,D38,'Regressão Grupo 2'!$B$7)&gt;100%,100%,_xlfn.NORM.INV(S38,D38,'Regressão Grupo 2'!$B$7)))</f>
        <v>0.89994099773903802</v>
      </c>
      <c r="G38" s="41">
        <v>1.4975754693681542E-2</v>
      </c>
      <c r="H38" s="41">
        <v>1.7105343487392639E-2</v>
      </c>
      <c r="I38" s="40">
        <f t="shared" si="2"/>
        <v>162.01327630284905</v>
      </c>
      <c r="J38" s="40">
        <f t="shared" si="2"/>
        <v>0</v>
      </c>
      <c r="K38" s="36">
        <v>0.32267278672742694</v>
      </c>
      <c r="L38" s="42">
        <f t="shared" si="7"/>
        <v>19991.322604477216</v>
      </c>
      <c r="M38" s="42">
        <f t="shared" si="7"/>
        <v>0</v>
      </c>
      <c r="N38" s="42">
        <f t="shared" si="3"/>
        <v>6450.6557751536666</v>
      </c>
      <c r="O38" s="36">
        <v>6.2869709160121987</v>
      </c>
      <c r="P38" s="42">
        <f t="shared" si="4"/>
        <v>2936.8318556252025</v>
      </c>
      <c r="Q38" s="42"/>
      <c r="R38">
        <v>0.63646351512192145</v>
      </c>
      <c r="S38">
        <v>0.27961058381908627</v>
      </c>
      <c r="T38" s="42"/>
      <c r="U38" s="42"/>
    </row>
    <row r="39" spans="1:21" x14ac:dyDescent="0.25">
      <c r="A39" s="40">
        <f t="shared" si="5"/>
        <v>64.229676878151835</v>
      </c>
      <c r="B39" s="40">
        <f t="shared" si="5"/>
        <v>32.933286051621081</v>
      </c>
      <c r="C39" s="41">
        <f t="shared" si="0"/>
        <v>0.49289226185293716</v>
      </c>
      <c r="D39" s="41">
        <f t="shared" si="1"/>
        <v>0.98069361229543572</v>
      </c>
      <c r="E39" s="39">
        <f>IF(_xlfn.NORM.INV(R39,C39,'Regressão Grupo 2'!$B$7)&lt;=0,0,IF(_xlfn.NORM.INV(R39,C39,'Regressão Grupo 2'!$B$7)&gt;100%,100%,_xlfn.NORM.INV(R39,C39,'Regressão Grupo 2'!$B$7)))</f>
        <v>0.52009851220562364</v>
      </c>
      <c r="F39" s="39">
        <f>IF(_xlfn.NORM.INV(S39,D39,'Regressão Grupo 2'!$B$7)&lt;=0,0,IF(_xlfn.NORM.INV(S39,D39,'Regressão Grupo 2'!$B$7)&gt;100%,100%,_xlfn.NORM.INV(S39,D39,'Regressão Grupo 2'!$B$7)))</f>
        <v>1</v>
      </c>
      <c r="G39" s="41">
        <v>7.482716195360401E-3</v>
      </c>
      <c r="H39" s="41">
        <v>7.2880773338523681E-3</v>
      </c>
      <c r="I39" s="40">
        <f t="shared" si="2"/>
        <v>77.801220959065617</v>
      </c>
      <c r="J39" s="40">
        <f t="shared" si="2"/>
        <v>0</v>
      </c>
      <c r="K39" s="36">
        <v>0.23057551783722502</v>
      </c>
      <c r="L39" s="42">
        <f t="shared" ref="L39:M54" si="8">L38</f>
        <v>19991.322604477216</v>
      </c>
      <c r="M39" s="42">
        <f t="shared" si="8"/>
        <v>0</v>
      </c>
      <c r="N39" s="42">
        <f t="shared" si="3"/>
        <v>4609.5095617783563</v>
      </c>
      <c r="O39" s="36">
        <v>9.865169559826251</v>
      </c>
      <c r="P39" s="42">
        <f t="shared" si="4"/>
        <v>-379.88451557456847</v>
      </c>
      <c r="Q39" s="42"/>
      <c r="R39">
        <v>0.57799005096591083</v>
      </c>
      <c r="S39">
        <v>0.8639484847560045</v>
      </c>
      <c r="T39" s="42"/>
      <c r="U39" s="42"/>
    </row>
    <row r="40" spans="1:21" x14ac:dyDescent="0.25">
      <c r="A40" s="40">
        <f t="shared" si="5"/>
        <v>64.229676878151835</v>
      </c>
      <c r="B40" s="40">
        <f t="shared" si="5"/>
        <v>32.933286051621081</v>
      </c>
      <c r="C40" s="41">
        <f t="shared" si="0"/>
        <v>0.49289226185293716</v>
      </c>
      <c r="D40" s="41">
        <f t="shared" si="1"/>
        <v>0.98069361229543572</v>
      </c>
      <c r="E40" s="39">
        <f>IF(_xlfn.NORM.INV(R40,C40,'Regressão Grupo 2'!$B$7)&lt;=0,0,IF(_xlfn.NORM.INV(R40,C40,'Regressão Grupo 2'!$B$7)&gt;100%,100%,_xlfn.NORM.INV(R40,C40,'Regressão Grupo 2'!$B$7)))</f>
        <v>0.44656017502448803</v>
      </c>
      <c r="F40" s="39">
        <f>IF(_xlfn.NORM.INV(S40,D40,'Regressão Grupo 2'!$B$7)&lt;=0,0,IF(_xlfn.NORM.INV(S40,D40,'Regressão Grupo 2'!$B$7)&gt;100%,100%,_xlfn.NORM.INV(S40,D40,'Regressão Grupo 2'!$B$7)))</f>
        <v>0.9976979776771544</v>
      </c>
      <c r="G40" s="41">
        <v>1.7588626013785028E-2</v>
      </c>
      <c r="H40" s="41">
        <v>2.1352763768535694E-2</v>
      </c>
      <c r="I40" s="40">
        <f t="shared" si="2"/>
        <v>157.0194426620468</v>
      </c>
      <c r="J40" s="40">
        <f t="shared" si="2"/>
        <v>0</v>
      </c>
      <c r="K40" s="36">
        <v>0.31448364508820714</v>
      </c>
      <c r="L40" s="42">
        <f t="shared" si="8"/>
        <v>19991.322604477216</v>
      </c>
      <c r="M40" s="42">
        <f t="shared" si="8"/>
        <v>0</v>
      </c>
      <c r="N40" s="42">
        <f t="shared" si="3"/>
        <v>6286.9440027902656</v>
      </c>
      <c r="O40" s="36">
        <v>6.5903300307625514</v>
      </c>
      <c r="P40" s="42">
        <f t="shared" si="4"/>
        <v>2763.5541145912048</v>
      </c>
      <c r="Q40" s="42"/>
      <c r="R40">
        <v>0.36878566850795008</v>
      </c>
      <c r="S40">
        <v>0.54893642994476155</v>
      </c>
      <c r="T40" s="42"/>
      <c r="U40" s="42"/>
    </row>
    <row r="41" spans="1:21" x14ac:dyDescent="0.25">
      <c r="A41" s="40">
        <f t="shared" si="5"/>
        <v>64.229676878151835</v>
      </c>
      <c r="B41" s="40">
        <f t="shared" si="5"/>
        <v>32.933286051621081</v>
      </c>
      <c r="C41" s="41">
        <f t="shared" si="0"/>
        <v>0.49289226185293716</v>
      </c>
      <c r="D41" s="41">
        <f t="shared" si="1"/>
        <v>0.98069361229543572</v>
      </c>
      <c r="E41" s="39">
        <f>IF(_xlfn.NORM.INV(R41,C41,'Regressão Grupo 2'!$B$7)&lt;=0,0,IF(_xlfn.NORM.INV(R41,C41,'Regressão Grupo 2'!$B$7)&gt;100%,100%,_xlfn.NORM.INV(R41,C41,'Regressão Grupo 2'!$B$7)))</f>
        <v>0.29489236640283689</v>
      </c>
      <c r="F41" s="39">
        <f>IF(_xlfn.NORM.INV(S41,D41,'Regressão Grupo 2'!$B$7)&lt;=0,0,IF(_xlfn.NORM.INV(S41,D41,'Regressão Grupo 2'!$B$7)&gt;100%,100%,_xlfn.NORM.INV(S41,D41,'Regressão Grupo 2'!$B$7)))</f>
        <v>0.9223008897685433</v>
      </c>
      <c r="G41" s="41">
        <v>1.7759977504935066E-2</v>
      </c>
      <c r="H41" s="41">
        <v>2.2414402663906881E-2</v>
      </c>
      <c r="I41" s="40">
        <f t="shared" si="2"/>
        <v>104.70018990824092</v>
      </c>
      <c r="J41" s="40">
        <f t="shared" si="2"/>
        <v>0</v>
      </c>
      <c r="K41" s="36">
        <v>0.22817272134938818</v>
      </c>
      <c r="L41" s="42">
        <f t="shared" si="8"/>
        <v>19991.322604477216</v>
      </c>
      <c r="M41" s="42">
        <f t="shared" si="8"/>
        <v>0</v>
      </c>
      <c r="N41" s="42">
        <f t="shared" si="3"/>
        <v>4561.4744820371052</v>
      </c>
      <c r="O41" s="36">
        <v>6.5050167391264457</v>
      </c>
      <c r="P41" s="42">
        <f t="shared" si="4"/>
        <v>1482.3083969075169</v>
      </c>
      <c r="Q41" s="42"/>
      <c r="R41">
        <v>7.6082644123661003E-2</v>
      </c>
      <c r="S41">
        <v>0.33640552995391704</v>
      </c>
      <c r="T41" s="42"/>
      <c r="U41" s="42"/>
    </row>
    <row r="42" spans="1:21" x14ac:dyDescent="0.25">
      <c r="A42" s="40">
        <f t="shared" si="5"/>
        <v>64.229676878151835</v>
      </c>
      <c r="B42" s="40">
        <f t="shared" si="5"/>
        <v>32.933286051621081</v>
      </c>
      <c r="C42" s="41">
        <f t="shared" si="0"/>
        <v>0.49289226185293716</v>
      </c>
      <c r="D42" s="41">
        <f t="shared" si="1"/>
        <v>0.98069361229543572</v>
      </c>
      <c r="E42" s="39">
        <f>IF(_xlfn.NORM.INV(R42,C42,'Regressão Grupo 2'!$B$7)&lt;=0,0,IF(_xlfn.NORM.INV(R42,C42,'Regressão Grupo 2'!$B$7)&gt;100%,100%,_xlfn.NORM.INV(R42,C42,'Regressão Grupo 2'!$B$7)))</f>
        <v>0.4567256259892542</v>
      </c>
      <c r="F42" s="39">
        <f>IF(_xlfn.NORM.INV(S42,D42,'Regressão Grupo 2'!$B$7)&lt;=0,0,IF(_xlfn.NORM.INV(S42,D42,'Regressão Grupo 2'!$B$7)&gt;100%,100%,_xlfn.NORM.INV(S42,D42,'Regressão Grupo 2'!$B$7)))</f>
        <v>0.79635949041361964</v>
      </c>
      <c r="G42" s="41">
        <v>2.1971676183231974E-2</v>
      </c>
      <c r="H42" s="41">
        <v>2.5649157188112649E-2</v>
      </c>
      <c r="I42" s="40">
        <f t="shared" si="2"/>
        <v>200.61347327318629</v>
      </c>
      <c r="J42" s="40">
        <f t="shared" si="2"/>
        <v>0</v>
      </c>
      <c r="K42" s="36">
        <v>0.20183978449173126</v>
      </c>
      <c r="L42" s="42">
        <f t="shared" si="8"/>
        <v>19991.322604477216</v>
      </c>
      <c r="M42" s="42">
        <f t="shared" si="8"/>
        <v>0</v>
      </c>
      <c r="N42" s="42">
        <f t="shared" si="3"/>
        <v>4035.0442461923571</v>
      </c>
      <c r="O42" s="36">
        <v>7.0879324326294721</v>
      </c>
      <c r="P42" s="42">
        <f t="shared" si="4"/>
        <v>7428.3595759126856</v>
      </c>
      <c r="Q42" s="42"/>
      <c r="R42">
        <v>0.39683217871639148</v>
      </c>
      <c r="S42">
        <v>9.1250343333231607E-2</v>
      </c>
      <c r="T42" s="42"/>
      <c r="U42" s="42"/>
    </row>
    <row r="43" spans="1:21" x14ac:dyDescent="0.25">
      <c r="A43" s="40">
        <f t="shared" si="5"/>
        <v>64.229676878151835</v>
      </c>
      <c r="B43" s="40">
        <f t="shared" si="5"/>
        <v>32.933286051621081</v>
      </c>
      <c r="C43" s="41">
        <f t="shared" si="0"/>
        <v>0.49289226185293716</v>
      </c>
      <c r="D43" s="41">
        <f t="shared" si="1"/>
        <v>0.98069361229543572</v>
      </c>
      <c r="E43" s="39">
        <f>IF(_xlfn.NORM.INV(R43,C43,'Regressão Grupo 2'!$B$7)&lt;=0,0,IF(_xlfn.NORM.INV(R43,C43,'Regressão Grupo 2'!$B$7)&gt;100%,100%,_xlfn.NORM.INV(R43,C43,'Regressão Grupo 2'!$B$7)))</f>
        <v>0.55802924165414869</v>
      </c>
      <c r="F43" s="39">
        <f>IF(_xlfn.NORM.INV(S43,D43,'Regressão Grupo 2'!$B$7)&lt;=0,0,IF(_xlfn.NORM.INV(S43,D43,'Regressão Grupo 2'!$B$7)&gt;100%,100%,_xlfn.NORM.INV(S43,D43,'Regressão Grupo 2'!$B$7)))</f>
        <v>0.97754642630556154</v>
      </c>
      <c r="G43" s="41">
        <v>1.7438080439597624E-2</v>
      </c>
      <c r="H43" s="41">
        <v>7.7570888031910559E-3</v>
      </c>
      <c r="I43" s="40">
        <f t="shared" si="2"/>
        <v>194.53473669389925</v>
      </c>
      <c r="J43" s="40">
        <f t="shared" si="2"/>
        <v>0</v>
      </c>
      <c r="K43" s="36">
        <v>0.3357540901495934</v>
      </c>
      <c r="L43" s="42">
        <f t="shared" si="8"/>
        <v>19991.322604477216</v>
      </c>
      <c r="M43" s="42">
        <f t="shared" si="8"/>
        <v>0</v>
      </c>
      <c r="N43" s="42">
        <f t="shared" si="3"/>
        <v>6712.1683319532476</v>
      </c>
      <c r="O43" s="36">
        <v>7.1997585385894487</v>
      </c>
      <c r="P43" s="42">
        <f t="shared" si="4"/>
        <v>4382.1318159080965</v>
      </c>
      <c r="Q43" s="42"/>
      <c r="R43">
        <v>0.68120365001373329</v>
      </c>
      <c r="S43">
        <v>0.49092074343089082</v>
      </c>
      <c r="T43" s="42"/>
      <c r="U43" s="42"/>
    </row>
    <row r="44" spans="1:21" x14ac:dyDescent="0.25">
      <c r="A44" s="40">
        <f t="shared" si="5"/>
        <v>64.229676878151835</v>
      </c>
      <c r="B44" s="40">
        <f t="shared" si="5"/>
        <v>32.933286051621081</v>
      </c>
      <c r="C44" s="41">
        <f t="shared" si="0"/>
        <v>0.49289226185293716</v>
      </c>
      <c r="D44" s="41">
        <f t="shared" si="1"/>
        <v>0.98069361229543572</v>
      </c>
      <c r="E44" s="39">
        <f>IF(_xlfn.NORM.INV(R44,C44,'Regressão Grupo 2'!$B$7)&lt;=0,0,IF(_xlfn.NORM.INV(R44,C44,'Regressão Grupo 2'!$B$7)&gt;100%,100%,_xlfn.NORM.INV(R44,C44,'Regressão Grupo 2'!$B$7)))</f>
        <v>0.22371810418256816</v>
      </c>
      <c r="F44" s="39">
        <f>IF(_xlfn.NORM.INV(S44,D44,'Regressão Grupo 2'!$B$7)&lt;=0,0,IF(_xlfn.NORM.INV(S44,D44,'Regressão Grupo 2'!$B$7)&gt;100%,100%,_xlfn.NORM.INV(S44,D44,'Regressão Grupo 2'!$B$7)))</f>
        <v>1</v>
      </c>
      <c r="G44" s="41">
        <v>4.3795561907896208E-3</v>
      </c>
      <c r="H44" s="41">
        <v>1.418656489781815E-2</v>
      </c>
      <c r="I44" s="40">
        <f t="shared" si="2"/>
        <v>19.587218172569141</v>
      </c>
      <c r="J44" s="40">
        <f t="shared" si="2"/>
        <v>0</v>
      </c>
      <c r="K44" s="36">
        <v>0.40144798037480617</v>
      </c>
      <c r="L44" s="42">
        <f t="shared" si="8"/>
        <v>19991.322604477216</v>
      </c>
      <c r="M44" s="42">
        <f t="shared" si="8"/>
        <v>0</v>
      </c>
      <c r="N44" s="42">
        <f t="shared" si="3"/>
        <v>8025.4760845885885</v>
      </c>
      <c r="O44" s="36">
        <v>6.4758082015653073</v>
      </c>
      <c r="P44" s="42">
        <f t="shared" si="4"/>
        <v>-6894.238458510381</v>
      </c>
      <c r="Q44" s="42"/>
      <c r="R44">
        <v>2.5788140507217627E-2</v>
      </c>
      <c r="S44">
        <v>0.92101809747611929</v>
      </c>
      <c r="T44" s="42"/>
      <c r="U44" s="42"/>
    </row>
    <row r="45" spans="1:21" x14ac:dyDescent="0.25">
      <c r="A45" s="40">
        <f t="shared" si="5"/>
        <v>64.229676878151835</v>
      </c>
      <c r="B45" s="40">
        <f t="shared" si="5"/>
        <v>32.933286051621081</v>
      </c>
      <c r="C45" s="41">
        <f t="shared" si="0"/>
        <v>0.49289226185293716</v>
      </c>
      <c r="D45" s="41">
        <f t="shared" si="1"/>
        <v>0.98069361229543572</v>
      </c>
      <c r="E45" s="39">
        <f>IF(_xlfn.NORM.INV(R45,C45,'Regressão Grupo 2'!$B$7)&lt;=0,0,IF(_xlfn.NORM.INV(R45,C45,'Regressão Grupo 2'!$B$7)&gt;100%,100%,_xlfn.NORM.INV(R45,C45,'Regressão Grupo 2'!$B$7)))</f>
        <v>0.27733610414797022</v>
      </c>
      <c r="F45" s="39">
        <f>IF(_xlfn.NORM.INV(S45,D45,'Regressão Grupo 2'!$B$7)&lt;=0,0,IF(_xlfn.NORM.INV(S45,D45,'Regressão Grupo 2'!$B$7)&gt;100%,100%,_xlfn.NORM.INV(S45,D45,'Regressão Grupo 2'!$B$7)))</f>
        <v>1</v>
      </c>
      <c r="G45" s="41">
        <v>2.1773922228062762E-3</v>
      </c>
      <c r="H45" s="41">
        <v>1.7252386550010695E-2</v>
      </c>
      <c r="I45" s="40">
        <f t="shared" si="2"/>
        <v>12.07214951121386</v>
      </c>
      <c r="J45" s="40">
        <f t="shared" si="2"/>
        <v>0</v>
      </c>
      <c r="K45" s="36">
        <v>0.27535856841825607</v>
      </c>
      <c r="L45" s="42">
        <f t="shared" si="8"/>
        <v>19991.322604477216</v>
      </c>
      <c r="M45" s="42">
        <f t="shared" si="8"/>
        <v>0</v>
      </c>
      <c r="N45" s="42">
        <f t="shared" si="3"/>
        <v>5504.7819731563686</v>
      </c>
      <c r="O45" s="36">
        <v>5.5820995904437414</v>
      </c>
      <c r="P45" s="42">
        <f t="shared" si="4"/>
        <v>-4796.7796516686867</v>
      </c>
      <c r="Q45" s="42"/>
      <c r="R45">
        <v>5.9511093478194527E-2</v>
      </c>
      <c r="S45">
        <v>0.70036927396465953</v>
      </c>
      <c r="T45" s="42"/>
      <c r="U45" s="42"/>
    </row>
    <row r="46" spans="1:21" x14ac:dyDescent="0.25">
      <c r="A46" s="40">
        <f t="shared" si="5"/>
        <v>64.229676878151835</v>
      </c>
      <c r="B46" s="40">
        <f t="shared" si="5"/>
        <v>32.933286051621081</v>
      </c>
      <c r="C46" s="41">
        <f t="shared" si="0"/>
        <v>0.49289226185293716</v>
      </c>
      <c r="D46" s="41">
        <f t="shared" si="1"/>
        <v>0.98069361229543572</v>
      </c>
      <c r="E46" s="39">
        <f>IF(_xlfn.NORM.INV(R46,C46,'Regressão Grupo 2'!$B$7)&lt;=0,0,IF(_xlfn.NORM.INV(R46,C46,'Regressão Grupo 2'!$B$7)&gt;100%,100%,_xlfn.NORM.INV(R46,C46,'Regressão Grupo 2'!$B$7)))</f>
        <v>0.50058103974997314</v>
      </c>
      <c r="F46" s="39">
        <f>IF(_xlfn.NORM.INV(S46,D46,'Regressão Grupo 2'!$B$7)&lt;=0,0,IF(_xlfn.NORM.INV(S46,D46,'Regressão Grupo 2'!$B$7)&gt;100%,100%,_xlfn.NORM.INV(S46,D46,'Regressão Grupo 2'!$B$7)))</f>
        <v>1</v>
      </c>
      <c r="G46" s="41">
        <v>2.1079100560280742E-2</v>
      </c>
      <c r="H46" s="41">
        <v>1.9341199679026023E-2</v>
      </c>
      <c r="I46" s="40">
        <f t="shared" si="2"/>
        <v>210.94439938381419</v>
      </c>
      <c r="J46" s="40">
        <f t="shared" si="2"/>
        <v>0</v>
      </c>
      <c r="K46" s="36">
        <v>0.23876554522336479</v>
      </c>
      <c r="L46" s="42">
        <f t="shared" si="8"/>
        <v>19991.322604477216</v>
      </c>
      <c r="M46" s="42">
        <f t="shared" si="8"/>
        <v>0</v>
      </c>
      <c r="N46" s="42">
        <f t="shared" si="3"/>
        <v>4773.2390413941794</v>
      </c>
      <c r="O46" s="36">
        <v>5.3879854361226203</v>
      </c>
      <c r="P46" s="42">
        <f t="shared" si="4"/>
        <v>7639.0862185723927</v>
      </c>
      <c r="Q46" s="42"/>
      <c r="R46">
        <v>0.522171697134312</v>
      </c>
      <c r="S46">
        <v>0.58302560502945033</v>
      </c>
      <c r="T46" s="42"/>
      <c r="U46" s="42"/>
    </row>
    <row r="47" spans="1:21" x14ac:dyDescent="0.25">
      <c r="A47" s="40">
        <f t="shared" si="5"/>
        <v>64.229676878151835</v>
      </c>
      <c r="B47" s="40">
        <f t="shared" si="5"/>
        <v>32.933286051621081</v>
      </c>
      <c r="C47" s="41">
        <f t="shared" si="0"/>
        <v>0.49289226185293716</v>
      </c>
      <c r="D47" s="41">
        <f t="shared" si="1"/>
        <v>0.98069361229543572</v>
      </c>
      <c r="E47" s="39">
        <f>IF(_xlfn.NORM.INV(R47,C47,'Regressão Grupo 2'!$B$7)&lt;=0,0,IF(_xlfn.NORM.INV(R47,C47,'Regressão Grupo 2'!$B$7)&gt;100%,100%,_xlfn.NORM.INV(R47,C47,'Regressão Grupo 2'!$B$7)))</f>
        <v>0.25686388146262579</v>
      </c>
      <c r="F47" s="39">
        <f>IF(_xlfn.NORM.INV(S47,D47,'Regressão Grupo 2'!$B$7)&lt;=0,0,IF(_xlfn.NORM.INV(S47,D47,'Regressão Grupo 2'!$B$7)&gt;100%,100%,_xlfn.NORM.INV(S47,D47,'Regressão Grupo 2'!$B$7)))</f>
        <v>1</v>
      </c>
      <c r="G47" s="41">
        <v>1.4599767779763569E-2</v>
      </c>
      <c r="H47" s="41">
        <v>1.1602669094754684E-2</v>
      </c>
      <c r="I47" s="40">
        <f t="shared" si="2"/>
        <v>74.970518846232409</v>
      </c>
      <c r="J47" s="40">
        <f t="shared" si="2"/>
        <v>0</v>
      </c>
      <c r="K47" s="36">
        <v>0.26566360311662607</v>
      </c>
      <c r="L47" s="42">
        <f t="shared" si="8"/>
        <v>19991.322604477216</v>
      </c>
      <c r="M47" s="42">
        <f t="shared" si="8"/>
        <v>0</v>
      </c>
      <c r="N47" s="42">
        <f t="shared" si="3"/>
        <v>5310.966794172271</v>
      </c>
      <c r="O47" s="36">
        <v>7.0239549085355151</v>
      </c>
      <c r="P47" s="42">
        <f t="shared" si="4"/>
        <v>-1022.2241371368191</v>
      </c>
      <c r="Q47" s="42"/>
      <c r="R47">
        <v>4.3916135135959961E-2</v>
      </c>
      <c r="S47">
        <v>0.56447035126804412</v>
      </c>
      <c r="T47" s="42"/>
      <c r="U47" s="42"/>
    </row>
    <row r="48" spans="1:21" x14ac:dyDescent="0.25">
      <c r="A48" s="40">
        <f t="shared" si="5"/>
        <v>64.229676878151835</v>
      </c>
      <c r="B48" s="40">
        <f t="shared" si="5"/>
        <v>32.933286051621081</v>
      </c>
      <c r="C48" s="41">
        <f t="shared" si="0"/>
        <v>0.49289226185293716</v>
      </c>
      <c r="D48" s="41">
        <f t="shared" si="1"/>
        <v>0.98069361229543572</v>
      </c>
      <c r="E48" s="39">
        <f>IF(_xlfn.NORM.INV(R48,C48,'Regressão Grupo 2'!$B$7)&lt;=0,0,IF(_xlfn.NORM.INV(R48,C48,'Regressão Grupo 2'!$B$7)&gt;100%,100%,_xlfn.NORM.INV(R48,C48,'Regressão Grupo 2'!$B$7)))</f>
        <v>0.41737640270434884</v>
      </c>
      <c r="F48" s="39">
        <f>IF(_xlfn.NORM.INV(S48,D48,'Regressão Grupo 2'!$B$7)&lt;=0,0,IF(_xlfn.NORM.INV(S48,D48,'Regressão Grupo 2'!$B$7)&gt;100%,100%,_xlfn.NORM.INV(S48,D48,'Regressão Grupo 2'!$B$7)))</f>
        <v>1</v>
      </c>
      <c r="G48" s="41">
        <v>8.9845169719591153E-3</v>
      </c>
      <c r="H48" s="41">
        <v>2.105509163382626E-2</v>
      </c>
      <c r="I48" s="40">
        <f t="shared" si="2"/>
        <v>74.965967890199963</v>
      </c>
      <c r="J48" s="40">
        <f t="shared" si="2"/>
        <v>0</v>
      </c>
      <c r="K48" s="36">
        <v>0.25796499910061388</v>
      </c>
      <c r="L48" s="42">
        <f t="shared" si="8"/>
        <v>19991.322604477216</v>
      </c>
      <c r="M48" s="42">
        <f t="shared" si="8"/>
        <v>0</v>
      </c>
      <c r="N48" s="42">
        <f t="shared" si="3"/>
        <v>5157.0615176840474</v>
      </c>
      <c r="O48" s="36">
        <v>5.0184386570565245</v>
      </c>
      <c r="P48" s="42">
        <f t="shared" si="4"/>
        <v>-718.23373446243568</v>
      </c>
      <c r="Q48" s="42"/>
      <c r="R48">
        <v>0.2924893948179571</v>
      </c>
      <c r="S48">
        <v>0.74098941007721186</v>
      </c>
      <c r="T48" s="42"/>
      <c r="U48" s="42"/>
    </row>
    <row r="49" spans="1:21" x14ac:dyDescent="0.25">
      <c r="A49" s="40">
        <f t="shared" si="5"/>
        <v>64.229676878151835</v>
      </c>
      <c r="B49" s="40">
        <f t="shared" si="5"/>
        <v>32.933286051621081</v>
      </c>
      <c r="C49" s="41">
        <f t="shared" si="0"/>
        <v>0.49289226185293716</v>
      </c>
      <c r="D49" s="41">
        <f t="shared" si="1"/>
        <v>0.98069361229543572</v>
      </c>
      <c r="E49" s="39">
        <f>IF(_xlfn.NORM.INV(R49,C49,'Regressão Grupo 2'!$B$7)&lt;=0,0,IF(_xlfn.NORM.INV(R49,C49,'Regressão Grupo 2'!$B$7)&gt;100%,100%,_xlfn.NORM.INV(R49,C49,'Regressão Grupo 2'!$B$7)))</f>
        <v>0.49058089111999081</v>
      </c>
      <c r="F49" s="39">
        <f>IF(_xlfn.NORM.INV(S49,D49,'Regressão Grupo 2'!$B$7)&lt;=0,0,IF(_xlfn.NORM.INV(S49,D49,'Regressão Grupo 2'!$B$7)&gt;100%,100%,_xlfn.NORM.INV(S49,D49,'Regressão Grupo 2'!$B$7)))</f>
        <v>0.96545715741509675</v>
      </c>
      <c r="G49" s="41">
        <v>1.2011950979081313E-2</v>
      </c>
      <c r="H49" s="41">
        <v>1.6706401150380367E-2</v>
      </c>
      <c r="I49" s="40">
        <f t="shared" si="2"/>
        <v>117.80553786011627</v>
      </c>
      <c r="J49" s="40">
        <f t="shared" si="2"/>
        <v>0</v>
      </c>
      <c r="K49" s="36">
        <v>0.16488899582733563</v>
      </c>
      <c r="L49" s="42">
        <f t="shared" si="8"/>
        <v>19991.322604477216</v>
      </c>
      <c r="M49" s="42">
        <f t="shared" si="8"/>
        <v>0</v>
      </c>
      <c r="N49" s="42">
        <f t="shared" si="3"/>
        <v>3296.3491095125642</v>
      </c>
      <c r="O49" s="36">
        <v>4.5712261141537809</v>
      </c>
      <c r="P49" s="42">
        <f t="shared" si="4"/>
        <v>3731.7467706414914</v>
      </c>
      <c r="Q49" s="42"/>
      <c r="R49">
        <v>0.49333170567949464</v>
      </c>
      <c r="S49">
        <v>0.45612964262825406</v>
      </c>
      <c r="T49" s="42"/>
      <c r="U49" s="42"/>
    </row>
    <row r="50" spans="1:21" x14ac:dyDescent="0.25">
      <c r="A50" s="40">
        <f t="shared" si="5"/>
        <v>64.229676878151835</v>
      </c>
      <c r="B50" s="40">
        <f t="shared" si="5"/>
        <v>32.933286051621081</v>
      </c>
      <c r="C50" s="41">
        <f t="shared" si="0"/>
        <v>0.49289226185293716</v>
      </c>
      <c r="D50" s="41">
        <f t="shared" si="1"/>
        <v>0.98069361229543572</v>
      </c>
      <c r="E50" s="39">
        <f>IF(_xlfn.NORM.INV(R50,C50,'Regressão Grupo 2'!$B$7)&lt;=0,0,IF(_xlfn.NORM.INV(R50,C50,'Regressão Grupo 2'!$B$7)&gt;100%,100%,_xlfn.NORM.INV(R50,C50,'Regressão Grupo 2'!$B$7)))</f>
        <v>0.64786308258288128</v>
      </c>
      <c r="F50" s="39">
        <f>IF(_xlfn.NORM.INV(S50,D50,'Regressão Grupo 2'!$B$7)&lt;=0,0,IF(_xlfn.NORM.INV(S50,D50,'Regressão Grupo 2'!$B$7)&gt;100%,100%,_xlfn.NORM.INV(S50,D50,'Regressão Grupo 2'!$B$7)))</f>
        <v>0.92596972822169143</v>
      </c>
      <c r="G50" s="41">
        <v>1.9922977192625993E-2</v>
      </c>
      <c r="H50" s="41">
        <v>2.1448527901205692E-2</v>
      </c>
      <c r="I50" s="40">
        <f t="shared" si="2"/>
        <v>258.03522608468069</v>
      </c>
      <c r="J50" s="40">
        <f t="shared" si="2"/>
        <v>0</v>
      </c>
      <c r="K50" s="36">
        <v>0.4611637411059869</v>
      </c>
      <c r="L50" s="42">
        <f t="shared" si="8"/>
        <v>19991.322604477216</v>
      </c>
      <c r="M50" s="42">
        <f t="shared" si="8"/>
        <v>0</v>
      </c>
      <c r="N50" s="42">
        <f t="shared" si="3"/>
        <v>9219.2731219373945</v>
      </c>
      <c r="O50" s="36">
        <v>7.8534291881307734</v>
      </c>
      <c r="P50" s="42">
        <f t="shared" si="4"/>
        <v>5327.784696563147</v>
      </c>
      <c r="Q50" s="42"/>
      <c r="R50">
        <v>0.86880092776268802</v>
      </c>
      <c r="S50">
        <v>0.34614093447676014</v>
      </c>
      <c r="T50" s="42"/>
      <c r="U50" s="42"/>
    </row>
    <row r="51" spans="1:21" x14ac:dyDescent="0.25">
      <c r="A51" s="40">
        <f t="shared" si="5"/>
        <v>64.229676878151835</v>
      </c>
      <c r="B51" s="40">
        <f t="shared" si="5"/>
        <v>32.933286051621081</v>
      </c>
      <c r="C51" s="41">
        <f t="shared" si="0"/>
        <v>0.49289226185293716</v>
      </c>
      <c r="D51" s="41">
        <f t="shared" si="1"/>
        <v>0.98069361229543572</v>
      </c>
      <c r="E51" s="39">
        <f>IF(_xlfn.NORM.INV(R51,C51,'Regressão Grupo 2'!$B$7)&lt;=0,0,IF(_xlfn.NORM.INV(R51,C51,'Regressão Grupo 2'!$B$7)&gt;100%,100%,_xlfn.NORM.INV(R51,C51,'Regressão Grupo 2'!$B$7)))</f>
        <v>0.46212849694015967</v>
      </c>
      <c r="F51" s="39">
        <f>IF(_xlfn.NORM.INV(S51,D51,'Regressão Grupo 2'!$B$7)&lt;=0,0,IF(_xlfn.NORM.INV(S51,D51,'Regressão Grupo 2'!$B$7)&gt;100%,100%,_xlfn.NORM.INV(S51,D51,'Regressão Grupo 2'!$B$7)))</f>
        <v>0.90367523606421085</v>
      </c>
      <c r="G51" s="41">
        <v>1.043532315699275E-2</v>
      </c>
      <c r="H51" s="41">
        <v>1.9961111586795137E-2</v>
      </c>
      <c r="I51" s="40">
        <f t="shared" si="2"/>
        <v>96.407357717920931</v>
      </c>
      <c r="J51" s="40">
        <f t="shared" si="2"/>
        <v>0</v>
      </c>
      <c r="K51" s="36">
        <v>0.27934052511540564</v>
      </c>
      <c r="L51" s="42">
        <f t="shared" si="8"/>
        <v>19991.322604477216</v>
      </c>
      <c r="M51" s="42">
        <f t="shared" si="8"/>
        <v>0</v>
      </c>
      <c r="N51" s="42">
        <f t="shared" si="3"/>
        <v>5584.3865540861443</v>
      </c>
      <c r="O51" s="36">
        <v>7.6640475807255548</v>
      </c>
      <c r="P51" s="42">
        <f t="shared" si="4"/>
        <v>-131.04369586986013</v>
      </c>
      <c r="Q51" s="42"/>
      <c r="R51">
        <v>0.4119693594164861</v>
      </c>
      <c r="S51">
        <v>0.28876613666188544</v>
      </c>
      <c r="T51" s="42"/>
      <c r="U51" s="42"/>
    </row>
    <row r="52" spans="1:21" x14ac:dyDescent="0.25">
      <c r="A52" s="40">
        <f t="shared" si="5"/>
        <v>64.229676878151835</v>
      </c>
      <c r="B52" s="40">
        <f t="shared" si="5"/>
        <v>32.933286051621081</v>
      </c>
      <c r="C52" s="41">
        <f t="shared" si="0"/>
        <v>0.49289226185293716</v>
      </c>
      <c r="D52" s="41">
        <f t="shared" si="1"/>
        <v>0.98069361229543572</v>
      </c>
      <c r="E52" s="39">
        <f>IF(_xlfn.NORM.INV(R52,C52,'Regressão Grupo 2'!$B$7)&lt;=0,0,IF(_xlfn.NORM.INV(R52,C52,'Regressão Grupo 2'!$B$7)&gt;100%,100%,_xlfn.NORM.INV(R52,C52,'Regressão Grupo 2'!$B$7)))</f>
        <v>0.39165113536186386</v>
      </c>
      <c r="F52" s="39">
        <f>IF(_xlfn.NORM.INV(S52,D52,'Regressão Grupo 2'!$B$7)&lt;=0,0,IF(_xlfn.NORM.INV(S52,D52,'Regressão Grupo 2'!$B$7)&gt;100%,100%,_xlfn.NORM.INV(S52,D52,'Regressão Grupo 2'!$B$7)))</f>
        <v>1</v>
      </c>
      <c r="G52" s="41">
        <v>8.2699024980233439E-3</v>
      </c>
      <c r="H52" s="41">
        <v>1.6977045086577158E-2</v>
      </c>
      <c r="I52" s="40">
        <f t="shared" si="2"/>
        <v>64.750228692360608</v>
      </c>
      <c r="J52" s="40">
        <f t="shared" si="2"/>
        <v>0</v>
      </c>
      <c r="K52" s="36">
        <v>0.33150859442649239</v>
      </c>
      <c r="L52" s="42">
        <f t="shared" si="8"/>
        <v>19991.322604477216</v>
      </c>
      <c r="M52" s="42">
        <f t="shared" si="8"/>
        <v>0</v>
      </c>
      <c r="N52" s="42">
        <f t="shared" si="3"/>
        <v>6627.2952573368066</v>
      </c>
      <c r="O52" s="36">
        <v>6.7749733886202481</v>
      </c>
      <c r="P52" s="42">
        <f t="shared" si="4"/>
        <v>-2907.0900669378671</v>
      </c>
      <c r="Q52" s="42"/>
      <c r="R52">
        <v>0.23203222754600666</v>
      </c>
      <c r="S52">
        <v>0.79210791344950715</v>
      </c>
      <c r="T52" s="42"/>
      <c r="U52" s="42"/>
    </row>
    <row r="53" spans="1:21" x14ac:dyDescent="0.25">
      <c r="A53" s="40">
        <f t="shared" si="5"/>
        <v>64.229676878151835</v>
      </c>
      <c r="B53" s="40">
        <f t="shared" si="5"/>
        <v>32.933286051621081</v>
      </c>
      <c r="C53" s="41">
        <f t="shared" si="0"/>
        <v>0.49289226185293716</v>
      </c>
      <c r="D53" s="41">
        <f t="shared" si="1"/>
        <v>0.98069361229543572</v>
      </c>
      <c r="E53" s="39">
        <f>IF(_xlfn.NORM.INV(R53,C53,'Regressão Grupo 2'!$B$7)&lt;=0,0,IF(_xlfn.NORM.INV(R53,C53,'Regressão Grupo 2'!$B$7)&gt;100%,100%,_xlfn.NORM.INV(R53,C53,'Regressão Grupo 2'!$B$7)))</f>
        <v>0.32315063776226161</v>
      </c>
      <c r="F53" s="39">
        <f>IF(_xlfn.NORM.INV(S53,D53,'Regressão Grupo 2'!$B$7)&lt;=0,0,IF(_xlfn.NORM.INV(S53,D53,'Regressão Grupo 2'!$B$7)&gt;100%,100%,_xlfn.NORM.INV(S53,D53,'Regressão Grupo 2'!$B$7)))</f>
        <v>0.84343207394238329</v>
      </c>
      <c r="G53" s="41">
        <v>2.238586956628285E-2</v>
      </c>
      <c r="H53" s="41">
        <v>1.6565759446052424E-2</v>
      </c>
      <c r="I53" s="40">
        <f t="shared" si="2"/>
        <v>144.61738819527505</v>
      </c>
      <c r="J53" s="40">
        <f t="shared" si="2"/>
        <v>0</v>
      </c>
      <c r="K53" s="36">
        <v>0.16709101646764357</v>
      </c>
      <c r="L53" s="42">
        <f t="shared" si="8"/>
        <v>19991.322604477216</v>
      </c>
      <c r="M53" s="42">
        <f t="shared" si="8"/>
        <v>0</v>
      </c>
      <c r="N53" s="42">
        <f t="shared" si="3"/>
        <v>3340.3704145146776</v>
      </c>
      <c r="O53" s="36">
        <v>9.255151565488358</v>
      </c>
      <c r="P53" s="42">
        <f t="shared" si="4"/>
        <v>4609.9018534777515</v>
      </c>
      <c r="Q53" s="42"/>
      <c r="R53">
        <v>0.1098055970946379</v>
      </c>
      <c r="S53">
        <v>0.16043580431531723</v>
      </c>
      <c r="T53" s="42"/>
      <c r="U53" s="42"/>
    </row>
    <row r="54" spans="1:21" x14ac:dyDescent="0.25">
      <c r="A54" s="40">
        <f t="shared" si="5"/>
        <v>64.229676878151835</v>
      </c>
      <c r="B54" s="40">
        <f t="shared" si="5"/>
        <v>32.933286051621081</v>
      </c>
      <c r="C54" s="41">
        <f t="shared" si="0"/>
        <v>0.49289226185293716</v>
      </c>
      <c r="D54" s="41">
        <f t="shared" si="1"/>
        <v>0.98069361229543572</v>
      </c>
      <c r="E54" s="39">
        <f>IF(_xlfn.NORM.INV(R54,C54,'Regressão Grupo 2'!$B$7)&lt;=0,0,IF(_xlfn.NORM.INV(R54,C54,'Regressão Grupo 2'!$B$7)&gt;100%,100%,_xlfn.NORM.INV(R54,C54,'Regressão Grupo 2'!$B$7)))</f>
        <v>0.49446310831827983</v>
      </c>
      <c r="F54" s="39">
        <f>IF(_xlfn.NORM.INV(S54,D54,'Regressão Grupo 2'!$B$7)&lt;=0,0,IF(_xlfn.NORM.INV(S54,D54,'Regressão Grupo 2'!$B$7)&gt;100%,100%,_xlfn.NORM.INV(S54,D54,'Regressão Grupo 2'!$B$7)))</f>
        <v>1</v>
      </c>
      <c r="G54" s="41">
        <v>2.0728532262784507E-2</v>
      </c>
      <c r="H54" s="41">
        <v>1.8759760223657961E-2</v>
      </c>
      <c r="I54" s="40">
        <f t="shared" si="2"/>
        <v>204.9009509530145</v>
      </c>
      <c r="J54" s="40">
        <f t="shared" si="2"/>
        <v>0</v>
      </c>
      <c r="K54" s="36">
        <v>0.21413617824532344</v>
      </c>
      <c r="L54" s="42">
        <f t="shared" si="8"/>
        <v>19991.322604477216</v>
      </c>
      <c r="M54" s="42">
        <f t="shared" si="8"/>
        <v>0</v>
      </c>
      <c r="N54" s="42">
        <f t="shared" si="3"/>
        <v>4280.8654205920966</v>
      </c>
      <c r="O54" s="36">
        <v>4.9021728588534677</v>
      </c>
      <c r="P54" s="42">
        <f t="shared" si="4"/>
        <v>7875.3965706309291</v>
      </c>
      <c r="Q54" s="42"/>
      <c r="R54">
        <v>0.50453199865718557</v>
      </c>
      <c r="S54">
        <v>0.96230964079714343</v>
      </c>
      <c r="T54" s="42"/>
      <c r="U54" s="42"/>
    </row>
    <row r="55" spans="1:21" x14ac:dyDescent="0.25">
      <c r="A55" s="40">
        <f t="shared" si="5"/>
        <v>64.229676878151835</v>
      </c>
      <c r="B55" s="40">
        <f t="shared" si="5"/>
        <v>32.933286051621081</v>
      </c>
      <c r="C55" s="41">
        <f t="shared" si="0"/>
        <v>0.49289226185293716</v>
      </c>
      <c r="D55" s="41">
        <f t="shared" si="1"/>
        <v>0.98069361229543572</v>
      </c>
      <c r="E55" s="39">
        <f>IF(_xlfn.NORM.INV(R55,C55,'Regressão Grupo 2'!$B$7)&lt;=0,0,IF(_xlfn.NORM.INV(R55,C55,'Regressão Grupo 2'!$B$7)&gt;100%,100%,_xlfn.NORM.INV(R55,C55,'Regressão Grupo 2'!$B$7)))</f>
        <v>0.55948662795206128</v>
      </c>
      <c r="F55" s="39">
        <f>IF(_xlfn.NORM.INV(S55,D55,'Regressão Grupo 2'!$B$7)&lt;=0,0,IF(_xlfn.NORM.INV(S55,D55,'Regressão Grupo 2'!$B$7)&gt;100%,100%,_xlfn.NORM.INV(S55,D55,'Regressão Grupo 2'!$B$7)))</f>
        <v>0.72312562968762317</v>
      </c>
      <c r="G55" s="41">
        <v>1.7557952495742289E-2</v>
      </c>
      <c r="H55" s="41">
        <v>2.2213675671287823E-2</v>
      </c>
      <c r="I55" s="40">
        <f t="shared" si="2"/>
        <v>196.38355084059449</v>
      </c>
      <c r="J55" s="40">
        <f t="shared" si="2"/>
        <v>0</v>
      </c>
      <c r="K55" s="36">
        <v>0.23831154012023772</v>
      </c>
      <c r="L55" s="42">
        <f t="shared" ref="L55:M70" si="9">L54</f>
        <v>19991.322604477216</v>
      </c>
      <c r="M55" s="42">
        <f t="shared" si="9"/>
        <v>0</v>
      </c>
      <c r="N55" s="42">
        <f t="shared" si="3"/>
        <v>4764.1628789134875</v>
      </c>
      <c r="O55" s="36">
        <v>4.3906970293750129</v>
      </c>
      <c r="P55" s="42">
        <f t="shared" si="4"/>
        <v>6987.228462468086</v>
      </c>
      <c r="Q55" s="42"/>
      <c r="R55">
        <v>0.68495742667928095</v>
      </c>
      <c r="S55">
        <v>3.1250953703421125E-2</v>
      </c>
      <c r="T55" s="42"/>
      <c r="U55" s="42"/>
    </row>
    <row r="56" spans="1:21" x14ac:dyDescent="0.25">
      <c r="A56" s="40">
        <f t="shared" si="5"/>
        <v>64.229676878151835</v>
      </c>
      <c r="B56" s="40">
        <f t="shared" si="5"/>
        <v>32.933286051621081</v>
      </c>
      <c r="C56" s="41">
        <f t="shared" si="0"/>
        <v>0.49289226185293716</v>
      </c>
      <c r="D56" s="41">
        <f t="shared" si="1"/>
        <v>0.98069361229543572</v>
      </c>
      <c r="E56" s="39">
        <f>IF(_xlfn.NORM.INV(R56,C56,'Regressão Grupo 2'!$B$7)&lt;=0,0,IF(_xlfn.NORM.INV(R56,C56,'Regressão Grupo 2'!$B$7)&gt;100%,100%,_xlfn.NORM.INV(R56,C56,'Regressão Grupo 2'!$B$7)))</f>
        <v>0.50779884925639829</v>
      </c>
      <c r="F56" s="39">
        <f>IF(_xlfn.NORM.INV(S56,D56,'Regressão Grupo 2'!$B$7)&lt;=0,0,IF(_xlfn.NORM.INV(S56,D56,'Regressão Grupo 2'!$B$7)&gt;100%,100%,_xlfn.NORM.INV(S56,D56,'Regressão Grupo 2'!$B$7)))</f>
        <v>1</v>
      </c>
      <c r="G56" s="41">
        <v>2.1519733306607003E-2</v>
      </c>
      <c r="H56" s="41">
        <v>2.0485463021379258E-2</v>
      </c>
      <c r="I56" s="40">
        <f t="shared" si="2"/>
        <v>218.45909224930165</v>
      </c>
      <c r="J56" s="40">
        <f t="shared" si="2"/>
        <v>0</v>
      </c>
      <c r="K56" s="36">
        <v>0.24166712854347483</v>
      </c>
      <c r="L56" s="42">
        <f t="shared" si="9"/>
        <v>19991.322604477216</v>
      </c>
      <c r="M56" s="42">
        <f t="shared" si="9"/>
        <v>0</v>
      </c>
      <c r="N56" s="42">
        <f t="shared" si="3"/>
        <v>4831.2455296102698</v>
      </c>
      <c r="O56" s="36">
        <v>7.9796513211778679</v>
      </c>
      <c r="P56" s="42">
        <f t="shared" si="4"/>
        <v>7457.0839925662813</v>
      </c>
      <c r="Q56" s="42"/>
      <c r="R56">
        <v>0.54292428357799005</v>
      </c>
      <c r="S56">
        <v>0.57643360698263502</v>
      </c>
      <c r="T56" s="42"/>
      <c r="U56" s="42"/>
    </row>
    <row r="57" spans="1:21" x14ac:dyDescent="0.25">
      <c r="A57" s="40">
        <f t="shared" si="5"/>
        <v>64.229676878151835</v>
      </c>
      <c r="B57" s="40">
        <f t="shared" si="5"/>
        <v>32.933286051621081</v>
      </c>
      <c r="C57" s="41">
        <f t="shared" si="0"/>
        <v>0.49289226185293716</v>
      </c>
      <c r="D57" s="41">
        <f t="shared" si="1"/>
        <v>0.98069361229543572</v>
      </c>
      <c r="E57" s="39">
        <f>IF(_xlfn.NORM.INV(R57,C57,'Regressão Grupo 2'!$B$7)&lt;=0,0,IF(_xlfn.NORM.INV(R57,C57,'Regressão Grupo 2'!$B$7)&gt;100%,100%,_xlfn.NORM.INV(R57,C57,'Regressão Grupo 2'!$B$7)))</f>
        <v>0.53142864055408701</v>
      </c>
      <c r="F57" s="39">
        <f>IF(_xlfn.NORM.INV(S57,D57,'Regressão Grupo 2'!$B$7)&lt;=0,0,IF(_xlfn.NORM.INV(S57,D57,'Regressão Grupo 2'!$B$7)&gt;100%,100%,_xlfn.NORM.INV(S57,D57,'Regressão Grupo 2'!$B$7)))</f>
        <v>0.79532547666400499</v>
      </c>
      <c r="G57" s="41">
        <v>1.1065854743871499E-2</v>
      </c>
      <c r="H57" s="41">
        <v>1.0726737824609594E-2</v>
      </c>
      <c r="I57" s="40">
        <f t="shared" si="2"/>
        <v>117.56321359687115</v>
      </c>
      <c r="J57" s="40">
        <f t="shared" si="2"/>
        <v>0</v>
      </c>
      <c r="K57" s="36">
        <v>0.24828316143640913</v>
      </c>
      <c r="L57" s="42">
        <f t="shared" si="9"/>
        <v>19991.322604477216</v>
      </c>
      <c r="M57" s="42">
        <f t="shared" si="9"/>
        <v>0</v>
      </c>
      <c r="N57" s="42">
        <f t="shared" si="3"/>
        <v>4963.508777534752</v>
      </c>
      <c r="O57" s="36">
        <v>7.1536833330836123</v>
      </c>
      <c r="P57" s="42">
        <f t="shared" si="4"/>
        <v>1746.5284428577424</v>
      </c>
      <c r="Q57" s="42"/>
      <c r="R57">
        <v>0.60975981933042389</v>
      </c>
      <c r="S57">
        <v>9.0029602954191712E-2</v>
      </c>
      <c r="T57" s="42"/>
      <c r="U57" s="42"/>
    </row>
    <row r="58" spans="1:21" x14ac:dyDescent="0.25">
      <c r="A58" s="40">
        <f t="shared" si="5"/>
        <v>64.229676878151835</v>
      </c>
      <c r="B58" s="40">
        <f t="shared" si="5"/>
        <v>32.933286051621081</v>
      </c>
      <c r="C58" s="41">
        <f t="shared" si="0"/>
        <v>0.49289226185293716</v>
      </c>
      <c r="D58" s="41">
        <f t="shared" si="1"/>
        <v>0.98069361229543572</v>
      </c>
      <c r="E58" s="39">
        <f>IF(_xlfn.NORM.INV(R58,C58,'Regressão Grupo 2'!$B$7)&lt;=0,0,IF(_xlfn.NORM.INV(R58,C58,'Regressão Grupo 2'!$B$7)&gt;100%,100%,_xlfn.NORM.INV(R58,C58,'Regressão Grupo 2'!$B$7)))</f>
        <v>0.47993129233690018</v>
      </c>
      <c r="F58" s="39">
        <f>IF(_xlfn.NORM.INV(S58,D58,'Regressão Grupo 2'!$B$7)&lt;=0,0,IF(_xlfn.NORM.INV(S58,D58,'Regressão Grupo 2'!$B$7)&gt;100%,100%,_xlfn.NORM.INV(S58,D58,'Regressão Grupo 2'!$B$7)))</f>
        <v>1</v>
      </c>
      <c r="G58" s="41">
        <v>2.2634978158598613E-2</v>
      </c>
      <c r="H58" s="41">
        <v>2.0661940875573315E-2</v>
      </c>
      <c r="I58" s="40">
        <f t="shared" si="2"/>
        <v>217.17042181262636</v>
      </c>
      <c r="J58" s="40">
        <f t="shared" si="2"/>
        <v>0</v>
      </c>
      <c r="K58" s="36">
        <v>0.11473736030700069</v>
      </c>
      <c r="L58" s="42">
        <f t="shared" si="9"/>
        <v>19991.322604477216</v>
      </c>
      <c r="M58" s="42">
        <f t="shared" si="9"/>
        <v>0</v>
      </c>
      <c r="N58" s="42">
        <f t="shared" si="3"/>
        <v>2293.7515846833899</v>
      </c>
      <c r="O58" s="36">
        <v>9.3421954846372195</v>
      </c>
      <c r="P58" s="42">
        <f t="shared" si="4"/>
        <v>9626.1859017788611</v>
      </c>
      <c r="Q58" s="42"/>
      <c r="R58">
        <v>0.46266060365611744</v>
      </c>
      <c r="S58">
        <v>0.74175237281411177</v>
      </c>
      <c r="T58" s="42"/>
      <c r="U58" s="42"/>
    </row>
    <row r="59" spans="1:21" x14ac:dyDescent="0.25">
      <c r="A59" s="40">
        <f t="shared" si="5"/>
        <v>64.229676878151835</v>
      </c>
      <c r="B59" s="40">
        <f t="shared" si="5"/>
        <v>32.933286051621081</v>
      </c>
      <c r="C59" s="41">
        <f t="shared" si="0"/>
        <v>0.49289226185293716</v>
      </c>
      <c r="D59" s="41">
        <f t="shared" si="1"/>
        <v>0.98069361229543572</v>
      </c>
      <c r="E59" s="39">
        <f>IF(_xlfn.NORM.INV(R59,C59,'Regressão Grupo 2'!$B$7)&lt;=0,0,IF(_xlfn.NORM.INV(R59,C59,'Regressão Grupo 2'!$B$7)&gt;100%,100%,_xlfn.NORM.INV(R59,C59,'Regressão Grupo 2'!$B$7)))</f>
        <v>0.56606134859906743</v>
      </c>
      <c r="F59" s="39">
        <f>IF(_xlfn.NORM.INV(S59,D59,'Regressão Grupo 2'!$B$7)&lt;=0,0,IF(_xlfn.NORM.INV(S59,D59,'Regressão Grupo 2'!$B$7)&gt;100%,100%,_xlfn.NORM.INV(S59,D59,'Regressão Grupo 2'!$B$7)))</f>
        <v>1</v>
      </c>
      <c r="G59" s="41">
        <v>1.7621648185665209E-2</v>
      </c>
      <c r="H59" s="41">
        <v>1.1904046523080176E-2</v>
      </c>
      <c r="I59" s="40">
        <f t="shared" si="2"/>
        <v>199.41212228323838</v>
      </c>
      <c r="J59" s="40">
        <f t="shared" si="2"/>
        <v>0</v>
      </c>
      <c r="K59" s="36">
        <v>0.34072053069896197</v>
      </c>
      <c r="L59" s="42">
        <f t="shared" si="9"/>
        <v>19991.322604477216</v>
      </c>
      <c r="M59" s="42">
        <f t="shared" si="9"/>
        <v>0</v>
      </c>
      <c r="N59" s="42">
        <f t="shared" si="3"/>
        <v>6811.4540471716318</v>
      </c>
      <c r="O59" s="36">
        <v>4.985167642754841</v>
      </c>
      <c r="P59" s="42">
        <f t="shared" si="4"/>
        <v>5002.6192730877974</v>
      </c>
      <c r="Q59" s="42"/>
      <c r="R59">
        <v>0.70165105136265149</v>
      </c>
      <c r="S59">
        <v>0.96710104678487507</v>
      </c>
      <c r="T59" s="42"/>
      <c r="U59" s="42"/>
    </row>
    <row r="60" spans="1:21" x14ac:dyDescent="0.25">
      <c r="A60" s="40">
        <f t="shared" si="5"/>
        <v>64.229676878151835</v>
      </c>
      <c r="B60" s="40">
        <f t="shared" si="5"/>
        <v>32.933286051621081</v>
      </c>
      <c r="C60" s="41">
        <f t="shared" si="0"/>
        <v>0.49289226185293716</v>
      </c>
      <c r="D60" s="41">
        <f t="shared" si="1"/>
        <v>0.98069361229543572</v>
      </c>
      <c r="E60" s="39">
        <f>IF(_xlfn.NORM.INV(R60,C60,'Regressão Grupo 2'!$B$7)&lt;=0,0,IF(_xlfn.NORM.INV(R60,C60,'Regressão Grupo 2'!$B$7)&gt;100%,100%,_xlfn.NORM.INV(R60,C60,'Regressão Grupo 2'!$B$7)))</f>
        <v>0.53711501185681465</v>
      </c>
      <c r="F60" s="39">
        <f>IF(_xlfn.NORM.INV(S60,D60,'Regressão Grupo 2'!$B$7)&lt;=0,0,IF(_xlfn.NORM.INV(S60,D60,'Regressão Grupo 2'!$B$7)&gt;100%,100%,_xlfn.NORM.INV(S60,D60,'Regressão Grupo 2'!$B$7)))</f>
        <v>0.81522976701507477</v>
      </c>
      <c r="G60" s="41">
        <v>1.5216826675732516E-2</v>
      </c>
      <c r="H60" s="41">
        <v>2.5543589549124293E-2</v>
      </c>
      <c r="I60" s="40">
        <f t="shared" si="2"/>
        <v>163.39279883922981</v>
      </c>
      <c r="J60" s="40">
        <f t="shared" si="2"/>
        <v>0</v>
      </c>
      <c r="K60" s="36">
        <v>0.27607653421158473</v>
      </c>
      <c r="L60" s="42">
        <f t="shared" si="9"/>
        <v>19991.322604477216</v>
      </c>
      <c r="M60" s="42">
        <f t="shared" si="9"/>
        <v>0</v>
      </c>
      <c r="N60" s="42">
        <f t="shared" si="3"/>
        <v>5519.1350589497815</v>
      </c>
      <c r="O60" s="36">
        <v>7.4320018932396739</v>
      </c>
      <c r="P60" s="42">
        <f t="shared" si="4"/>
        <v>3761.1960243959256</v>
      </c>
      <c r="Q60" s="42"/>
      <c r="R60">
        <v>0.62544633320108645</v>
      </c>
      <c r="S60">
        <v>0.11572618793298135</v>
      </c>
      <c r="T60" s="42"/>
      <c r="U60" s="42"/>
    </row>
    <row r="61" spans="1:21" x14ac:dyDescent="0.25">
      <c r="A61" s="40">
        <f t="shared" si="5"/>
        <v>64.229676878151835</v>
      </c>
      <c r="B61" s="40">
        <f t="shared" si="5"/>
        <v>32.933286051621081</v>
      </c>
      <c r="C61" s="41">
        <f t="shared" si="0"/>
        <v>0.49289226185293716</v>
      </c>
      <c r="D61" s="41">
        <f t="shared" si="1"/>
        <v>0.98069361229543572</v>
      </c>
      <c r="E61" s="39">
        <f>IF(_xlfn.NORM.INV(R61,C61,'Regressão Grupo 2'!$B$7)&lt;=0,0,IF(_xlfn.NORM.INV(R61,C61,'Regressão Grupo 2'!$B$7)&gt;100%,100%,_xlfn.NORM.INV(R61,C61,'Regressão Grupo 2'!$B$7)))</f>
        <v>0.4039019799223208</v>
      </c>
      <c r="F61" s="39">
        <f>IF(_xlfn.NORM.INV(S61,D61,'Regressão Grupo 2'!$B$7)&lt;=0,0,IF(_xlfn.NORM.INV(S61,D61,'Regressão Grupo 2'!$B$7)&gt;100%,100%,_xlfn.NORM.INV(S61,D61,'Regressão Grupo 2'!$B$7)))</f>
        <v>0.96277226552469197</v>
      </c>
      <c r="G61" s="41">
        <v>2.1736693839130294E-2</v>
      </c>
      <c r="H61" s="41">
        <v>2.6443709489705255E-3</v>
      </c>
      <c r="I61" s="40">
        <f t="shared" si="2"/>
        <v>175.51369043266186</v>
      </c>
      <c r="J61" s="40">
        <f t="shared" si="2"/>
        <v>0</v>
      </c>
      <c r="K61" s="36">
        <v>0.24825304315798388</v>
      </c>
      <c r="L61" s="42">
        <f t="shared" si="9"/>
        <v>19991.322604477216</v>
      </c>
      <c r="M61" s="42">
        <f t="shared" si="9"/>
        <v>0</v>
      </c>
      <c r="N61" s="42">
        <f t="shared" si="3"/>
        <v>4962.9066733144609</v>
      </c>
      <c r="O61" s="36">
        <v>7.6200450077175521</v>
      </c>
      <c r="P61" s="42">
        <f t="shared" si="4"/>
        <v>4972.8587302998912</v>
      </c>
      <c r="Q61" s="42"/>
      <c r="R61">
        <v>0.25992614520706808</v>
      </c>
      <c r="S61">
        <v>0.44843897824030277</v>
      </c>
      <c r="T61" s="42"/>
      <c r="U61" s="42"/>
    </row>
    <row r="62" spans="1:21" x14ac:dyDescent="0.25">
      <c r="A62" s="40">
        <f t="shared" si="5"/>
        <v>64.229676878151835</v>
      </c>
      <c r="B62" s="40">
        <f t="shared" si="5"/>
        <v>32.933286051621081</v>
      </c>
      <c r="C62" s="41">
        <f t="shared" si="0"/>
        <v>0.49289226185293716</v>
      </c>
      <c r="D62" s="41">
        <f t="shared" si="1"/>
        <v>0.98069361229543572</v>
      </c>
      <c r="E62" s="39">
        <f>IF(_xlfn.NORM.INV(R62,C62,'Regressão Grupo 2'!$B$7)&lt;=0,0,IF(_xlfn.NORM.INV(R62,C62,'Regressão Grupo 2'!$B$7)&gt;100%,100%,_xlfn.NORM.INV(R62,C62,'Regressão Grupo 2'!$B$7)))</f>
        <v>0.33098794686827715</v>
      </c>
      <c r="F62" s="39">
        <f>IF(_xlfn.NORM.INV(S62,D62,'Regressão Grupo 2'!$B$7)&lt;=0,0,IF(_xlfn.NORM.INV(S62,D62,'Regressão Grupo 2'!$B$7)&gt;100%,100%,_xlfn.NORM.INV(S62,D62,'Regressão Grupo 2'!$B$7)))</f>
        <v>1</v>
      </c>
      <c r="G62" s="41">
        <v>2.3489578348797481E-2</v>
      </c>
      <c r="H62" s="41">
        <v>8.7952757172688762E-3</v>
      </c>
      <c r="I62" s="40">
        <f t="shared" si="2"/>
        <v>155.42788147834972</v>
      </c>
      <c r="J62" s="40">
        <f t="shared" si="2"/>
        <v>0</v>
      </c>
      <c r="K62" s="36">
        <v>0.30539623218039952</v>
      </c>
      <c r="L62" s="42">
        <f t="shared" si="9"/>
        <v>19991.322604477216</v>
      </c>
      <c r="M62" s="42">
        <f t="shared" si="9"/>
        <v>0</v>
      </c>
      <c r="N62" s="42">
        <f t="shared" si="3"/>
        <v>6105.2745997101929</v>
      </c>
      <c r="O62" s="36">
        <v>4.5432878988373249</v>
      </c>
      <c r="P62" s="42">
        <f t="shared" si="4"/>
        <v>3171.6543924373809</v>
      </c>
      <c r="Q62" s="42"/>
      <c r="R62">
        <v>0.12082277901547288</v>
      </c>
      <c r="S62">
        <v>0.58662678914761801</v>
      </c>
      <c r="T62" s="42"/>
      <c r="U62" s="42"/>
    </row>
    <row r="63" spans="1:21" x14ac:dyDescent="0.25">
      <c r="A63" s="40">
        <f t="shared" si="5"/>
        <v>64.229676878151835</v>
      </c>
      <c r="B63" s="40">
        <f t="shared" si="5"/>
        <v>32.933286051621081</v>
      </c>
      <c r="C63" s="41">
        <f t="shared" si="0"/>
        <v>0.49289226185293716</v>
      </c>
      <c r="D63" s="41">
        <f t="shared" si="1"/>
        <v>0.98069361229543572</v>
      </c>
      <c r="E63" s="39">
        <f>IF(_xlfn.NORM.INV(R63,C63,'Regressão Grupo 2'!$B$7)&lt;=0,0,IF(_xlfn.NORM.INV(R63,C63,'Regressão Grupo 2'!$B$7)&gt;100%,100%,_xlfn.NORM.INV(R63,C63,'Regressão Grupo 2'!$B$7)))</f>
        <v>0.54617770186037706</v>
      </c>
      <c r="F63" s="39">
        <f>IF(_xlfn.NORM.INV(S63,D63,'Regressão Grupo 2'!$B$7)&lt;=0,0,IF(_xlfn.NORM.INV(S63,D63,'Regressão Grupo 2'!$B$7)&gt;100%,100%,_xlfn.NORM.INV(S63,D63,'Regressão Grupo 2'!$B$7)))</f>
        <v>1</v>
      </c>
      <c r="G63" s="41">
        <v>8.0540301168450373E-3</v>
      </c>
      <c r="H63" s="41">
        <v>3.9571844073195165E-3</v>
      </c>
      <c r="I63" s="40">
        <f t="shared" si="2"/>
        <v>87.940461928762801</v>
      </c>
      <c r="J63" s="40">
        <f t="shared" si="2"/>
        <v>0</v>
      </c>
      <c r="K63" s="36">
        <v>0.30813276722876437</v>
      </c>
      <c r="L63" s="42">
        <f t="shared" si="9"/>
        <v>19991.322604477216</v>
      </c>
      <c r="M63" s="42">
        <f t="shared" si="9"/>
        <v>0</v>
      </c>
      <c r="N63" s="42">
        <f t="shared" si="3"/>
        <v>6159.9815546805139</v>
      </c>
      <c r="O63" s="36">
        <v>7.9776735794839517</v>
      </c>
      <c r="P63" s="42">
        <f t="shared" si="4"/>
        <v>-1213.1544001773718</v>
      </c>
      <c r="Q63" s="42"/>
      <c r="R63">
        <v>0.65001373332926415</v>
      </c>
      <c r="S63">
        <v>0.84868923001800589</v>
      </c>
      <c r="T63" s="42"/>
      <c r="U63" s="42"/>
    </row>
    <row r="64" spans="1:21" x14ac:dyDescent="0.25">
      <c r="A64" s="40">
        <f t="shared" si="5"/>
        <v>64.229676878151835</v>
      </c>
      <c r="B64" s="40">
        <f t="shared" si="5"/>
        <v>32.933286051621081</v>
      </c>
      <c r="C64" s="41">
        <f t="shared" si="0"/>
        <v>0.49289226185293716</v>
      </c>
      <c r="D64" s="41">
        <f t="shared" si="1"/>
        <v>0.98069361229543572</v>
      </c>
      <c r="E64" s="39">
        <f>IF(_xlfn.NORM.INV(R64,C64,'Regressão Grupo 2'!$B$7)&lt;=0,0,IF(_xlfn.NORM.INV(R64,C64,'Regressão Grupo 2'!$B$7)&gt;100%,100%,_xlfn.NORM.INV(R64,C64,'Regressão Grupo 2'!$B$7)))</f>
        <v>0.40946497538527582</v>
      </c>
      <c r="F64" s="39">
        <f>IF(_xlfn.NORM.INV(S64,D64,'Regressão Grupo 2'!$B$7)&lt;=0,0,IF(_xlfn.NORM.INV(S64,D64,'Regressão Grupo 2'!$B$7)&gt;100%,100%,_xlfn.NORM.INV(S64,D64,'Regressão Grupo 2'!$B$7)))</f>
        <v>1</v>
      </c>
      <c r="G64" s="41">
        <v>1.4825833801829296E-2</v>
      </c>
      <c r="H64" s="41">
        <v>1.2952635991675324E-2</v>
      </c>
      <c r="I64" s="40">
        <f t="shared" si="2"/>
        <v>121.36051593957995</v>
      </c>
      <c r="J64" s="40">
        <f t="shared" si="2"/>
        <v>0</v>
      </c>
      <c r="K64" s="36">
        <v>0.40970421440859572</v>
      </c>
      <c r="L64" s="42">
        <f t="shared" si="9"/>
        <v>19991.322604477216</v>
      </c>
      <c r="M64" s="42">
        <f t="shared" si="9"/>
        <v>0</v>
      </c>
      <c r="N64" s="42">
        <f t="shared" si="3"/>
        <v>8190.5291226561394</v>
      </c>
      <c r="O64" s="36">
        <v>2.2316005524169182</v>
      </c>
      <c r="P64" s="42">
        <f t="shared" si="4"/>
        <v>-666.41059250349281</v>
      </c>
      <c r="Q64" s="42"/>
      <c r="R64">
        <v>0.27314065981017488</v>
      </c>
      <c r="S64">
        <v>0.87722403637806334</v>
      </c>
      <c r="T64" s="42"/>
      <c r="U64" s="42"/>
    </row>
    <row r="65" spans="1:21" x14ac:dyDescent="0.25">
      <c r="A65" s="40">
        <f t="shared" si="5"/>
        <v>64.229676878151835</v>
      </c>
      <c r="B65" s="40">
        <f t="shared" si="5"/>
        <v>32.933286051621081</v>
      </c>
      <c r="C65" s="41">
        <f t="shared" si="0"/>
        <v>0.49289226185293716</v>
      </c>
      <c r="D65" s="41">
        <f t="shared" si="1"/>
        <v>0.98069361229543572</v>
      </c>
      <c r="E65" s="39">
        <f>IF(_xlfn.NORM.INV(R65,C65,'Regressão Grupo 2'!$B$7)&lt;=0,0,IF(_xlfn.NORM.INV(R65,C65,'Regressão Grupo 2'!$B$7)&gt;100%,100%,_xlfn.NORM.INV(R65,C65,'Regressão Grupo 2'!$B$7)))</f>
        <v>0.32749332981970158</v>
      </c>
      <c r="F65" s="39">
        <f>IF(_xlfn.NORM.INV(S65,D65,'Regressão Grupo 2'!$B$7)&lt;=0,0,IF(_xlfn.NORM.INV(S65,D65,'Regressão Grupo 2'!$B$7)&gt;100%,100%,_xlfn.NORM.INV(S65,D65,'Regressão Grupo 2'!$B$7)))</f>
        <v>1</v>
      </c>
      <c r="G65" s="41">
        <v>1.1773978744246598E-2</v>
      </c>
      <c r="H65" s="41">
        <v>1.5592692352693796E-2</v>
      </c>
      <c r="I65" s="40">
        <f t="shared" si="2"/>
        <v>77.084530918500263</v>
      </c>
      <c r="J65" s="40">
        <f t="shared" si="2"/>
        <v>0</v>
      </c>
      <c r="K65" s="36">
        <v>0.23509719528686537</v>
      </c>
      <c r="L65" s="42">
        <f t="shared" si="9"/>
        <v>19991.322604477216</v>
      </c>
      <c r="M65" s="42">
        <f t="shared" si="9"/>
        <v>0</v>
      </c>
      <c r="N65" s="42">
        <f t="shared" si="3"/>
        <v>4699.9038743875062</v>
      </c>
      <c r="O65" s="36">
        <v>5.8705757559575176</v>
      </c>
      <c r="P65" s="42">
        <f t="shared" si="4"/>
        <v>-201.319939557834</v>
      </c>
      <c r="Q65" s="42"/>
      <c r="R65">
        <v>0.11581774346140934</v>
      </c>
      <c r="S65">
        <v>0.69808038575395981</v>
      </c>
      <c r="T65" s="42"/>
      <c r="U65" s="42"/>
    </row>
    <row r="66" spans="1:21" x14ac:dyDescent="0.25">
      <c r="A66" s="40">
        <f t="shared" si="5"/>
        <v>64.229676878151835</v>
      </c>
      <c r="B66" s="40">
        <f t="shared" si="5"/>
        <v>32.933286051621081</v>
      </c>
      <c r="C66" s="41">
        <f t="shared" si="0"/>
        <v>0.49289226185293716</v>
      </c>
      <c r="D66" s="41">
        <f t="shared" si="1"/>
        <v>0.98069361229543572</v>
      </c>
      <c r="E66" s="39">
        <f>IF(_xlfn.NORM.INV(R66,C66,'Regressão Grupo 2'!$B$7)&lt;=0,0,IF(_xlfn.NORM.INV(R66,C66,'Regressão Grupo 2'!$B$7)&gt;100%,100%,_xlfn.NORM.INV(R66,C66,'Regressão Grupo 2'!$B$7)))</f>
        <v>0.37897946322937026</v>
      </c>
      <c r="F66" s="39">
        <f>IF(_xlfn.NORM.INV(S66,D66,'Regressão Grupo 2'!$B$7)&lt;=0,0,IF(_xlfn.NORM.INV(S66,D66,'Regressão Grupo 2'!$B$7)&gt;100%,100%,_xlfn.NORM.INV(S66,D66,'Regressão Grupo 2'!$B$7)))</f>
        <v>1</v>
      </c>
      <c r="G66" s="41">
        <v>5.0722528397990582E-4</v>
      </c>
      <c r="H66" s="41">
        <v>5.5611708263849976E-3</v>
      </c>
      <c r="I66" s="40">
        <f t="shared" si="2"/>
        <v>3.8428912790910932</v>
      </c>
      <c r="J66" s="40">
        <f t="shared" si="2"/>
        <v>0</v>
      </c>
      <c r="K66" s="36">
        <v>0.38558837809875157</v>
      </c>
      <c r="L66" s="42">
        <f t="shared" si="9"/>
        <v>19991.322604477216</v>
      </c>
      <c r="M66" s="42">
        <f t="shared" si="9"/>
        <v>0</v>
      </c>
      <c r="N66" s="42">
        <f t="shared" si="3"/>
        <v>7708.42165910928</v>
      </c>
      <c r="O66" s="36">
        <v>4.5233705588517239</v>
      </c>
      <c r="P66" s="42">
        <f t="shared" si="4"/>
        <v>-7478.9768152481001</v>
      </c>
      <c r="Q66" s="42"/>
      <c r="R66">
        <v>0.20502334665974914</v>
      </c>
      <c r="S66">
        <v>0.97933896908474993</v>
      </c>
      <c r="T66" s="42"/>
      <c r="U66" s="42"/>
    </row>
    <row r="67" spans="1:21" x14ac:dyDescent="0.25">
      <c r="A67" s="40">
        <f t="shared" si="5"/>
        <v>64.229676878151835</v>
      </c>
      <c r="B67" s="40">
        <f t="shared" si="5"/>
        <v>32.933286051621081</v>
      </c>
      <c r="C67" s="41">
        <f t="shared" si="0"/>
        <v>0.49289226185293716</v>
      </c>
      <c r="D67" s="41">
        <f t="shared" si="1"/>
        <v>0.98069361229543572</v>
      </c>
      <c r="E67" s="39">
        <f>IF(_xlfn.NORM.INV(R67,C67,'Regressão Grupo 2'!$B$7)&lt;=0,0,IF(_xlfn.NORM.INV(R67,C67,'Regressão Grupo 2'!$B$7)&gt;100%,100%,_xlfn.NORM.INV(R67,C67,'Regressão Grupo 2'!$B$7)))</f>
        <v>0.31759914776043863</v>
      </c>
      <c r="F67" s="39">
        <f>IF(_xlfn.NORM.INV(S67,D67,'Regressão Grupo 2'!$B$7)&lt;=0,0,IF(_xlfn.NORM.INV(S67,D67,'Regressão Grupo 2'!$B$7)&gt;100%,100%,_xlfn.NORM.INV(S67,D67,'Regressão Grupo 2'!$B$7)))</f>
        <v>1</v>
      </c>
      <c r="G67" s="41">
        <v>2.7370428659757279E-2</v>
      </c>
      <c r="H67" s="41">
        <v>8.8879065086656384E-3</v>
      </c>
      <c r="I67" s="40">
        <f t="shared" si="2"/>
        <v>173.78106524439571</v>
      </c>
      <c r="J67" s="40">
        <f t="shared" si="2"/>
        <v>0</v>
      </c>
      <c r="K67" s="36">
        <v>0.24924100540125113</v>
      </c>
      <c r="L67" s="42">
        <f t="shared" si="9"/>
        <v>19991.322604477216</v>
      </c>
      <c r="M67" s="42">
        <f t="shared" si="9"/>
        <v>0</v>
      </c>
      <c r="N67" s="42">
        <f t="shared" si="3"/>
        <v>4982.6573452406601</v>
      </c>
      <c r="O67" s="36">
        <v>4.9162439051277058</v>
      </c>
      <c r="P67" s="42">
        <f t="shared" si="4"/>
        <v>5324.8942201135387</v>
      </c>
      <c r="Q67" s="42"/>
      <c r="R67">
        <v>0.10245063631092258</v>
      </c>
      <c r="S67">
        <v>0.90032654805139312</v>
      </c>
      <c r="T67" s="42"/>
      <c r="U67" s="42"/>
    </row>
    <row r="68" spans="1:21" x14ac:dyDescent="0.25">
      <c r="A68" s="40">
        <f t="shared" si="5"/>
        <v>64.229676878151835</v>
      </c>
      <c r="B68" s="40">
        <f t="shared" si="5"/>
        <v>32.933286051621081</v>
      </c>
      <c r="C68" s="41">
        <f t="shared" si="0"/>
        <v>0.49289226185293716</v>
      </c>
      <c r="D68" s="41">
        <f t="shared" si="1"/>
        <v>0.98069361229543572</v>
      </c>
      <c r="E68" s="39">
        <f>IF(_xlfn.NORM.INV(R68,C68,'Regressão Grupo 2'!$B$7)&lt;=0,0,IF(_xlfn.NORM.INV(R68,C68,'Regressão Grupo 2'!$B$7)&gt;100%,100%,_xlfn.NORM.INV(R68,C68,'Regressão Grupo 2'!$B$7)))</f>
        <v>0.80994978439415544</v>
      </c>
      <c r="F68" s="39">
        <f>IF(_xlfn.NORM.INV(S68,D68,'Regressão Grupo 2'!$B$7)&lt;=0,0,IF(_xlfn.NORM.INV(S68,D68,'Regressão Grupo 2'!$B$7)&gt;100%,100%,_xlfn.NORM.INV(S68,D68,'Regressão Grupo 2'!$B$7)))</f>
        <v>1</v>
      </c>
      <c r="G68" s="41">
        <v>8.9480153627174222E-3</v>
      </c>
      <c r="H68" s="41">
        <v>1.6808013416638075E-2</v>
      </c>
      <c r="I68" s="40">
        <f t="shared" si="2"/>
        <v>144.8859733453441</v>
      </c>
      <c r="J68" s="40">
        <f t="shared" si="2"/>
        <v>0</v>
      </c>
      <c r="K68" s="36">
        <v>0.25169145269788351</v>
      </c>
      <c r="L68" s="42">
        <f t="shared" si="9"/>
        <v>19991.322604477216</v>
      </c>
      <c r="M68" s="42">
        <f t="shared" si="9"/>
        <v>0</v>
      </c>
      <c r="N68" s="42">
        <f t="shared" si="3"/>
        <v>5031.6450276729065</v>
      </c>
      <c r="O68" s="36">
        <v>3.821078585410588</v>
      </c>
      <c r="P68" s="42">
        <f t="shared" si="4"/>
        <v>3720.7135343987993</v>
      </c>
      <c r="Q68" s="42"/>
      <c r="R68">
        <v>0.98907437360759298</v>
      </c>
      <c r="S68">
        <v>0.82424390392773217</v>
      </c>
      <c r="T68" s="42"/>
      <c r="U68" s="42"/>
    </row>
    <row r="69" spans="1:21" x14ac:dyDescent="0.25">
      <c r="A69" s="40">
        <f t="shared" si="5"/>
        <v>64.229676878151835</v>
      </c>
      <c r="B69" s="40">
        <f t="shared" si="5"/>
        <v>32.933286051621081</v>
      </c>
      <c r="C69" s="41">
        <f t="shared" si="0"/>
        <v>0.49289226185293716</v>
      </c>
      <c r="D69" s="41">
        <f t="shared" si="1"/>
        <v>0.98069361229543572</v>
      </c>
      <c r="E69" s="39">
        <f>IF(_xlfn.NORM.INV(R69,C69,'Regressão Grupo 2'!$B$7)&lt;=0,0,IF(_xlfn.NORM.INV(R69,C69,'Regressão Grupo 2'!$B$7)&gt;100%,100%,_xlfn.NORM.INV(R69,C69,'Regressão Grupo 2'!$B$7)))</f>
        <v>0.64820051832017311</v>
      </c>
      <c r="F69" s="39">
        <f>IF(_xlfn.NORM.INV(S69,D69,'Regressão Grupo 2'!$B$7)&lt;=0,0,IF(_xlfn.NORM.INV(S69,D69,'Regressão Grupo 2'!$B$7)&gt;100%,100%,_xlfn.NORM.INV(S69,D69,'Regressão Grupo 2'!$B$7)))</f>
        <v>0.68862803034067821</v>
      </c>
      <c r="G69" s="41">
        <v>1.7085789139552211E-2</v>
      </c>
      <c r="H69" s="41">
        <v>2.5763443273694703E-2</v>
      </c>
      <c r="I69" s="40">
        <f t="shared" si="2"/>
        <v>221.40424521714382</v>
      </c>
      <c r="J69" s="40">
        <f t="shared" si="2"/>
        <v>0</v>
      </c>
      <c r="K69" s="36">
        <v>0.39281845064805054</v>
      </c>
      <c r="L69" s="42">
        <f t="shared" si="9"/>
        <v>19991.322604477216</v>
      </c>
      <c r="M69" s="42">
        <f t="shared" si="9"/>
        <v>0</v>
      </c>
      <c r="N69" s="42">
        <f t="shared" si="3"/>
        <v>7852.9603718960907</v>
      </c>
      <c r="O69" s="36">
        <v>2.8945767919949468</v>
      </c>
      <c r="P69" s="42">
        <f t="shared" si="4"/>
        <v>5726.8911679974472</v>
      </c>
      <c r="Q69" s="42"/>
      <c r="R69">
        <v>0.86931974242378007</v>
      </c>
      <c r="S69">
        <v>1.7334513382366405E-2</v>
      </c>
      <c r="T69" s="42"/>
      <c r="U69" s="42"/>
    </row>
    <row r="70" spans="1:21" x14ac:dyDescent="0.25">
      <c r="A70" s="40">
        <f t="shared" si="5"/>
        <v>64.229676878151835</v>
      </c>
      <c r="B70" s="40">
        <f t="shared" si="5"/>
        <v>32.933286051621081</v>
      </c>
      <c r="C70" s="41">
        <f t="shared" ref="C70:C133" si="10">-0.007*A70 + 0.9425</f>
        <v>0.49289226185293716</v>
      </c>
      <c r="D70" s="41">
        <f t="shared" ref="D70:D133" si="11">-0.0059*B70+1.175</f>
        <v>0.98069361229543572</v>
      </c>
      <c r="E70" s="39">
        <f>IF(_xlfn.NORM.INV(R70,C70,'Regressão Grupo 2'!$B$7)&lt;=0,0,IF(_xlfn.NORM.INV(R70,C70,'Regressão Grupo 2'!$B$7)&gt;100%,100%,_xlfn.NORM.INV(R70,C70,'Regressão Grupo 2'!$B$7)))</f>
        <v>0.46436903675672203</v>
      </c>
      <c r="F70" s="39">
        <f>IF(_xlfn.NORM.INV(S70,D70,'Regressão Grupo 2'!$B$7)&lt;=0,0,IF(_xlfn.NORM.INV(S70,D70,'Regressão Grupo 2'!$B$7)&gt;100%,100%,_xlfn.NORM.INV(S70,D70,'Regressão Grupo 2'!$B$7)))</f>
        <v>0.80007373484123057</v>
      </c>
      <c r="G70" s="41">
        <v>2.3617882942723316E-2</v>
      </c>
      <c r="H70" s="41">
        <v>1.1215057147795018E-2</v>
      </c>
      <c r="I70" s="40">
        <f t="shared" ref="I70:J133" si="12">IF(E70*G70*L70&gt;0,E70*G70*L70,0)</f>
        <v>219.25310246165321</v>
      </c>
      <c r="J70" s="40">
        <f t="shared" si="12"/>
        <v>0</v>
      </c>
      <c r="K70" s="36">
        <v>0.31755593412373773</v>
      </c>
      <c r="L70" s="42">
        <f t="shared" si="9"/>
        <v>19991.322604477216</v>
      </c>
      <c r="M70" s="42">
        <f t="shared" si="9"/>
        <v>0</v>
      </c>
      <c r="N70" s="42">
        <f t="shared" ref="N70:N133" si="13">(L70+M70)*K70</f>
        <v>6348.3631240337554</v>
      </c>
      <c r="O70" s="36">
        <v>8.3312516688189042</v>
      </c>
      <c r="P70" s="42">
        <f t="shared" ref="P70:P133" si="14">SUMPRODUCT(A70:B70,I70:J70)-SUM(I70:J70)*O70-N70</f>
        <v>5907.5400258331765</v>
      </c>
      <c r="Q70" s="42"/>
      <c r="R70">
        <v>0.41828669087801751</v>
      </c>
      <c r="S70">
        <v>9.5736564226203191E-2</v>
      </c>
      <c r="T70" s="42"/>
      <c r="U70" s="42"/>
    </row>
    <row r="71" spans="1:21" x14ac:dyDescent="0.25">
      <c r="A71" s="40">
        <f t="shared" ref="A71:B134" si="15">A70</f>
        <v>64.229676878151835</v>
      </c>
      <c r="B71" s="40">
        <f t="shared" si="15"/>
        <v>32.933286051621081</v>
      </c>
      <c r="C71" s="41">
        <f t="shared" si="10"/>
        <v>0.49289226185293716</v>
      </c>
      <c r="D71" s="41">
        <f t="shared" si="11"/>
        <v>0.98069361229543572</v>
      </c>
      <c r="E71" s="39">
        <f>IF(_xlfn.NORM.INV(R71,C71,'Regressão Grupo 2'!$B$7)&lt;=0,0,IF(_xlfn.NORM.INV(R71,C71,'Regressão Grupo 2'!$B$7)&gt;100%,100%,_xlfn.NORM.INV(R71,C71,'Regressão Grupo 2'!$B$7)))</f>
        <v>0.55600329365378465</v>
      </c>
      <c r="F71" s="39">
        <f>IF(_xlfn.NORM.INV(S71,D71,'Regressão Grupo 2'!$B$7)&lt;=0,0,IF(_xlfn.NORM.INV(S71,D71,'Regressão Grupo 2'!$B$7)&gt;100%,100%,_xlfn.NORM.INV(S71,D71,'Regressão Grupo 2'!$B$7)))</f>
        <v>1</v>
      </c>
      <c r="G71" s="41">
        <v>2.360862411769224E-2</v>
      </c>
      <c r="H71" s="41">
        <v>1.6943298515628272E-2</v>
      </c>
      <c r="I71" s="40">
        <f t="shared" si="12"/>
        <v>262.41555176539362</v>
      </c>
      <c r="J71" s="40">
        <f t="shared" si="12"/>
        <v>0</v>
      </c>
      <c r="K71" s="36">
        <v>0.48365460738491695</v>
      </c>
      <c r="L71" s="42">
        <f t="shared" ref="L71:M86" si="16">L70</f>
        <v>19991.322604477216</v>
      </c>
      <c r="M71" s="42">
        <f t="shared" si="16"/>
        <v>0</v>
      </c>
      <c r="N71" s="42">
        <f t="shared" si="13"/>
        <v>9668.8952853736428</v>
      </c>
      <c r="O71" s="36">
        <v>5.5731503774306459</v>
      </c>
      <c r="P71" s="42">
        <f t="shared" si="14"/>
        <v>5723.4894809545385</v>
      </c>
      <c r="Q71" s="42"/>
      <c r="R71">
        <v>0.67595446638386181</v>
      </c>
      <c r="S71">
        <v>0.83748893704031491</v>
      </c>
      <c r="T71" s="42"/>
      <c r="U71" s="42"/>
    </row>
    <row r="72" spans="1:21" x14ac:dyDescent="0.25">
      <c r="A72" s="40">
        <f t="shared" si="15"/>
        <v>64.229676878151835</v>
      </c>
      <c r="B72" s="40">
        <f t="shared" si="15"/>
        <v>32.933286051621081</v>
      </c>
      <c r="C72" s="41">
        <f t="shared" si="10"/>
        <v>0.49289226185293716</v>
      </c>
      <c r="D72" s="41">
        <f t="shared" si="11"/>
        <v>0.98069361229543572</v>
      </c>
      <c r="E72" s="39">
        <f>IF(_xlfn.NORM.INV(R72,C72,'Regressão Grupo 2'!$B$7)&lt;=0,0,IF(_xlfn.NORM.INV(R72,C72,'Regressão Grupo 2'!$B$7)&gt;100%,100%,_xlfn.NORM.INV(R72,C72,'Regressão Grupo 2'!$B$7)))</f>
        <v>0.69422235728353821</v>
      </c>
      <c r="F72" s="39">
        <f>IF(_xlfn.NORM.INV(S72,D72,'Regressão Grupo 2'!$B$7)&lt;=0,0,IF(_xlfn.NORM.INV(S72,D72,'Regressão Grupo 2'!$B$7)&gt;100%,100%,_xlfn.NORM.INV(S72,D72,'Regressão Grupo 2'!$B$7)))</f>
        <v>1</v>
      </c>
      <c r="G72" s="41">
        <v>1.9657902949808615E-2</v>
      </c>
      <c r="H72" s="41">
        <v>8.6244679162472918E-3</v>
      </c>
      <c r="I72" s="40">
        <f t="shared" si="12"/>
        <v>272.8206944688348</v>
      </c>
      <c r="J72" s="40">
        <f t="shared" si="12"/>
        <v>0</v>
      </c>
      <c r="K72" s="36">
        <v>0.27860694068929726</v>
      </c>
      <c r="L72" s="42">
        <f t="shared" si="16"/>
        <v>19991.322604477216</v>
      </c>
      <c r="M72" s="42">
        <f t="shared" si="16"/>
        <v>0</v>
      </c>
      <c r="N72" s="42">
        <f t="shared" si="13"/>
        <v>5569.7212311661915</v>
      </c>
      <c r="O72" s="36">
        <v>4.6171324539089351</v>
      </c>
      <c r="P72" s="42">
        <f t="shared" si="14"/>
        <v>10693.814537710025</v>
      </c>
      <c r="Q72" s="42"/>
      <c r="R72">
        <v>0.92730491042817464</v>
      </c>
      <c r="S72">
        <v>0.59221167638172556</v>
      </c>
      <c r="T72" s="42"/>
      <c r="U72" s="42"/>
    </row>
    <row r="73" spans="1:21" x14ac:dyDescent="0.25">
      <c r="A73" s="40">
        <f t="shared" si="15"/>
        <v>64.229676878151835</v>
      </c>
      <c r="B73" s="40">
        <f t="shared" si="15"/>
        <v>32.933286051621081</v>
      </c>
      <c r="C73" s="41">
        <f t="shared" si="10"/>
        <v>0.49289226185293716</v>
      </c>
      <c r="D73" s="41">
        <f t="shared" si="11"/>
        <v>0.98069361229543572</v>
      </c>
      <c r="E73" s="39">
        <f>IF(_xlfn.NORM.INV(R73,C73,'Regressão Grupo 2'!$B$7)&lt;=0,0,IF(_xlfn.NORM.INV(R73,C73,'Regressão Grupo 2'!$B$7)&gt;100%,100%,_xlfn.NORM.INV(R73,C73,'Regressão Grupo 2'!$B$7)))</f>
        <v>0.42867573286320865</v>
      </c>
      <c r="F73" s="39">
        <f>IF(_xlfn.NORM.INV(S73,D73,'Regressão Grupo 2'!$B$7)&lt;=0,0,IF(_xlfn.NORM.INV(S73,D73,'Regressão Grupo 2'!$B$7)&gt;100%,100%,_xlfn.NORM.INV(S73,D73,'Regressão Grupo 2'!$B$7)))</f>
        <v>1</v>
      </c>
      <c r="G73" s="41">
        <v>2.2062538086990061E-2</v>
      </c>
      <c r="H73" s="41">
        <v>1.5854420381271217E-2</v>
      </c>
      <c r="I73" s="40">
        <f t="shared" si="12"/>
        <v>189.07142568130587</v>
      </c>
      <c r="J73" s="40">
        <f t="shared" si="12"/>
        <v>0</v>
      </c>
      <c r="K73" s="36">
        <v>0.38163325266617465</v>
      </c>
      <c r="L73" s="42">
        <f t="shared" si="16"/>
        <v>19991.322604477216</v>
      </c>
      <c r="M73" s="42">
        <f t="shared" si="16"/>
        <v>0</v>
      </c>
      <c r="N73" s="42">
        <f t="shared" si="13"/>
        <v>7629.353470645462</v>
      </c>
      <c r="O73" s="36">
        <v>4.4921225536338447</v>
      </c>
      <c r="P73" s="42">
        <f t="shared" si="14"/>
        <v>3665.3110922056139</v>
      </c>
      <c r="Q73" s="42"/>
      <c r="R73">
        <v>0.32117679372539443</v>
      </c>
      <c r="S73">
        <v>0.8826563310647908</v>
      </c>
      <c r="T73" s="42"/>
      <c r="U73" s="42"/>
    </row>
    <row r="74" spans="1:21" x14ac:dyDescent="0.25">
      <c r="A74" s="40">
        <f t="shared" si="15"/>
        <v>64.229676878151835</v>
      </c>
      <c r="B74" s="40">
        <f t="shared" si="15"/>
        <v>32.933286051621081</v>
      </c>
      <c r="C74" s="41">
        <f t="shared" si="10"/>
        <v>0.49289226185293716</v>
      </c>
      <c r="D74" s="41">
        <f t="shared" si="11"/>
        <v>0.98069361229543572</v>
      </c>
      <c r="E74" s="39">
        <f>IF(_xlfn.NORM.INV(R74,C74,'Regressão Grupo 2'!$B$7)&lt;=0,0,IF(_xlfn.NORM.INV(R74,C74,'Regressão Grupo 2'!$B$7)&gt;100%,100%,_xlfn.NORM.INV(R74,C74,'Regressão Grupo 2'!$B$7)))</f>
        <v>0.56336182207552521</v>
      </c>
      <c r="F74" s="39">
        <f>IF(_xlfn.NORM.INV(S74,D74,'Regressão Grupo 2'!$B$7)&lt;=0,0,IF(_xlfn.NORM.INV(S74,D74,'Regressão Grupo 2'!$B$7)&gt;100%,100%,_xlfn.NORM.INV(S74,D74,'Regressão Grupo 2'!$B$7)))</f>
        <v>0.74398129419333392</v>
      </c>
      <c r="G74" s="41">
        <v>2.7257069484593638E-2</v>
      </c>
      <c r="H74" s="41">
        <v>2.5133100270164754E-2</v>
      </c>
      <c r="I74" s="40">
        <f t="shared" si="12"/>
        <v>306.97860003746956</v>
      </c>
      <c r="J74" s="40">
        <f t="shared" si="12"/>
        <v>0</v>
      </c>
      <c r="K74" s="36">
        <v>0.24034973330198905</v>
      </c>
      <c r="L74" s="42">
        <f t="shared" si="16"/>
        <v>19991.322604477216</v>
      </c>
      <c r="M74" s="42">
        <f t="shared" si="16"/>
        <v>0</v>
      </c>
      <c r="N74" s="42">
        <f t="shared" si="13"/>
        <v>4804.9090563401242</v>
      </c>
      <c r="O74" s="36">
        <v>6.6613574656060752</v>
      </c>
      <c r="P74" s="42">
        <f t="shared" si="14"/>
        <v>12867.333043433058</v>
      </c>
      <c r="Q74" s="42"/>
      <c r="R74">
        <v>0.69484542374950409</v>
      </c>
      <c r="S74">
        <v>4.3458357493820002E-2</v>
      </c>
      <c r="T74" s="42"/>
      <c r="U74" s="42"/>
    </row>
    <row r="75" spans="1:21" x14ac:dyDescent="0.25">
      <c r="A75" s="40">
        <f t="shared" si="15"/>
        <v>64.229676878151835</v>
      </c>
      <c r="B75" s="40">
        <f t="shared" si="15"/>
        <v>32.933286051621081</v>
      </c>
      <c r="C75" s="41">
        <f t="shared" si="10"/>
        <v>0.49289226185293716</v>
      </c>
      <c r="D75" s="41">
        <f t="shared" si="11"/>
        <v>0.98069361229543572</v>
      </c>
      <c r="E75" s="39">
        <f>IF(_xlfn.NORM.INV(R75,C75,'Regressão Grupo 2'!$B$7)&lt;=0,0,IF(_xlfn.NORM.INV(R75,C75,'Regressão Grupo 2'!$B$7)&gt;100%,100%,_xlfn.NORM.INV(R75,C75,'Regressão Grupo 2'!$B$7)))</f>
        <v>0.4271045091114245</v>
      </c>
      <c r="F75" s="39">
        <f>IF(_xlfn.NORM.INV(S75,D75,'Regressão Grupo 2'!$B$7)&lt;=0,0,IF(_xlfn.NORM.INV(S75,D75,'Regressão Grupo 2'!$B$7)&gt;100%,100%,_xlfn.NORM.INV(S75,D75,'Regressão Grupo 2'!$B$7)))</f>
        <v>0.66691682639541261</v>
      </c>
      <c r="G75" s="41">
        <v>1.7861817000233631E-2</v>
      </c>
      <c r="H75" s="41">
        <v>8.1903194203111554E-3</v>
      </c>
      <c r="I75" s="40">
        <f t="shared" si="12"/>
        <v>152.51105297644708</v>
      </c>
      <c r="J75" s="40">
        <f t="shared" si="12"/>
        <v>0</v>
      </c>
      <c r="K75" s="36">
        <v>0.26232063958724022</v>
      </c>
      <c r="L75" s="42">
        <f t="shared" si="16"/>
        <v>19991.322604477216</v>
      </c>
      <c r="M75" s="42">
        <f t="shared" si="16"/>
        <v>0</v>
      </c>
      <c r="N75" s="42">
        <f t="shared" si="13"/>
        <v>5244.1365318013168</v>
      </c>
      <c r="O75" s="36">
        <v>6.2246254388810254</v>
      </c>
      <c r="P75" s="42">
        <f t="shared" si="14"/>
        <v>3602.2749411548511</v>
      </c>
      <c r="Q75" s="42"/>
      <c r="R75">
        <v>0.3171178319650868</v>
      </c>
      <c r="S75">
        <v>1.1627552110354931E-2</v>
      </c>
      <c r="T75" s="42"/>
      <c r="U75" s="42"/>
    </row>
    <row r="76" spans="1:21" x14ac:dyDescent="0.25">
      <c r="A76" s="40">
        <f t="shared" si="15"/>
        <v>64.229676878151835</v>
      </c>
      <c r="B76" s="40">
        <f t="shared" si="15"/>
        <v>32.933286051621081</v>
      </c>
      <c r="C76" s="41">
        <f t="shared" si="10"/>
        <v>0.49289226185293716</v>
      </c>
      <c r="D76" s="41">
        <f t="shared" si="11"/>
        <v>0.98069361229543572</v>
      </c>
      <c r="E76" s="39">
        <f>IF(_xlfn.NORM.INV(R76,C76,'Regressão Grupo 2'!$B$7)&lt;=0,0,IF(_xlfn.NORM.INV(R76,C76,'Regressão Grupo 2'!$B$7)&gt;100%,100%,_xlfn.NORM.INV(R76,C76,'Regressão Grupo 2'!$B$7)))</f>
        <v>0.47878339387066882</v>
      </c>
      <c r="F76" s="39">
        <f>IF(_xlfn.NORM.INV(S76,D76,'Regressão Grupo 2'!$B$7)&lt;=0,0,IF(_xlfn.NORM.INV(S76,D76,'Regressão Grupo 2'!$B$7)&gt;100%,100%,_xlfn.NORM.INV(S76,D76,'Regressão Grupo 2'!$B$7)))</f>
        <v>1</v>
      </c>
      <c r="G76" s="41">
        <v>2.283572840605751E-2</v>
      </c>
      <c r="H76" s="41">
        <v>2.266061019474052E-2</v>
      </c>
      <c r="I76" s="40">
        <f t="shared" si="12"/>
        <v>218.57247780061317</v>
      </c>
      <c r="J76" s="40">
        <f t="shared" si="12"/>
        <v>0</v>
      </c>
      <c r="K76" s="36">
        <v>0.21071008287530252</v>
      </c>
      <c r="L76" s="42">
        <f t="shared" si="16"/>
        <v>19991.322604477216</v>
      </c>
      <c r="M76" s="42">
        <f t="shared" si="16"/>
        <v>0</v>
      </c>
      <c r="N76" s="42">
        <f t="shared" si="13"/>
        <v>4212.3732427763025</v>
      </c>
      <c r="O76" s="36">
        <v>2.9394588985781205</v>
      </c>
      <c r="P76" s="42">
        <f t="shared" si="14"/>
        <v>9183.9815659588148</v>
      </c>
      <c r="Q76" s="42"/>
      <c r="R76">
        <v>0.45936460463270973</v>
      </c>
      <c r="S76">
        <v>0.78930021057771538</v>
      </c>
      <c r="T76" s="42"/>
      <c r="U76" s="42"/>
    </row>
    <row r="77" spans="1:21" x14ac:dyDescent="0.25">
      <c r="A77" s="40">
        <f t="shared" si="15"/>
        <v>64.229676878151835</v>
      </c>
      <c r="B77" s="40">
        <f t="shared" si="15"/>
        <v>32.933286051621081</v>
      </c>
      <c r="C77" s="41">
        <f t="shared" si="10"/>
        <v>0.49289226185293716</v>
      </c>
      <c r="D77" s="41">
        <f t="shared" si="11"/>
        <v>0.98069361229543572</v>
      </c>
      <c r="E77" s="39">
        <f>IF(_xlfn.NORM.INV(R77,C77,'Regressão Grupo 2'!$B$7)&lt;=0,0,IF(_xlfn.NORM.INV(R77,C77,'Regressão Grupo 2'!$B$7)&gt;100%,100%,_xlfn.NORM.INV(R77,C77,'Regressão Grupo 2'!$B$7)))</f>
        <v>0.48560603262935614</v>
      </c>
      <c r="F77" s="39">
        <f>IF(_xlfn.NORM.INV(S77,D77,'Regressão Grupo 2'!$B$7)&lt;=0,0,IF(_xlfn.NORM.INV(S77,D77,'Regressão Grupo 2'!$B$7)&gt;100%,100%,_xlfn.NORM.INV(S77,D77,'Regressão Grupo 2'!$B$7)))</f>
        <v>1</v>
      </c>
      <c r="G77" s="41">
        <v>1.444006210976872E-2</v>
      </c>
      <c r="H77" s="41">
        <v>2.0070945153630587E-2</v>
      </c>
      <c r="I77" s="40">
        <f t="shared" si="12"/>
        <v>140.18277797055057</v>
      </c>
      <c r="J77" s="40">
        <f t="shared" si="12"/>
        <v>0</v>
      </c>
      <c r="K77" s="36">
        <v>0.45149363828872707</v>
      </c>
      <c r="L77" s="42">
        <f t="shared" si="16"/>
        <v>19991.322604477216</v>
      </c>
      <c r="M77" s="42">
        <f t="shared" si="16"/>
        <v>0</v>
      </c>
      <c r="N77" s="42">
        <f t="shared" si="13"/>
        <v>9025.9549768990892</v>
      </c>
      <c r="O77" s="36">
        <v>7.6253934135850354</v>
      </c>
      <c r="P77" s="42">
        <f t="shared" si="14"/>
        <v>-1091.0092758036153</v>
      </c>
      <c r="Q77" s="42"/>
      <c r="R77">
        <v>0.47898800622577592</v>
      </c>
      <c r="S77">
        <v>0.77532273323770862</v>
      </c>
      <c r="T77" s="42"/>
      <c r="U77" s="42"/>
    </row>
    <row r="78" spans="1:21" x14ac:dyDescent="0.25">
      <c r="A78" s="40">
        <f t="shared" si="15"/>
        <v>64.229676878151835</v>
      </c>
      <c r="B78" s="40">
        <f t="shared" si="15"/>
        <v>32.933286051621081</v>
      </c>
      <c r="C78" s="41">
        <f t="shared" si="10"/>
        <v>0.49289226185293716</v>
      </c>
      <c r="D78" s="41">
        <f t="shared" si="11"/>
        <v>0.98069361229543572</v>
      </c>
      <c r="E78" s="39">
        <f>IF(_xlfn.NORM.INV(R78,C78,'Regressão Grupo 2'!$B$7)&lt;=0,0,IF(_xlfn.NORM.INV(R78,C78,'Regressão Grupo 2'!$B$7)&gt;100%,100%,_xlfn.NORM.INV(R78,C78,'Regressão Grupo 2'!$B$7)))</f>
        <v>0.29748187987305491</v>
      </c>
      <c r="F78" s="39">
        <f>IF(_xlfn.NORM.INV(S78,D78,'Regressão Grupo 2'!$B$7)&lt;=0,0,IF(_xlfn.NORM.INV(S78,D78,'Regressão Grupo 2'!$B$7)&gt;100%,100%,_xlfn.NORM.INV(S78,D78,'Regressão Grupo 2'!$B$7)))</f>
        <v>0.87632873469700812</v>
      </c>
      <c r="G78" s="41">
        <v>8.6395837801444188E-3</v>
      </c>
      <c r="H78" s="41">
        <v>2.6142161717738557E-2</v>
      </c>
      <c r="I78" s="40">
        <f t="shared" si="12"/>
        <v>51.38009054024193</v>
      </c>
      <c r="J78" s="40">
        <f t="shared" si="12"/>
        <v>0</v>
      </c>
      <c r="K78" s="36">
        <v>0.15977814985692834</v>
      </c>
      <c r="L78" s="42">
        <f t="shared" si="16"/>
        <v>19991.322604477216</v>
      </c>
      <c r="M78" s="42">
        <f t="shared" si="16"/>
        <v>0</v>
      </c>
      <c r="N78" s="42">
        <f t="shared" si="13"/>
        <v>3194.1765389363595</v>
      </c>
      <c r="O78" s="36">
        <v>5.5580447460908013</v>
      </c>
      <c r="P78" s="42">
        <f t="shared" si="14"/>
        <v>-179.62276784729556</v>
      </c>
      <c r="Q78" s="42"/>
      <c r="R78">
        <v>7.8798791467024745E-2</v>
      </c>
      <c r="S78">
        <v>0.22519608142338329</v>
      </c>
      <c r="T78" s="42"/>
      <c r="U78" s="42"/>
    </row>
    <row r="79" spans="1:21" x14ac:dyDescent="0.25">
      <c r="A79" s="40">
        <f t="shared" si="15"/>
        <v>64.229676878151835</v>
      </c>
      <c r="B79" s="40">
        <f t="shared" si="15"/>
        <v>32.933286051621081</v>
      </c>
      <c r="C79" s="41">
        <f t="shared" si="10"/>
        <v>0.49289226185293716</v>
      </c>
      <c r="D79" s="41">
        <f t="shared" si="11"/>
        <v>0.98069361229543572</v>
      </c>
      <c r="E79" s="39">
        <f>IF(_xlfn.NORM.INV(R79,C79,'Regressão Grupo 2'!$B$7)&lt;=0,0,IF(_xlfn.NORM.INV(R79,C79,'Regressão Grupo 2'!$B$7)&gt;100%,100%,_xlfn.NORM.INV(R79,C79,'Regressão Grupo 2'!$B$7)))</f>
        <v>0.38257959011871706</v>
      </c>
      <c r="F79" s="39">
        <f>IF(_xlfn.NORM.INV(S79,D79,'Regressão Grupo 2'!$B$7)&lt;=0,0,IF(_xlfn.NORM.INV(S79,D79,'Regressão Grupo 2'!$B$7)&gt;100%,100%,_xlfn.NORM.INV(S79,D79,'Regressão Grupo 2'!$B$7)))</f>
        <v>1</v>
      </c>
      <c r="G79" s="41">
        <v>2.0516674269470868E-2</v>
      </c>
      <c r="H79" s="41">
        <v>2.018227338581792E-2</v>
      </c>
      <c r="I79" s="40">
        <f t="shared" si="12"/>
        <v>156.91710551146178</v>
      </c>
      <c r="J79" s="40">
        <f t="shared" si="12"/>
        <v>0</v>
      </c>
      <c r="K79" s="36">
        <v>0.24484973356033488</v>
      </c>
      <c r="L79" s="42">
        <f t="shared" si="16"/>
        <v>19991.322604477216</v>
      </c>
      <c r="M79" s="42">
        <f t="shared" si="16"/>
        <v>0</v>
      </c>
      <c r="N79" s="42">
        <f t="shared" si="13"/>
        <v>4894.870013224946</v>
      </c>
      <c r="O79" s="36">
        <v>3.2074042919684205</v>
      </c>
      <c r="P79" s="42">
        <f t="shared" si="14"/>
        <v>4680.5683727303795</v>
      </c>
      <c r="Q79" s="42"/>
      <c r="R79">
        <v>0.21250038148136846</v>
      </c>
      <c r="S79">
        <v>0.67964720603045747</v>
      </c>
      <c r="T79" s="42"/>
      <c r="U79" s="42"/>
    </row>
    <row r="80" spans="1:21" x14ac:dyDescent="0.25">
      <c r="A80" s="40">
        <f t="shared" si="15"/>
        <v>64.229676878151835</v>
      </c>
      <c r="B80" s="40">
        <f t="shared" si="15"/>
        <v>32.933286051621081</v>
      </c>
      <c r="C80" s="41">
        <f t="shared" si="10"/>
        <v>0.49289226185293716</v>
      </c>
      <c r="D80" s="41">
        <f t="shared" si="11"/>
        <v>0.98069361229543572</v>
      </c>
      <c r="E80" s="39">
        <f>IF(_xlfn.NORM.INV(R80,C80,'Regressão Grupo 2'!$B$7)&lt;=0,0,IF(_xlfn.NORM.INV(R80,C80,'Regressão Grupo 2'!$B$7)&gt;100%,100%,_xlfn.NORM.INV(R80,C80,'Regressão Grupo 2'!$B$7)))</f>
        <v>0.44537245607706022</v>
      </c>
      <c r="F80" s="39">
        <f>IF(_xlfn.NORM.INV(S80,D80,'Regressão Grupo 2'!$B$7)&lt;=0,0,IF(_xlfn.NORM.INV(S80,D80,'Regressão Grupo 2'!$B$7)&gt;100%,100%,_xlfn.NORM.INV(S80,D80,'Regressão Grupo 2'!$B$7)))</f>
        <v>0.95357363348322566</v>
      </c>
      <c r="G80" s="41">
        <v>1.8574341012450039E-2</v>
      </c>
      <c r="H80" s="41">
        <v>1.8125611985496805E-2</v>
      </c>
      <c r="I80" s="40">
        <f t="shared" si="12"/>
        <v>165.37821378116232</v>
      </c>
      <c r="J80" s="40">
        <f t="shared" si="12"/>
        <v>0</v>
      </c>
      <c r="K80" s="36">
        <v>0.17937389823569438</v>
      </c>
      <c r="L80" s="42">
        <f t="shared" si="16"/>
        <v>19991.322604477216</v>
      </c>
      <c r="M80" s="42">
        <f t="shared" si="16"/>
        <v>0</v>
      </c>
      <c r="N80" s="42">
        <f t="shared" si="13"/>
        <v>3585.9214664524329</v>
      </c>
      <c r="O80" s="36">
        <v>3.4642584279804378</v>
      </c>
      <c r="P80" s="42">
        <f t="shared" si="14"/>
        <v>6463.3548965017981</v>
      </c>
      <c r="Q80" s="42"/>
      <c r="R80">
        <v>0.36555070650349436</v>
      </c>
      <c r="S80">
        <v>0.42225409710989714</v>
      </c>
      <c r="T80" s="42"/>
      <c r="U80" s="42"/>
    </row>
    <row r="81" spans="1:21" x14ac:dyDescent="0.25">
      <c r="A81" s="40">
        <f t="shared" si="15"/>
        <v>64.229676878151835</v>
      </c>
      <c r="B81" s="40">
        <f t="shared" si="15"/>
        <v>32.933286051621081</v>
      </c>
      <c r="C81" s="41">
        <f t="shared" si="10"/>
        <v>0.49289226185293716</v>
      </c>
      <c r="D81" s="41">
        <f t="shared" si="11"/>
        <v>0.98069361229543572</v>
      </c>
      <c r="E81" s="39">
        <f>IF(_xlfn.NORM.INV(R81,C81,'Regressão Grupo 2'!$B$7)&lt;=0,0,IF(_xlfn.NORM.INV(R81,C81,'Regressão Grupo 2'!$B$7)&gt;100%,100%,_xlfn.NORM.INV(R81,C81,'Regressão Grupo 2'!$B$7)))</f>
        <v>0.41210201048990619</v>
      </c>
      <c r="F81" s="39">
        <f>IF(_xlfn.NORM.INV(S81,D81,'Regressão Grupo 2'!$B$7)&lt;=0,0,IF(_xlfn.NORM.INV(S81,D81,'Regressão Grupo 2'!$B$7)&gt;100%,100%,_xlfn.NORM.INV(S81,D81,'Regressão Grupo 2'!$B$7)))</f>
        <v>0.67582127106080514</v>
      </c>
      <c r="G81" s="41">
        <v>6.4589366836102164E-3</v>
      </c>
      <c r="H81" s="41">
        <v>1.7573873387199398E-2</v>
      </c>
      <c r="I81" s="40">
        <f t="shared" si="12"/>
        <v>53.211718881216051</v>
      </c>
      <c r="J81" s="40">
        <f t="shared" si="12"/>
        <v>0</v>
      </c>
      <c r="K81" s="36">
        <v>0.16343158713159173</v>
      </c>
      <c r="L81" s="42">
        <f t="shared" si="16"/>
        <v>19991.322604477216</v>
      </c>
      <c r="M81" s="42">
        <f t="shared" si="16"/>
        <v>0</v>
      </c>
      <c r="N81" s="42">
        <f t="shared" si="13"/>
        <v>3267.2135821093775</v>
      </c>
      <c r="O81" s="36">
        <v>8.832218075115934</v>
      </c>
      <c r="P81" s="42">
        <f t="shared" si="14"/>
        <v>-319.41957754848363</v>
      </c>
      <c r="Q81" s="42"/>
      <c r="R81">
        <v>0.27951902829065828</v>
      </c>
      <c r="S81">
        <v>1.3733329264198737E-2</v>
      </c>
      <c r="T81" s="42"/>
      <c r="U81" s="42"/>
    </row>
    <row r="82" spans="1:21" x14ac:dyDescent="0.25">
      <c r="A82" s="40">
        <f t="shared" si="15"/>
        <v>64.229676878151835</v>
      </c>
      <c r="B82" s="40">
        <f t="shared" si="15"/>
        <v>32.933286051621081</v>
      </c>
      <c r="C82" s="41">
        <f t="shared" si="10"/>
        <v>0.49289226185293716</v>
      </c>
      <c r="D82" s="41">
        <f t="shared" si="11"/>
        <v>0.98069361229543572</v>
      </c>
      <c r="E82" s="39">
        <f>IF(_xlfn.NORM.INV(R82,C82,'Regressão Grupo 2'!$B$7)&lt;=0,0,IF(_xlfn.NORM.INV(R82,C82,'Regressão Grupo 2'!$B$7)&gt;100%,100%,_xlfn.NORM.INV(R82,C82,'Regressão Grupo 2'!$B$7)))</f>
        <v>0.38992840596392919</v>
      </c>
      <c r="F82" s="39">
        <f>IF(_xlfn.NORM.INV(S82,D82,'Regressão Grupo 2'!$B$7)&lt;=0,0,IF(_xlfn.NORM.INV(S82,D82,'Regressão Grupo 2'!$B$7)&gt;100%,100%,_xlfn.NORM.INV(S82,D82,'Regressão Grupo 2'!$B$7)))</f>
        <v>1</v>
      </c>
      <c r="G82" s="41">
        <v>1.6217217389498294E-2</v>
      </c>
      <c r="H82" s="41">
        <v>7.9163522825224583E-3</v>
      </c>
      <c r="I82" s="40">
        <f t="shared" si="12"/>
        <v>126.4162025403628</v>
      </c>
      <c r="J82" s="40">
        <f t="shared" si="12"/>
        <v>0</v>
      </c>
      <c r="K82" s="36">
        <v>0.32174441121905706</v>
      </c>
      <c r="L82" s="42">
        <f t="shared" si="16"/>
        <v>19991.322604477216</v>
      </c>
      <c r="M82" s="42">
        <f t="shared" si="16"/>
        <v>0</v>
      </c>
      <c r="N82" s="42">
        <f t="shared" si="13"/>
        <v>6432.0963208677485</v>
      </c>
      <c r="O82" s="36">
        <v>5.066073549417867</v>
      </c>
      <c r="P82" s="42">
        <f t="shared" si="14"/>
        <v>1047.1417405551674</v>
      </c>
      <c r="Q82" s="42"/>
      <c r="R82">
        <v>0.22824793237098301</v>
      </c>
      <c r="S82">
        <v>0.82689901425214396</v>
      </c>
      <c r="T82" s="42"/>
      <c r="U82" s="42"/>
    </row>
    <row r="83" spans="1:21" x14ac:dyDescent="0.25">
      <c r="A83" s="40">
        <f t="shared" si="15"/>
        <v>64.229676878151835</v>
      </c>
      <c r="B83" s="40">
        <f t="shared" si="15"/>
        <v>32.933286051621081</v>
      </c>
      <c r="C83" s="41">
        <f t="shared" si="10"/>
        <v>0.49289226185293716</v>
      </c>
      <c r="D83" s="41">
        <f t="shared" si="11"/>
        <v>0.98069361229543572</v>
      </c>
      <c r="E83" s="39">
        <f>IF(_xlfn.NORM.INV(R83,C83,'Regressão Grupo 2'!$B$7)&lt;=0,0,IF(_xlfn.NORM.INV(R83,C83,'Regressão Grupo 2'!$B$7)&gt;100%,100%,_xlfn.NORM.INV(R83,C83,'Regressão Grupo 2'!$B$7)))</f>
        <v>0.42962858389208736</v>
      </c>
      <c r="F83" s="39">
        <f>IF(_xlfn.NORM.INV(S83,D83,'Regressão Grupo 2'!$B$7)&lt;=0,0,IF(_xlfn.NORM.INV(S83,D83,'Regressão Grupo 2'!$B$7)&gt;100%,100%,_xlfn.NORM.INV(S83,D83,'Regressão Grupo 2'!$B$7)))</f>
        <v>0.94501931564212815</v>
      </c>
      <c r="G83" s="41">
        <v>1.0383345269512177E-2</v>
      </c>
      <c r="H83" s="41">
        <v>1.1597031758635886E-2</v>
      </c>
      <c r="I83" s="40">
        <f t="shared" si="12"/>
        <v>89.180928779486109</v>
      </c>
      <c r="J83" s="40">
        <f t="shared" si="12"/>
        <v>0</v>
      </c>
      <c r="K83" s="36">
        <v>0.32680723944854367</v>
      </c>
      <c r="L83" s="42">
        <f t="shared" si="16"/>
        <v>19991.322604477216</v>
      </c>
      <c r="M83" s="42">
        <f t="shared" si="16"/>
        <v>0</v>
      </c>
      <c r="N83" s="42">
        <f t="shared" si="13"/>
        <v>6533.3089532944696</v>
      </c>
      <c r="O83" s="36">
        <v>7.3089961680006112</v>
      </c>
      <c r="P83" s="42">
        <f t="shared" si="14"/>
        <v>-1457.0697808026043</v>
      </c>
      <c r="Q83" s="42"/>
      <c r="R83">
        <v>0.32364879299295024</v>
      </c>
      <c r="S83">
        <v>0.39820551164281137</v>
      </c>
      <c r="T83" s="42"/>
      <c r="U83" s="42"/>
    </row>
    <row r="84" spans="1:21" x14ac:dyDescent="0.25">
      <c r="A84" s="40">
        <f t="shared" si="15"/>
        <v>64.229676878151835</v>
      </c>
      <c r="B84" s="40">
        <f t="shared" si="15"/>
        <v>32.933286051621081</v>
      </c>
      <c r="C84" s="41">
        <f t="shared" si="10"/>
        <v>0.49289226185293716</v>
      </c>
      <c r="D84" s="41">
        <f t="shared" si="11"/>
        <v>0.98069361229543572</v>
      </c>
      <c r="E84" s="39">
        <f>IF(_xlfn.NORM.INV(R84,C84,'Regressão Grupo 2'!$B$7)&lt;=0,0,IF(_xlfn.NORM.INV(R84,C84,'Regressão Grupo 2'!$B$7)&gt;100%,100%,_xlfn.NORM.INV(R84,C84,'Regressão Grupo 2'!$B$7)))</f>
        <v>0.54669076210403567</v>
      </c>
      <c r="F84" s="39">
        <f>IF(_xlfn.NORM.INV(S84,D84,'Regressão Grupo 2'!$B$7)&lt;=0,0,IF(_xlfn.NORM.INV(S84,D84,'Regressão Grupo 2'!$B$7)&gt;100%,100%,_xlfn.NORM.INV(S84,D84,'Regressão Grupo 2'!$B$7)))</f>
        <v>0.96231348163126007</v>
      </c>
      <c r="G84" s="41">
        <v>9.866508333658399E-3</v>
      </c>
      <c r="H84" s="41">
        <v>1.640800684650414E-2</v>
      </c>
      <c r="I84" s="40">
        <f t="shared" si="12"/>
        <v>107.83177394966084</v>
      </c>
      <c r="J84" s="40">
        <f t="shared" si="12"/>
        <v>0</v>
      </c>
      <c r="K84" s="36">
        <v>0.31887675804427995</v>
      </c>
      <c r="L84" s="42">
        <f t="shared" si="16"/>
        <v>19991.322604477216</v>
      </c>
      <c r="M84" s="42">
        <f t="shared" si="16"/>
        <v>0</v>
      </c>
      <c r="N84" s="42">
        <f t="shared" si="13"/>
        <v>6374.7681411330259</v>
      </c>
      <c r="O84" s="36">
        <v>5.4587313333658392</v>
      </c>
      <c r="P84" s="42">
        <f t="shared" si="14"/>
        <v>-37.392826339835665</v>
      </c>
      <c r="Q84" s="42"/>
      <c r="R84">
        <v>0.6513870662556841</v>
      </c>
      <c r="S84">
        <v>0.44712668233283487</v>
      </c>
      <c r="T84" s="42"/>
      <c r="U84" s="42"/>
    </row>
    <row r="85" spans="1:21" x14ac:dyDescent="0.25">
      <c r="A85" s="40">
        <f t="shared" si="15"/>
        <v>64.229676878151835</v>
      </c>
      <c r="B85" s="40">
        <f t="shared" si="15"/>
        <v>32.933286051621081</v>
      </c>
      <c r="C85" s="41">
        <f t="shared" si="10"/>
        <v>0.49289226185293716</v>
      </c>
      <c r="D85" s="41">
        <f t="shared" si="11"/>
        <v>0.98069361229543572</v>
      </c>
      <c r="E85" s="39">
        <f>IF(_xlfn.NORM.INV(R85,C85,'Regressão Grupo 2'!$B$7)&lt;=0,0,IF(_xlfn.NORM.INV(R85,C85,'Regressão Grupo 2'!$B$7)&gt;100%,100%,_xlfn.NORM.INV(R85,C85,'Regressão Grupo 2'!$B$7)))</f>
        <v>0.70409942679123505</v>
      </c>
      <c r="F85" s="39">
        <f>IF(_xlfn.NORM.INV(S85,D85,'Regressão Grupo 2'!$B$7)&lt;=0,0,IF(_xlfn.NORM.INV(S85,D85,'Regressão Grupo 2'!$B$7)&gt;100%,100%,_xlfn.NORM.INV(S85,D85,'Regressão Grupo 2'!$B$7)))</f>
        <v>1</v>
      </c>
      <c r="G85" s="41">
        <v>2.1996254069424515E-2</v>
      </c>
      <c r="H85" s="41">
        <v>1.1503710915116608E-2</v>
      </c>
      <c r="I85" s="40">
        <f t="shared" si="12"/>
        <v>309.61660604071989</v>
      </c>
      <c r="J85" s="40">
        <f t="shared" si="12"/>
        <v>0</v>
      </c>
      <c r="K85" s="36">
        <v>0.28403662974182875</v>
      </c>
      <c r="L85" s="42">
        <f t="shared" si="16"/>
        <v>19991.322604477216</v>
      </c>
      <c r="M85" s="42">
        <f t="shared" si="16"/>
        <v>0</v>
      </c>
      <c r="N85" s="42">
        <f t="shared" si="13"/>
        <v>5678.2678966573467</v>
      </c>
      <c r="O85" s="36">
        <v>8.1769813776539255</v>
      </c>
      <c r="P85" s="42">
        <f t="shared" si="14"/>
        <v>11676.577443640745</v>
      </c>
      <c r="Q85" s="42"/>
      <c r="R85">
        <v>0.93667409283730585</v>
      </c>
      <c r="S85">
        <v>0.71050141911069065</v>
      </c>
      <c r="T85" s="42"/>
      <c r="U85" s="42"/>
    </row>
    <row r="86" spans="1:21" x14ac:dyDescent="0.25">
      <c r="A86" s="40">
        <f t="shared" si="15"/>
        <v>64.229676878151835</v>
      </c>
      <c r="B86" s="40">
        <f t="shared" si="15"/>
        <v>32.933286051621081</v>
      </c>
      <c r="C86" s="41">
        <f t="shared" si="10"/>
        <v>0.49289226185293716</v>
      </c>
      <c r="D86" s="41">
        <f t="shared" si="11"/>
        <v>0.98069361229543572</v>
      </c>
      <c r="E86" s="39">
        <f>IF(_xlfn.NORM.INV(R86,C86,'Regressão Grupo 2'!$B$7)&lt;=0,0,IF(_xlfn.NORM.INV(R86,C86,'Regressão Grupo 2'!$B$7)&gt;100%,100%,_xlfn.NORM.INV(R86,C86,'Regressão Grupo 2'!$B$7)))</f>
        <v>0.50819257200980772</v>
      </c>
      <c r="F86" s="39">
        <f>IF(_xlfn.NORM.INV(S86,D86,'Regressão Grupo 2'!$B$7)&lt;=0,0,IF(_xlfn.NORM.INV(S86,D86,'Regressão Grupo 2'!$B$7)&gt;100%,100%,_xlfn.NORM.INV(S86,D86,'Regressão Grupo 2'!$B$7)))</f>
        <v>0.95671561143940753</v>
      </c>
      <c r="G86" s="41">
        <v>1.6889559504861262E-2</v>
      </c>
      <c r="H86" s="41">
        <v>1.0053620822052418E-2</v>
      </c>
      <c r="I86" s="40">
        <f t="shared" si="12"/>
        <v>171.58849432179315</v>
      </c>
      <c r="J86" s="40">
        <f t="shared" si="12"/>
        <v>0</v>
      </c>
      <c r="K86" s="36">
        <v>0.34153796624823007</v>
      </c>
      <c r="L86" s="42">
        <f t="shared" si="16"/>
        <v>19991.322604477216</v>
      </c>
      <c r="M86" s="42">
        <f t="shared" si="16"/>
        <v>0</v>
      </c>
      <c r="N86" s="42">
        <f t="shared" si="13"/>
        <v>6827.7956649454181</v>
      </c>
      <c r="O86" s="36">
        <v>6.3788938933640082</v>
      </c>
      <c r="P86" s="42">
        <f t="shared" si="14"/>
        <v>3098.733082751135</v>
      </c>
      <c r="Q86" s="42"/>
      <c r="R86">
        <v>0.54405346842860192</v>
      </c>
      <c r="S86">
        <v>0.43116550187688835</v>
      </c>
      <c r="T86" s="42"/>
      <c r="U86" s="42"/>
    </row>
    <row r="87" spans="1:21" x14ac:dyDescent="0.25">
      <c r="A87" s="40">
        <f t="shared" si="15"/>
        <v>64.229676878151835</v>
      </c>
      <c r="B87" s="40">
        <f t="shared" si="15"/>
        <v>32.933286051621081</v>
      </c>
      <c r="C87" s="41">
        <f t="shared" si="10"/>
        <v>0.49289226185293716</v>
      </c>
      <c r="D87" s="41">
        <f t="shared" si="11"/>
        <v>0.98069361229543572</v>
      </c>
      <c r="E87" s="39">
        <f>IF(_xlfn.NORM.INV(R87,C87,'Regressão Grupo 2'!$B$7)&lt;=0,0,IF(_xlfn.NORM.INV(R87,C87,'Regressão Grupo 2'!$B$7)&gt;100%,100%,_xlfn.NORM.INV(R87,C87,'Regressão Grupo 2'!$B$7)))</f>
        <v>0.50933188557856157</v>
      </c>
      <c r="F87" s="39">
        <f>IF(_xlfn.NORM.INV(S87,D87,'Regressão Grupo 2'!$B$7)&lt;=0,0,IF(_xlfn.NORM.INV(S87,D87,'Regressão Grupo 2'!$B$7)&gt;100%,100%,_xlfn.NORM.INV(S87,D87,'Regressão Grupo 2'!$B$7)))</f>
        <v>0.99582364892827391</v>
      </c>
      <c r="G87" s="41">
        <v>1.5009540861453527E-2</v>
      </c>
      <c r="H87" s="41">
        <v>8.1184000939783073E-3</v>
      </c>
      <c r="I87" s="40">
        <f t="shared" si="12"/>
        <v>152.83041769179945</v>
      </c>
      <c r="J87" s="40">
        <f t="shared" si="12"/>
        <v>0</v>
      </c>
      <c r="K87" s="36">
        <v>0.38115003677387993</v>
      </c>
      <c r="L87" s="42">
        <f t="shared" ref="L87:M102" si="17">L86</f>
        <v>19991.322604477216</v>
      </c>
      <c r="M87" s="42">
        <f t="shared" si="17"/>
        <v>0</v>
      </c>
      <c r="N87" s="42">
        <f t="shared" si="13"/>
        <v>7619.6933458549884</v>
      </c>
      <c r="O87" s="36">
        <v>5.1727234176986086</v>
      </c>
      <c r="P87" s="42">
        <f t="shared" si="14"/>
        <v>1406.0055191112406</v>
      </c>
      <c r="Q87" s="42"/>
      <c r="R87">
        <v>0.54731894894253363</v>
      </c>
      <c r="S87">
        <v>0.54356517227698598</v>
      </c>
      <c r="T87" s="42"/>
      <c r="U87" s="42"/>
    </row>
    <row r="88" spans="1:21" x14ac:dyDescent="0.25">
      <c r="A88" s="40">
        <f t="shared" si="15"/>
        <v>64.229676878151835</v>
      </c>
      <c r="B88" s="40">
        <f t="shared" si="15"/>
        <v>32.933286051621081</v>
      </c>
      <c r="C88" s="41">
        <f t="shared" si="10"/>
        <v>0.49289226185293716</v>
      </c>
      <c r="D88" s="41">
        <f t="shared" si="11"/>
        <v>0.98069361229543572</v>
      </c>
      <c r="E88" s="39">
        <f>IF(_xlfn.NORM.INV(R88,C88,'Regressão Grupo 2'!$B$7)&lt;=0,0,IF(_xlfn.NORM.INV(R88,C88,'Regressão Grupo 2'!$B$7)&gt;100%,100%,_xlfn.NORM.INV(R88,C88,'Regressão Grupo 2'!$B$7)))</f>
        <v>0.80980338408788266</v>
      </c>
      <c r="F88" s="39">
        <f>IF(_xlfn.NORM.INV(S88,D88,'Regressão Grupo 2'!$B$7)&lt;=0,0,IF(_xlfn.NORM.INV(S88,D88,'Regressão Grupo 2'!$B$7)&gt;100%,100%,_xlfn.NORM.INV(S88,D88,'Regressão Grupo 2'!$B$7)))</f>
        <v>0.9616089060883154</v>
      </c>
      <c r="G88" s="41">
        <v>2.2153661387556339E-2</v>
      </c>
      <c r="H88" s="41">
        <v>2.1917721014192149E-2</v>
      </c>
      <c r="I88" s="40">
        <f t="shared" si="12"/>
        <v>358.64652580174481</v>
      </c>
      <c r="J88" s="40">
        <f t="shared" si="12"/>
        <v>0</v>
      </c>
      <c r="K88" s="36">
        <v>0.23899086811064912</v>
      </c>
      <c r="L88" s="42">
        <f t="shared" si="17"/>
        <v>19991.322604477216</v>
      </c>
      <c r="M88" s="42">
        <f t="shared" si="17"/>
        <v>0</v>
      </c>
      <c r="N88" s="42">
        <f t="shared" si="13"/>
        <v>4777.7435439240526</v>
      </c>
      <c r="O88" s="36">
        <v>10.076050457858249</v>
      </c>
      <c r="P88" s="42">
        <f t="shared" si="14"/>
        <v>14644.266431279821</v>
      </c>
      <c r="Q88" s="42"/>
      <c r="R88">
        <v>0.98904385509811699</v>
      </c>
      <c r="S88">
        <v>0.44511246070741906</v>
      </c>
      <c r="T88" s="42"/>
      <c r="U88" s="42"/>
    </row>
    <row r="89" spans="1:21" x14ac:dyDescent="0.25">
      <c r="A89" s="40">
        <f t="shared" si="15"/>
        <v>64.229676878151835</v>
      </c>
      <c r="B89" s="40">
        <f t="shared" si="15"/>
        <v>32.933286051621081</v>
      </c>
      <c r="C89" s="41">
        <f t="shared" si="10"/>
        <v>0.49289226185293716</v>
      </c>
      <c r="D89" s="41">
        <f t="shared" si="11"/>
        <v>0.98069361229543572</v>
      </c>
      <c r="E89" s="39">
        <f>IF(_xlfn.NORM.INV(R89,C89,'Regressão Grupo 2'!$B$7)&lt;=0,0,IF(_xlfn.NORM.INV(R89,C89,'Regressão Grupo 2'!$B$7)&gt;100%,100%,_xlfn.NORM.INV(R89,C89,'Regressão Grupo 2'!$B$7)))</f>
        <v>0.68156044872552668</v>
      </c>
      <c r="F89" s="39">
        <f>IF(_xlfn.NORM.INV(S89,D89,'Regressão Grupo 2'!$B$7)&lt;=0,0,IF(_xlfn.NORM.INV(S89,D89,'Regressão Grupo 2'!$B$7)&gt;100%,100%,_xlfn.NORM.INV(S89,D89,'Regressão Grupo 2'!$B$7)))</f>
        <v>1</v>
      </c>
      <c r="G89" s="41">
        <v>1.5249761001089903E-2</v>
      </c>
      <c r="H89" s="41">
        <v>1.9722011834426824E-2</v>
      </c>
      <c r="I89" s="40">
        <f t="shared" si="12"/>
        <v>207.78248934448678</v>
      </c>
      <c r="J89" s="40">
        <f t="shared" si="12"/>
        <v>0</v>
      </c>
      <c r="K89" s="36">
        <v>0.4220174638784977</v>
      </c>
      <c r="L89" s="42">
        <f t="shared" si="17"/>
        <v>19991.322604477216</v>
      </c>
      <c r="M89" s="42">
        <f t="shared" si="17"/>
        <v>0</v>
      </c>
      <c r="N89" s="42">
        <f t="shared" si="13"/>
        <v>8436.6872651183585</v>
      </c>
      <c r="O89" s="36">
        <v>5.1448800850629679</v>
      </c>
      <c r="P89" s="42">
        <f t="shared" si="14"/>
        <v>3840.0988949627954</v>
      </c>
      <c r="Q89" s="42"/>
      <c r="R89">
        <v>0.91378521073030794</v>
      </c>
      <c r="S89">
        <v>0.85406048768578147</v>
      </c>
      <c r="T89" s="42"/>
      <c r="U89" s="42"/>
    </row>
    <row r="90" spans="1:21" x14ac:dyDescent="0.25">
      <c r="A90" s="40">
        <f t="shared" si="15"/>
        <v>64.229676878151835</v>
      </c>
      <c r="B90" s="40">
        <f t="shared" si="15"/>
        <v>32.933286051621081</v>
      </c>
      <c r="C90" s="41">
        <f t="shared" si="10"/>
        <v>0.49289226185293716</v>
      </c>
      <c r="D90" s="41">
        <f t="shared" si="11"/>
        <v>0.98069361229543572</v>
      </c>
      <c r="E90" s="39">
        <f>IF(_xlfn.NORM.INV(R90,C90,'Regressão Grupo 2'!$B$7)&lt;=0,0,IF(_xlfn.NORM.INV(R90,C90,'Regressão Grupo 2'!$B$7)&gt;100%,100%,_xlfn.NORM.INV(R90,C90,'Regressão Grupo 2'!$B$7)))</f>
        <v>0.69071539385517466</v>
      </c>
      <c r="F90" s="39">
        <f>IF(_xlfn.NORM.INV(S90,D90,'Regressão Grupo 2'!$B$7)&lt;=0,0,IF(_xlfn.NORM.INV(S90,D90,'Regressão Grupo 2'!$B$7)&gt;100%,100%,_xlfn.NORM.INV(S90,D90,'Regressão Grupo 2'!$B$7)))</f>
        <v>1</v>
      </c>
      <c r="G90" s="41">
        <v>1.09665088157154E-2</v>
      </c>
      <c r="H90" s="41">
        <v>1.2281919213618641E-2</v>
      </c>
      <c r="I90" s="40">
        <f t="shared" si="12"/>
        <v>151.42900013305376</v>
      </c>
      <c r="J90" s="40">
        <f t="shared" si="12"/>
        <v>0</v>
      </c>
      <c r="K90" s="36">
        <v>0.32507102227671236</v>
      </c>
      <c r="L90" s="42">
        <f t="shared" si="17"/>
        <v>19991.322604477216</v>
      </c>
      <c r="M90" s="42">
        <f t="shared" si="17"/>
        <v>0</v>
      </c>
      <c r="N90" s="42">
        <f t="shared" si="13"/>
        <v>6498.5996757009571</v>
      </c>
      <c r="O90" s="36">
        <v>7.2971051927478232</v>
      </c>
      <c r="P90" s="42">
        <f t="shared" si="14"/>
        <v>2122.6427296231805</v>
      </c>
      <c r="Q90" s="42"/>
      <c r="R90">
        <v>0.92373424481948296</v>
      </c>
      <c r="S90">
        <v>0.75551622058778645</v>
      </c>
      <c r="T90" s="42"/>
      <c r="U90" s="42"/>
    </row>
    <row r="91" spans="1:21" x14ac:dyDescent="0.25">
      <c r="A91" s="40">
        <f t="shared" si="15"/>
        <v>64.229676878151835</v>
      </c>
      <c r="B91" s="40">
        <f t="shared" si="15"/>
        <v>32.933286051621081</v>
      </c>
      <c r="C91" s="41">
        <f t="shared" si="10"/>
        <v>0.49289226185293716</v>
      </c>
      <c r="D91" s="41">
        <f t="shared" si="11"/>
        <v>0.98069361229543572</v>
      </c>
      <c r="E91" s="39">
        <f>IF(_xlfn.NORM.INV(R91,C91,'Regressão Grupo 2'!$B$7)&lt;=0,0,IF(_xlfn.NORM.INV(R91,C91,'Regressão Grupo 2'!$B$7)&gt;100%,100%,_xlfn.NORM.INV(R91,C91,'Regressão Grupo 2'!$B$7)))</f>
        <v>0.49307737451339839</v>
      </c>
      <c r="F91" s="39">
        <f>IF(_xlfn.NORM.INV(S91,D91,'Regressão Grupo 2'!$B$7)&lt;=0,0,IF(_xlfn.NORM.INV(S91,D91,'Regressão Grupo 2'!$B$7)&gt;100%,100%,_xlfn.NORM.INV(S91,D91,'Regressão Grupo 2'!$B$7)))</f>
        <v>1</v>
      </c>
      <c r="G91" s="41">
        <v>1.3978333686688216E-2</v>
      </c>
      <c r="H91" s="41">
        <v>9.9590937086060025E-3</v>
      </c>
      <c r="I91" s="40">
        <f t="shared" si="12"/>
        <v>137.78819340454237</v>
      </c>
      <c r="J91" s="40">
        <f t="shared" si="12"/>
        <v>0</v>
      </c>
      <c r="K91" s="36">
        <v>0.17380577435323646</v>
      </c>
      <c r="L91" s="42">
        <f t="shared" si="17"/>
        <v>19991.322604477216</v>
      </c>
      <c r="M91" s="42">
        <f t="shared" si="17"/>
        <v>0</v>
      </c>
      <c r="N91" s="42">
        <f t="shared" si="13"/>
        <v>3474.6073056165224</v>
      </c>
      <c r="O91" s="36">
        <v>5.0348310577961666</v>
      </c>
      <c r="P91" s="42">
        <f t="shared" si="14"/>
        <v>4681.7435588307117</v>
      </c>
      <c r="Q91" s="42"/>
      <c r="R91">
        <v>0.50053407391582994</v>
      </c>
      <c r="S91">
        <v>0.95593127231666009</v>
      </c>
      <c r="T91" s="42"/>
      <c r="U91" s="42"/>
    </row>
    <row r="92" spans="1:21" x14ac:dyDescent="0.25">
      <c r="A92" s="40">
        <f t="shared" si="15"/>
        <v>64.229676878151835</v>
      </c>
      <c r="B92" s="40">
        <f t="shared" si="15"/>
        <v>32.933286051621081</v>
      </c>
      <c r="C92" s="41">
        <f t="shared" si="10"/>
        <v>0.49289226185293716</v>
      </c>
      <c r="D92" s="41">
        <f t="shared" si="11"/>
        <v>0.98069361229543572</v>
      </c>
      <c r="E92" s="39">
        <f>IF(_xlfn.NORM.INV(R92,C92,'Regressão Grupo 2'!$B$7)&lt;=0,0,IF(_xlfn.NORM.INV(R92,C92,'Regressão Grupo 2'!$B$7)&gt;100%,100%,_xlfn.NORM.INV(R92,C92,'Regressão Grupo 2'!$B$7)))</f>
        <v>0.60139669620788738</v>
      </c>
      <c r="F92" s="39">
        <f>IF(_xlfn.NORM.INV(S92,D92,'Regressão Grupo 2'!$B$7)&lt;=0,0,IF(_xlfn.NORM.INV(S92,D92,'Regressão Grupo 2'!$B$7)&gt;100%,100%,_xlfn.NORM.INV(S92,D92,'Regressão Grupo 2'!$B$7)))</f>
        <v>0.95396172531167822</v>
      </c>
      <c r="G92" s="41">
        <v>2.0205340403210845E-2</v>
      </c>
      <c r="H92" s="41">
        <v>1.4461763429472241E-2</v>
      </c>
      <c r="I92" s="40">
        <f t="shared" si="12"/>
        <v>242.92305656435471</v>
      </c>
      <c r="J92" s="40">
        <f t="shared" si="12"/>
        <v>0</v>
      </c>
      <c r="K92" s="36">
        <v>0.28399325144872656</v>
      </c>
      <c r="L92" s="42">
        <f t="shared" si="17"/>
        <v>19991.322604477216</v>
      </c>
      <c r="M92" s="42">
        <f t="shared" si="17"/>
        <v>0</v>
      </c>
      <c r="N92" s="42">
        <f t="shared" si="13"/>
        <v>5677.4007072059094</v>
      </c>
      <c r="O92" s="36">
        <v>7.1005197669641635</v>
      </c>
      <c r="P92" s="42">
        <f t="shared" si="14"/>
        <v>8200.5887571890416</v>
      </c>
      <c r="Q92" s="42"/>
      <c r="R92">
        <v>0.78368480483413194</v>
      </c>
      <c r="S92">
        <v>0.42335276345103307</v>
      </c>
      <c r="T92" s="42"/>
      <c r="U92" s="42"/>
    </row>
    <row r="93" spans="1:21" x14ac:dyDescent="0.25">
      <c r="A93" s="40">
        <f t="shared" si="15"/>
        <v>64.229676878151835</v>
      </c>
      <c r="B93" s="40">
        <f t="shared" si="15"/>
        <v>32.933286051621081</v>
      </c>
      <c r="C93" s="41">
        <f t="shared" si="10"/>
        <v>0.49289226185293716</v>
      </c>
      <c r="D93" s="41">
        <f t="shared" si="11"/>
        <v>0.98069361229543572</v>
      </c>
      <c r="E93" s="39">
        <f>IF(_xlfn.NORM.INV(R93,C93,'Regressão Grupo 2'!$B$7)&lt;=0,0,IF(_xlfn.NORM.INV(R93,C93,'Regressão Grupo 2'!$B$7)&gt;100%,100%,_xlfn.NORM.INV(R93,C93,'Regressão Grupo 2'!$B$7)))</f>
        <v>0.50039035088539896</v>
      </c>
      <c r="F93" s="39">
        <f>IF(_xlfn.NORM.INV(S93,D93,'Regressão Grupo 2'!$B$7)&lt;=0,0,IF(_xlfn.NORM.INV(S93,D93,'Regressão Grupo 2'!$B$7)&gt;100%,100%,_xlfn.NORM.INV(S93,D93,'Regressão Grupo 2'!$B$7)))</f>
        <v>0.98629612333507377</v>
      </c>
      <c r="G93" s="41">
        <v>1.1252283818173328E-2</v>
      </c>
      <c r="H93" s="41">
        <v>1.6472387791545393E-2</v>
      </c>
      <c r="I93" s="40">
        <f t="shared" si="12"/>
        <v>112.56182658808217</v>
      </c>
      <c r="J93" s="40">
        <f t="shared" si="12"/>
        <v>0</v>
      </c>
      <c r="K93" s="36">
        <v>0.21182201388094885</v>
      </c>
      <c r="L93" s="42">
        <f t="shared" si="17"/>
        <v>19991.322604477216</v>
      </c>
      <c r="M93" s="42">
        <f t="shared" si="17"/>
        <v>0</v>
      </c>
      <c r="N93" s="42">
        <f t="shared" si="13"/>
        <v>4234.602214224099</v>
      </c>
      <c r="O93" s="36">
        <v>6.9849789847309944</v>
      </c>
      <c r="P93" s="42">
        <f t="shared" si="14"/>
        <v>2208.9655431422898</v>
      </c>
      <c r="Q93" s="42"/>
      <c r="R93">
        <v>0.52162236396374406</v>
      </c>
      <c r="S93">
        <v>0.5161595507675405</v>
      </c>
      <c r="T93" s="42"/>
      <c r="U93" s="42"/>
    </row>
    <row r="94" spans="1:21" x14ac:dyDescent="0.25">
      <c r="A94" s="40">
        <f t="shared" si="15"/>
        <v>64.229676878151835</v>
      </c>
      <c r="B94" s="40">
        <f t="shared" si="15"/>
        <v>32.933286051621081</v>
      </c>
      <c r="C94" s="41">
        <f t="shared" si="10"/>
        <v>0.49289226185293716</v>
      </c>
      <c r="D94" s="41">
        <f t="shared" si="11"/>
        <v>0.98069361229543572</v>
      </c>
      <c r="E94" s="39">
        <f>IF(_xlfn.NORM.INV(R94,C94,'Regressão Grupo 2'!$B$7)&lt;=0,0,IF(_xlfn.NORM.INV(R94,C94,'Regressão Grupo 2'!$B$7)&gt;100%,100%,_xlfn.NORM.INV(R94,C94,'Regressão Grupo 2'!$B$7)))</f>
        <v>0.34378764204711515</v>
      </c>
      <c r="F94" s="39">
        <f>IF(_xlfn.NORM.INV(S94,D94,'Regressão Grupo 2'!$B$7)&lt;=0,0,IF(_xlfn.NORM.INV(S94,D94,'Regressão Grupo 2'!$B$7)&gt;100%,100%,_xlfn.NORM.INV(S94,D94,'Regressão Grupo 2'!$B$7)))</f>
        <v>0.98609498475669422</v>
      </c>
      <c r="G94" s="41">
        <v>1.0009073075318058E-2</v>
      </c>
      <c r="H94" s="41">
        <v>1.2949202179358741E-2</v>
      </c>
      <c r="I94" s="40">
        <f t="shared" si="12"/>
        <v>68.790053752729335</v>
      </c>
      <c r="J94" s="40">
        <f t="shared" si="12"/>
        <v>0</v>
      </c>
      <c r="K94" s="36">
        <v>0.23033217174145731</v>
      </c>
      <c r="L94" s="42">
        <f t="shared" si="17"/>
        <v>19991.322604477216</v>
      </c>
      <c r="M94" s="42">
        <f t="shared" si="17"/>
        <v>0</v>
      </c>
      <c r="N94" s="42">
        <f t="shared" si="13"/>
        <v>4604.6447514733236</v>
      </c>
      <c r="O94" s="36">
        <v>9.0440698854726325</v>
      </c>
      <c r="P94" s="42">
        <f t="shared" si="14"/>
        <v>-808.42388006992587</v>
      </c>
      <c r="Q94" s="42"/>
      <c r="R94">
        <v>0.14044618060853908</v>
      </c>
      <c r="S94">
        <v>0.51557969908749657</v>
      </c>
      <c r="T94" s="42"/>
      <c r="U94" s="42"/>
    </row>
    <row r="95" spans="1:21" x14ac:dyDescent="0.25">
      <c r="A95" s="40">
        <f t="shared" si="15"/>
        <v>64.229676878151835</v>
      </c>
      <c r="B95" s="40">
        <f t="shared" si="15"/>
        <v>32.933286051621081</v>
      </c>
      <c r="C95" s="41">
        <f t="shared" si="10"/>
        <v>0.49289226185293716</v>
      </c>
      <c r="D95" s="41">
        <f t="shared" si="11"/>
        <v>0.98069361229543572</v>
      </c>
      <c r="E95" s="39">
        <f>IF(_xlfn.NORM.INV(R95,C95,'Regressão Grupo 2'!$B$7)&lt;=0,0,IF(_xlfn.NORM.INV(R95,C95,'Regressão Grupo 2'!$B$7)&gt;100%,100%,_xlfn.NORM.INV(R95,C95,'Regressão Grupo 2'!$B$7)))</f>
        <v>0.69789557058560414</v>
      </c>
      <c r="F95" s="39">
        <f>IF(_xlfn.NORM.INV(S95,D95,'Regressão Grupo 2'!$B$7)&lt;=0,0,IF(_xlfn.NORM.INV(S95,D95,'Regressão Grupo 2'!$B$7)&gt;100%,100%,_xlfn.NORM.INV(S95,D95,'Regressão Grupo 2'!$B$7)))</f>
        <v>1</v>
      </c>
      <c r="G95" s="41">
        <v>5.5293534470348639E-3</v>
      </c>
      <c r="H95" s="41">
        <v>1.4187072848304996E-2</v>
      </c>
      <c r="I95" s="40">
        <f t="shared" si="12"/>
        <v>77.144740278303232</v>
      </c>
      <c r="J95" s="40">
        <f t="shared" si="12"/>
        <v>0</v>
      </c>
      <c r="K95" s="36">
        <v>0.46895091749186191</v>
      </c>
      <c r="L95" s="42">
        <f t="shared" si="17"/>
        <v>19991.322604477216</v>
      </c>
      <c r="M95" s="42">
        <f t="shared" si="17"/>
        <v>0</v>
      </c>
      <c r="N95" s="42">
        <f t="shared" si="13"/>
        <v>9374.9490772453883</v>
      </c>
      <c r="O95" s="36">
        <v>5.6482914408546669</v>
      </c>
      <c r="P95" s="42">
        <f t="shared" si="14"/>
        <v>-4855.703312541923</v>
      </c>
      <c r="Q95" s="42"/>
      <c r="R95">
        <v>0.93090609454634232</v>
      </c>
      <c r="S95">
        <v>0.70894497512741472</v>
      </c>
      <c r="T95" s="42"/>
      <c r="U95" s="42"/>
    </row>
    <row r="96" spans="1:21" x14ac:dyDescent="0.25">
      <c r="A96" s="40">
        <f t="shared" si="15"/>
        <v>64.229676878151835</v>
      </c>
      <c r="B96" s="40">
        <f t="shared" si="15"/>
        <v>32.933286051621081</v>
      </c>
      <c r="C96" s="41">
        <f t="shared" si="10"/>
        <v>0.49289226185293716</v>
      </c>
      <c r="D96" s="41">
        <f t="shared" si="11"/>
        <v>0.98069361229543572</v>
      </c>
      <c r="E96" s="39">
        <f>IF(_xlfn.NORM.INV(R96,C96,'Regressão Grupo 2'!$B$7)&lt;=0,0,IF(_xlfn.NORM.INV(R96,C96,'Regressão Grupo 2'!$B$7)&gt;100%,100%,_xlfn.NORM.INV(R96,C96,'Regressão Grupo 2'!$B$7)))</f>
        <v>0.64537088967074419</v>
      </c>
      <c r="F96" s="39">
        <f>IF(_xlfn.NORM.INV(S96,D96,'Regressão Grupo 2'!$B$7)&lt;=0,0,IF(_xlfn.NORM.INV(S96,D96,'Regressão Grupo 2'!$B$7)&gt;100%,100%,_xlfn.NORM.INV(S96,D96,'Regressão Grupo 2'!$B$7)))</f>
        <v>1</v>
      </c>
      <c r="G96" s="41">
        <v>2.1845524772721434E-2</v>
      </c>
      <c r="H96" s="41">
        <v>1.9897822501987173E-2</v>
      </c>
      <c r="I96" s="40">
        <f t="shared" si="12"/>
        <v>281.84697719426458</v>
      </c>
      <c r="J96" s="40">
        <f t="shared" si="12"/>
        <v>0</v>
      </c>
      <c r="K96" s="36">
        <v>0.23107540688838082</v>
      </c>
      <c r="L96" s="42">
        <f t="shared" si="17"/>
        <v>19991.322604477216</v>
      </c>
      <c r="M96" s="42">
        <f t="shared" si="17"/>
        <v>0</v>
      </c>
      <c r="N96" s="42">
        <f t="shared" si="13"/>
        <v>4619.5030050664582</v>
      </c>
      <c r="O96" s="36">
        <v>5.5039972178620298</v>
      </c>
      <c r="P96" s="42">
        <f t="shared" si="14"/>
        <v>11932.152290864931</v>
      </c>
      <c r="Q96" s="42"/>
      <c r="R96">
        <v>0.86492507705923638</v>
      </c>
      <c r="S96">
        <v>0.74059266945402391</v>
      </c>
      <c r="T96" s="42"/>
      <c r="U96" s="42"/>
    </row>
    <row r="97" spans="1:21" x14ac:dyDescent="0.25">
      <c r="A97" s="40">
        <f t="shared" si="15"/>
        <v>64.229676878151835</v>
      </c>
      <c r="B97" s="40">
        <f t="shared" si="15"/>
        <v>32.933286051621081</v>
      </c>
      <c r="C97" s="41">
        <f t="shared" si="10"/>
        <v>0.49289226185293716</v>
      </c>
      <c r="D97" s="41">
        <f t="shared" si="11"/>
        <v>0.98069361229543572</v>
      </c>
      <c r="E97" s="39">
        <f>IF(_xlfn.NORM.INV(R97,C97,'Regressão Grupo 2'!$B$7)&lt;=0,0,IF(_xlfn.NORM.INV(R97,C97,'Regressão Grupo 2'!$B$7)&gt;100%,100%,_xlfn.NORM.INV(R97,C97,'Regressão Grupo 2'!$B$7)))</f>
        <v>0.34407110813946251</v>
      </c>
      <c r="F97" s="39">
        <f>IF(_xlfn.NORM.INV(S97,D97,'Regressão Grupo 2'!$B$7)&lt;=0,0,IF(_xlfn.NORM.INV(S97,D97,'Regressão Grupo 2'!$B$7)&gt;100%,100%,_xlfn.NORM.INV(S97,D97,'Regressão Grupo 2'!$B$7)))</f>
        <v>0.85605382965761168</v>
      </c>
      <c r="G97" s="41">
        <v>1.6444413620401541E-2</v>
      </c>
      <c r="H97" s="41">
        <v>1.8161944850410682E-2</v>
      </c>
      <c r="I97" s="40">
        <f t="shared" si="12"/>
        <v>113.11185522444447</v>
      </c>
      <c r="J97" s="40">
        <f t="shared" si="12"/>
        <v>0</v>
      </c>
      <c r="K97" s="36">
        <v>0.36372548805034488</v>
      </c>
      <c r="L97" s="42">
        <f t="shared" si="17"/>
        <v>19991.322604477216</v>
      </c>
      <c r="M97" s="42">
        <f t="shared" si="17"/>
        <v>0</v>
      </c>
      <c r="N97" s="42">
        <f t="shared" si="13"/>
        <v>7271.3535710853675</v>
      </c>
      <c r="O97" s="36">
        <v>5.6475652695474574</v>
      </c>
      <c r="P97" s="42">
        <f t="shared" si="14"/>
        <v>-645.02224407066115</v>
      </c>
      <c r="Q97" s="42"/>
      <c r="R97">
        <v>0.14090395825067903</v>
      </c>
      <c r="S97">
        <v>0.1836909085360271</v>
      </c>
      <c r="T97" s="42"/>
      <c r="U97" s="42"/>
    </row>
    <row r="98" spans="1:21" x14ac:dyDescent="0.25">
      <c r="A98" s="40">
        <f t="shared" si="15"/>
        <v>64.229676878151835</v>
      </c>
      <c r="B98" s="40">
        <f t="shared" si="15"/>
        <v>32.933286051621081</v>
      </c>
      <c r="C98" s="41">
        <f t="shared" si="10"/>
        <v>0.49289226185293716</v>
      </c>
      <c r="D98" s="41">
        <f t="shared" si="11"/>
        <v>0.98069361229543572</v>
      </c>
      <c r="E98" s="39">
        <f>IF(_xlfn.NORM.INV(R98,C98,'Regressão Grupo 2'!$B$7)&lt;=0,0,IF(_xlfn.NORM.INV(R98,C98,'Regressão Grupo 2'!$B$7)&gt;100%,100%,_xlfn.NORM.INV(R98,C98,'Regressão Grupo 2'!$B$7)))</f>
        <v>0.6344085289186181</v>
      </c>
      <c r="F98" s="39">
        <f>IF(_xlfn.NORM.INV(S98,D98,'Regressão Grupo 2'!$B$7)&lt;=0,0,IF(_xlfn.NORM.INV(S98,D98,'Regressão Grupo 2'!$B$7)&gt;100%,100%,_xlfn.NORM.INV(S98,D98,'Regressão Grupo 2'!$B$7)))</f>
        <v>0.95047175856531663</v>
      </c>
      <c r="G98" s="41">
        <v>2.0366617744013441E-2</v>
      </c>
      <c r="H98" s="41">
        <v>2.1241128514227152E-2</v>
      </c>
      <c r="I98" s="40">
        <f t="shared" si="12"/>
        <v>258.30300153026485</v>
      </c>
      <c r="J98" s="40">
        <f t="shared" si="12"/>
        <v>0</v>
      </c>
      <c r="K98" s="36">
        <v>0.26170211927621101</v>
      </c>
      <c r="L98" s="42">
        <f t="shared" si="17"/>
        <v>19991.322604477216</v>
      </c>
      <c r="M98" s="42">
        <f t="shared" si="17"/>
        <v>0</v>
      </c>
      <c r="N98" s="42">
        <f t="shared" si="13"/>
        <v>5231.7714927261095</v>
      </c>
      <c r="O98" s="36">
        <v>6.7677127593734365</v>
      </c>
      <c r="P98" s="42">
        <f t="shared" si="14"/>
        <v>9610.8263129787319</v>
      </c>
      <c r="Q98" s="42"/>
      <c r="R98">
        <v>0.8469496749778741</v>
      </c>
      <c r="S98">
        <v>0.41349528489028597</v>
      </c>
      <c r="T98" s="42"/>
      <c r="U98" s="42"/>
    </row>
    <row r="99" spans="1:21" x14ac:dyDescent="0.25">
      <c r="A99" s="40">
        <f t="shared" si="15"/>
        <v>64.229676878151835</v>
      </c>
      <c r="B99" s="40">
        <f t="shared" si="15"/>
        <v>32.933286051621081</v>
      </c>
      <c r="C99" s="41">
        <f t="shared" si="10"/>
        <v>0.49289226185293716</v>
      </c>
      <c r="D99" s="41">
        <f t="shared" si="11"/>
        <v>0.98069361229543572</v>
      </c>
      <c r="E99" s="39">
        <f>IF(_xlfn.NORM.INV(R99,C99,'Regressão Grupo 2'!$B$7)&lt;=0,0,IF(_xlfn.NORM.INV(R99,C99,'Regressão Grupo 2'!$B$7)&gt;100%,100%,_xlfn.NORM.INV(R99,C99,'Regressão Grupo 2'!$B$7)))</f>
        <v>0.58685925524252902</v>
      </c>
      <c r="F99" s="39">
        <f>IF(_xlfn.NORM.INV(S99,D99,'Regressão Grupo 2'!$B$7)&lt;=0,0,IF(_xlfn.NORM.INV(S99,D99,'Regressão Grupo 2'!$B$7)&gt;100%,100%,_xlfn.NORM.INV(S99,D99,'Regressão Grupo 2'!$B$7)))</f>
        <v>0.61871914010063067</v>
      </c>
      <c r="G99" s="41">
        <v>1.3575101755087519E-2</v>
      </c>
      <c r="H99" s="41">
        <v>2.2564412386910381E-2</v>
      </c>
      <c r="I99" s="40">
        <f t="shared" si="12"/>
        <v>159.26435213442679</v>
      </c>
      <c r="J99" s="40">
        <f t="shared" si="12"/>
        <v>0</v>
      </c>
      <c r="K99" s="36">
        <v>0.30498182577071409</v>
      </c>
      <c r="L99" s="42">
        <f t="shared" si="17"/>
        <v>19991.322604477216</v>
      </c>
      <c r="M99" s="42">
        <f t="shared" si="17"/>
        <v>0</v>
      </c>
      <c r="N99" s="42">
        <f t="shared" si="13"/>
        <v>6096.9900674848086</v>
      </c>
      <c r="O99" s="36">
        <v>9.0047029416675084</v>
      </c>
      <c r="P99" s="42">
        <f t="shared" si="14"/>
        <v>2698.3796281499726</v>
      </c>
      <c r="Q99" s="42"/>
      <c r="R99">
        <v>0.75160985137485881</v>
      </c>
      <c r="S99">
        <v>4.4251838740195929E-3</v>
      </c>
      <c r="T99" s="42"/>
      <c r="U99" s="42"/>
    </row>
    <row r="100" spans="1:21" x14ac:dyDescent="0.25">
      <c r="A100" s="40">
        <f t="shared" si="15"/>
        <v>64.229676878151835</v>
      </c>
      <c r="B100" s="40">
        <f t="shared" si="15"/>
        <v>32.933286051621081</v>
      </c>
      <c r="C100" s="41">
        <f t="shared" si="10"/>
        <v>0.49289226185293716</v>
      </c>
      <c r="D100" s="41">
        <f t="shared" si="11"/>
        <v>0.98069361229543572</v>
      </c>
      <c r="E100" s="39">
        <f>IF(_xlfn.NORM.INV(R100,C100,'Regressão Grupo 2'!$B$7)&lt;=0,0,IF(_xlfn.NORM.INV(R100,C100,'Regressão Grupo 2'!$B$7)&gt;100%,100%,_xlfn.NORM.INV(R100,C100,'Regressão Grupo 2'!$B$7)))</f>
        <v>0.61087942980461307</v>
      </c>
      <c r="F100" s="39">
        <f>IF(_xlfn.NORM.INV(S100,D100,'Regressão Grupo 2'!$B$7)&lt;=0,0,IF(_xlfn.NORM.INV(S100,D100,'Regressão Grupo 2'!$B$7)&gt;100%,100%,_xlfn.NORM.INV(S100,D100,'Regressão Grupo 2'!$B$7)))</f>
        <v>0.84207504833435054</v>
      </c>
      <c r="G100" s="41">
        <v>7.9675673560894375E-3</v>
      </c>
      <c r="H100" s="41">
        <v>2.070167905367409E-2</v>
      </c>
      <c r="I100" s="40">
        <f t="shared" si="12"/>
        <v>97.302225249257035</v>
      </c>
      <c r="J100" s="40">
        <f t="shared" si="12"/>
        <v>0</v>
      </c>
      <c r="K100" s="36">
        <v>0.27202487306616496</v>
      </c>
      <c r="L100" s="42">
        <f t="shared" si="17"/>
        <v>19991.322604477216</v>
      </c>
      <c r="M100" s="42">
        <f t="shared" si="17"/>
        <v>0</v>
      </c>
      <c r="N100" s="42">
        <f t="shared" si="13"/>
        <v>5438.1369939076694</v>
      </c>
      <c r="O100" s="36">
        <v>6.7448356534195648</v>
      </c>
      <c r="P100" s="42">
        <f t="shared" si="14"/>
        <v>155.26597535900692</v>
      </c>
      <c r="Q100" s="42"/>
      <c r="R100">
        <v>0.80324716940824614</v>
      </c>
      <c r="S100">
        <v>0.15805536057618946</v>
      </c>
      <c r="T100" s="42"/>
      <c r="U100" s="42"/>
    </row>
    <row r="101" spans="1:21" x14ac:dyDescent="0.25">
      <c r="A101" s="40">
        <f t="shared" si="15"/>
        <v>64.229676878151835</v>
      </c>
      <c r="B101" s="40">
        <f t="shared" si="15"/>
        <v>32.933286051621081</v>
      </c>
      <c r="C101" s="41">
        <f t="shared" si="10"/>
        <v>0.49289226185293716</v>
      </c>
      <c r="D101" s="41">
        <f t="shared" si="11"/>
        <v>0.98069361229543572</v>
      </c>
      <c r="E101" s="39">
        <f>IF(_xlfn.NORM.INV(R101,C101,'Regressão Grupo 2'!$B$7)&lt;=0,0,IF(_xlfn.NORM.INV(R101,C101,'Regressão Grupo 2'!$B$7)&gt;100%,100%,_xlfn.NORM.INV(R101,C101,'Regressão Grupo 2'!$B$7)))</f>
        <v>0.28867925640025099</v>
      </c>
      <c r="F101" s="39">
        <f>IF(_xlfn.NORM.INV(S101,D101,'Regressão Grupo 2'!$B$7)&lt;=0,0,IF(_xlfn.NORM.INV(S101,D101,'Regressão Grupo 2'!$B$7)&gt;100%,100%,_xlfn.NORM.INV(S101,D101,'Regressão Grupo 2'!$B$7)))</f>
        <v>0.87188669627829662</v>
      </c>
      <c r="G101" s="41">
        <v>1.903863945680016E-2</v>
      </c>
      <c r="H101" s="41">
        <v>2.2390589062033416E-2</v>
      </c>
      <c r="I101" s="40">
        <f t="shared" si="12"/>
        <v>109.87351413635341</v>
      </c>
      <c r="J101" s="40">
        <f t="shared" si="12"/>
        <v>0</v>
      </c>
      <c r="K101" s="36">
        <v>0.28668756583704014</v>
      </c>
      <c r="L101" s="42">
        <f t="shared" si="17"/>
        <v>19991.322604477216</v>
      </c>
      <c r="M101" s="42">
        <f t="shared" si="17"/>
        <v>0</v>
      </c>
      <c r="N101" s="42">
        <f t="shared" si="13"/>
        <v>5731.2636153405711</v>
      </c>
      <c r="O101" s="36">
        <v>6.0947227227425191</v>
      </c>
      <c r="P101" s="42">
        <f t="shared" si="14"/>
        <v>656.22809187005168</v>
      </c>
      <c r="Q101" s="42"/>
      <c r="R101">
        <v>6.9856868190557572E-2</v>
      </c>
      <c r="S101">
        <v>0.21567430646687216</v>
      </c>
      <c r="T101" s="42"/>
      <c r="U101" s="42"/>
    </row>
    <row r="102" spans="1:21" x14ac:dyDescent="0.25">
      <c r="A102" s="40">
        <f t="shared" si="15"/>
        <v>64.229676878151835</v>
      </c>
      <c r="B102" s="40">
        <f t="shared" si="15"/>
        <v>32.933286051621081</v>
      </c>
      <c r="C102" s="41">
        <f t="shared" si="10"/>
        <v>0.49289226185293716</v>
      </c>
      <c r="D102" s="41">
        <f t="shared" si="11"/>
        <v>0.98069361229543572</v>
      </c>
      <c r="E102" s="39">
        <f>IF(_xlfn.NORM.INV(R102,C102,'Regressão Grupo 2'!$B$7)&lt;=0,0,IF(_xlfn.NORM.INV(R102,C102,'Regressão Grupo 2'!$B$7)&gt;100%,100%,_xlfn.NORM.INV(R102,C102,'Regressão Grupo 2'!$B$7)))</f>
        <v>0.37860776579853544</v>
      </c>
      <c r="F102" s="39">
        <f>IF(_xlfn.NORM.INV(S102,D102,'Regressão Grupo 2'!$B$7)&lt;=0,0,IF(_xlfn.NORM.INV(S102,D102,'Regressão Grupo 2'!$B$7)&gt;100%,100%,_xlfn.NORM.INV(S102,D102,'Regressão Grupo 2'!$B$7)))</f>
        <v>0.8878826466985269</v>
      </c>
      <c r="G102" s="41">
        <v>2.5222265900459138E-2</v>
      </c>
      <c r="H102" s="41">
        <v>2.2268653075225187E-2</v>
      </c>
      <c r="I102" s="40">
        <f t="shared" si="12"/>
        <v>190.90405136901038</v>
      </c>
      <c r="J102" s="40">
        <f t="shared" si="12"/>
        <v>0</v>
      </c>
      <c r="K102" s="36">
        <v>0.27052087198519947</v>
      </c>
      <c r="L102" s="42">
        <f t="shared" si="17"/>
        <v>19991.322604477216</v>
      </c>
      <c r="M102" s="42">
        <f t="shared" si="17"/>
        <v>0</v>
      </c>
      <c r="N102" s="42">
        <f t="shared" si="13"/>
        <v>5408.0700231006058</v>
      </c>
      <c r="O102" s="36">
        <v>7.5454572420666919</v>
      </c>
      <c r="P102" s="42">
        <f t="shared" si="14"/>
        <v>5413.17715411886</v>
      </c>
      <c r="Q102" s="42"/>
      <c r="R102">
        <v>0.2042603839228492</v>
      </c>
      <c r="S102">
        <v>0.25104525894955293</v>
      </c>
      <c r="T102" s="42"/>
      <c r="U102" s="42"/>
    </row>
    <row r="103" spans="1:21" x14ac:dyDescent="0.25">
      <c r="A103" s="40">
        <f t="shared" si="15"/>
        <v>64.229676878151835</v>
      </c>
      <c r="B103" s="40">
        <f t="shared" si="15"/>
        <v>32.933286051621081</v>
      </c>
      <c r="C103" s="41">
        <f t="shared" si="10"/>
        <v>0.49289226185293716</v>
      </c>
      <c r="D103" s="41">
        <f t="shared" si="11"/>
        <v>0.98069361229543572</v>
      </c>
      <c r="E103" s="39">
        <f>IF(_xlfn.NORM.INV(R103,C103,'Regressão Grupo 2'!$B$7)&lt;=0,0,IF(_xlfn.NORM.INV(R103,C103,'Regressão Grupo 2'!$B$7)&gt;100%,100%,_xlfn.NORM.INV(R103,C103,'Regressão Grupo 2'!$B$7)))</f>
        <v>0.56606134859906743</v>
      </c>
      <c r="F103" s="39">
        <f>IF(_xlfn.NORM.INV(S103,D103,'Regressão Grupo 2'!$B$7)&lt;=0,0,IF(_xlfn.NORM.INV(S103,D103,'Regressão Grupo 2'!$B$7)&gt;100%,100%,_xlfn.NORM.INV(S103,D103,'Regressão Grupo 2'!$B$7)))</f>
        <v>0.86020577290300604</v>
      </c>
      <c r="G103" s="41">
        <v>1.7220440250245113E-2</v>
      </c>
      <c r="H103" s="41">
        <v>6.9394824314330684E-3</v>
      </c>
      <c r="I103" s="40">
        <f t="shared" si="12"/>
        <v>194.87192689197639</v>
      </c>
      <c r="J103" s="40">
        <f t="shared" si="12"/>
        <v>0</v>
      </c>
      <c r="K103" s="36">
        <v>0.38473136764505067</v>
      </c>
      <c r="L103" s="42">
        <f t="shared" ref="L103:M118" si="18">L102</f>
        <v>19991.322604477216</v>
      </c>
      <c r="M103" s="42">
        <f t="shared" si="18"/>
        <v>0</v>
      </c>
      <c r="N103" s="42">
        <f t="shared" si="13"/>
        <v>7691.2888866539361</v>
      </c>
      <c r="O103" s="36">
        <v>5.5260266861665359</v>
      </c>
      <c r="P103" s="42">
        <f t="shared" si="14"/>
        <v>3748.4045418507794</v>
      </c>
      <c r="Q103" s="42"/>
      <c r="R103">
        <v>0.70165105136265149</v>
      </c>
      <c r="S103">
        <v>0.19177831354716635</v>
      </c>
      <c r="T103" s="42"/>
      <c r="U103" s="42"/>
    </row>
    <row r="104" spans="1:21" x14ac:dyDescent="0.25">
      <c r="A104" s="40">
        <f t="shared" si="15"/>
        <v>64.229676878151835</v>
      </c>
      <c r="B104" s="40">
        <f t="shared" si="15"/>
        <v>32.933286051621081</v>
      </c>
      <c r="C104" s="41">
        <f t="shared" si="10"/>
        <v>0.49289226185293716</v>
      </c>
      <c r="D104" s="41">
        <f t="shared" si="11"/>
        <v>0.98069361229543572</v>
      </c>
      <c r="E104" s="39">
        <f>IF(_xlfn.NORM.INV(R104,C104,'Regressão Grupo 2'!$B$7)&lt;=0,0,IF(_xlfn.NORM.INV(R104,C104,'Regressão Grupo 2'!$B$7)&gt;100%,100%,_xlfn.NORM.INV(R104,C104,'Regressão Grupo 2'!$B$7)))</f>
        <v>0.63704150822248873</v>
      </c>
      <c r="F104" s="39">
        <f>IF(_xlfn.NORM.INV(S104,D104,'Regressão Grupo 2'!$B$7)&lt;=0,0,IF(_xlfn.NORM.INV(S104,D104,'Regressão Grupo 2'!$B$7)&gt;100%,100%,_xlfn.NORM.INV(S104,D104,'Regressão Grupo 2'!$B$7)))</f>
        <v>0.68167302113354022</v>
      </c>
      <c r="G104" s="41">
        <v>1.3750662354208373E-2</v>
      </c>
      <c r="H104" s="41">
        <v>2.3234771211521718E-2</v>
      </c>
      <c r="I104" s="40">
        <f t="shared" si="12"/>
        <v>175.11884195170484</v>
      </c>
      <c r="J104" s="40">
        <f t="shared" si="12"/>
        <v>0</v>
      </c>
      <c r="K104" s="36">
        <v>0.33211858136481742</v>
      </c>
      <c r="L104" s="42">
        <f t="shared" si="18"/>
        <v>19991.322604477216</v>
      </c>
      <c r="M104" s="42">
        <f t="shared" si="18"/>
        <v>0</v>
      </c>
      <c r="N104" s="42">
        <f t="shared" si="13"/>
        <v>6639.4897030053799</v>
      </c>
      <c r="O104" s="36">
        <v>7.4714226329355915</v>
      </c>
      <c r="P104" s="42">
        <f t="shared" si="14"/>
        <v>3299.950051617323</v>
      </c>
      <c r="Q104" s="42"/>
      <c r="R104">
        <v>0.85140537736136968</v>
      </c>
      <c r="S104">
        <v>1.5289773247474594E-2</v>
      </c>
      <c r="T104" s="42"/>
      <c r="U104" s="42"/>
    </row>
    <row r="105" spans="1:21" x14ac:dyDescent="0.25">
      <c r="A105" s="40">
        <f t="shared" si="15"/>
        <v>64.229676878151835</v>
      </c>
      <c r="B105" s="40">
        <f t="shared" si="15"/>
        <v>32.933286051621081</v>
      </c>
      <c r="C105" s="41">
        <f t="shared" si="10"/>
        <v>0.49289226185293716</v>
      </c>
      <c r="D105" s="41">
        <f t="shared" si="11"/>
        <v>0.98069361229543572</v>
      </c>
      <c r="E105" s="39">
        <f>IF(_xlfn.NORM.INV(R105,C105,'Regressão Grupo 2'!$B$7)&lt;=0,0,IF(_xlfn.NORM.INV(R105,C105,'Regressão Grupo 2'!$B$7)&gt;100%,100%,_xlfn.NORM.INV(R105,C105,'Regressão Grupo 2'!$B$7)))</f>
        <v>0.87486664831393146</v>
      </c>
      <c r="F105" s="39">
        <f>IF(_xlfn.NORM.INV(S105,D105,'Regressão Grupo 2'!$B$7)&lt;=0,0,IF(_xlfn.NORM.INV(S105,D105,'Regressão Grupo 2'!$B$7)&gt;100%,100%,_xlfn.NORM.INV(S105,D105,'Regressão Grupo 2'!$B$7)))</f>
        <v>0.95470498251026725</v>
      </c>
      <c r="G105" s="41">
        <v>2.1098573886817365E-2</v>
      </c>
      <c r="H105" s="41">
        <v>7.7628887429314498E-3</v>
      </c>
      <c r="I105" s="40">
        <f t="shared" si="12"/>
        <v>369.00860123863129</v>
      </c>
      <c r="J105" s="40">
        <f t="shared" si="12"/>
        <v>0</v>
      </c>
      <c r="K105" s="36">
        <v>0.37657884150644344</v>
      </c>
      <c r="L105" s="42">
        <f t="shared" si="18"/>
        <v>19991.322604477216</v>
      </c>
      <c r="M105" s="42">
        <f t="shared" si="18"/>
        <v>0</v>
      </c>
      <c r="N105" s="42">
        <f t="shared" si="13"/>
        <v>7528.3091065756062</v>
      </c>
      <c r="O105" s="36">
        <v>7.5424807618153018</v>
      </c>
      <c r="P105" s="42">
        <f t="shared" si="14"/>
        <v>13389.753840453712</v>
      </c>
      <c r="Q105" s="42"/>
      <c r="R105">
        <v>0.99713126010925623</v>
      </c>
      <c r="S105">
        <v>0.42545854060487687</v>
      </c>
      <c r="T105" s="42"/>
      <c r="U105" s="42"/>
    </row>
    <row r="106" spans="1:21" x14ac:dyDescent="0.25">
      <c r="A106" s="40">
        <f t="shared" si="15"/>
        <v>64.229676878151835</v>
      </c>
      <c r="B106" s="40">
        <f t="shared" si="15"/>
        <v>32.933286051621081</v>
      </c>
      <c r="C106" s="41">
        <f t="shared" si="10"/>
        <v>0.49289226185293716</v>
      </c>
      <c r="D106" s="41">
        <f t="shared" si="11"/>
        <v>0.98069361229543572</v>
      </c>
      <c r="E106" s="39">
        <f>IF(_xlfn.NORM.INV(R106,C106,'Regressão Grupo 2'!$B$7)&lt;=0,0,IF(_xlfn.NORM.INV(R106,C106,'Regressão Grupo 2'!$B$7)&gt;100%,100%,_xlfn.NORM.INV(R106,C106,'Regressão Grupo 2'!$B$7)))</f>
        <v>0.34091776915164196</v>
      </c>
      <c r="F106" s="39">
        <f>IF(_xlfn.NORM.INV(S106,D106,'Regressão Grupo 2'!$B$7)&lt;=0,0,IF(_xlfn.NORM.INV(S106,D106,'Regressão Grupo 2'!$B$7)&gt;100%,100%,_xlfn.NORM.INV(S106,D106,'Regressão Grupo 2'!$B$7)))</f>
        <v>0.84772870979571435</v>
      </c>
      <c r="G106" s="41">
        <v>1.0417234723178771E-2</v>
      </c>
      <c r="H106" s="41">
        <v>1.9092706604963972E-2</v>
      </c>
      <c r="I106" s="40">
        <f t="shared" si="12"/>
        <v>70.997591371428385</v>
      </c>
      <c r="J106" s="40">
        <f t="shared" si="12"/>
        <v>0</v>
      </c>
      <c r="K106" s="36">
        <v>0.2617360276285301</v>
      </c>
      <c r="L106" s="42">
        <f t="shared" si="18"/>
        <v>19991.322604477216</v>
      </c>
      <c r="M106" s="42">
        <f t="shared" si="18"/>
        <v>0</v>
      </c>
      <c r="N106" s="42">
        <f t="shared" si="13"/>
        <v>5232.4493655363067</v>
      </c>
      <c r="O106" s="36">
        <v>4.21582118673631</v>
      </c>
      <c r="P106" s="42">
        <f t="shared" si="14"/>
        <v>-971.61016253331582</v>
      </c>
      <c r="Q106" s="42"/>
      <c r="R106">
        <v>0.1358684041871395</v>
      </c>
      <c r="S106">
        <v>0.16812646870326853</v>
      </c>
      <c r="T106" s="42"/>
      <c r="U106" s="42"/>
    </row>
    <row r="107" spans="1:21" x14ac:dyDescent="0.25">
      <c r="A107" s="40">
        <f t="shared" si="15"/>
        <v>64.229676878151835</v>
      </c>
      <c r="B107" s="40">
        <f t="shared" si="15"/>
        <v>32.933286051621081</v>
      </c>
      <c r="C107" s="41">
        <f t="shared" si="10"/>
        <v>0.49289226185293716</v>
      </c>
      <c r="D107" s="41">
        <f t="shared" si="11"/>
        <v>0.98069361229543572</v>
      </c>
      <c r="E107" s="39">
        <f>IF(_xlfn.NORM.INV(R107,C107,'Regressão Grupo 2'!$B$7)&lt;=0,0,IF(_xlfn.NORM.INV(R107,C107,'Regressão Grupo 2'!$B$7)&gt;100%,100%,_xlfn.NORM.INV(R107,C107,'Regressão Grupo 2'!$B$7)))</f>
        <v>0.53916840922498233</v>
      </c>
      <c r="F107" s="39">
        <f>IF(_xlfn.NORM.INV(S107,D107,'Regressão Grupo 2'!$B$7)&lt;=0,0,IF(_xlfn.NORM.INV(S107,D107,'Regressão Grupo 2'!$B$7)&gt;100%,100%,_xlfn.NORM.INV(S107,D107,'Regressão Grupo 2'!$B$7)))</f>
        <v>1</v>
      </c>
      <c r="G107" s="41">
        <v>9.4708634085848287E-3</v>
      </c>
      <c r="H107" s="41">
        <v>1.9273652532063746E-2</v>
      </c>
      <c r="I107" s="40">
        <f t="shared" si="12"/>
        <v>102.08349699104548</v>
      </c>
      <c r="J107" s="40">
        <f t="shared" si="12"/>
        <v>0</v>
      </c>
      <c r="K107" s="36">
        <v>0.46370562408550797</v>
      </c>
      <c r="L107" s="42">
        <f t="shared" si="18"/>
        <v>19991.322604477216</v>
      </c>
      <c r="M107" s="42">
        <f t="shared" si="18"/>
        <v>0</v>
      </c>
      <c r="N107" s="42">
        <f t="shared" si="13"/>
        <v>9270.088724603831</v>
      </c>
      <c r="O107" s="36">
        <v>5.1216016513553972</v>
      </c>
      <c r="P107" s="42">
        <f t="shared" si="14"/>
        <v>-3236.1297050426665</v>
      </c>
      <c r="Q107" s="42"/>
      <c r="R107">
        <v>0.63106173894466999</v>
      </c>
      <c r="S107">
        <v>0.91241187780388811</v>
      </c>
      <c r="T107" s="42"/>
      <c r="U107" s="42"/>
    </row>
    <row r="108" spans="1:21" x14ac:dyDescent="0.25">
      <c r="A108" s="40">
        <f t="shared" si="15"/>
        <v>64.229676878151835</v>
      </c>
      <c r="B108" s="40">
        <f t="shared" si="15"/>
        <v>32.933286051621081</v>
      </c>
      <c r="C108" s="41">
        <f t="shared" si="10"/>
        <v>0.49289226185293716</v>
      </c>
      <c r="D108" s="41">
        <f t="shared" si="11"/>
        <v>0.98069361229543572</v>
      </c>
      <c r="E108" s="39">
        <f>IF(_xlfn.NORM.INV(R108,C108,'Regressão Grupo 2'!$B$7)&lt;=0,0,IF(_xlfn.NORM.INV(R108,C108,'Regressão Grupo 2'!$B$7)&gt;100%,100%,_xlfn.NORM.INV(R108,C108,'Regressão Grupo 2'!$B$7)))</f>
        <v>0.49660024723929752</v>
      </c>
      <c r="F108" s="39">
        <f>IF(_xlfn.NORM.INV(S108,D108,'Regressão Grupo 2'!$B$7)&lt;=0,0,IF(_xlfn.NORM.INV(S108,D108,'Regressão Grupo 2'!$B$7)&gt;100%,100%,_xlfn.NORM.INV(S108,D108,'Regressão Grupo 2'!$B$7)))</f>
        <v>0.99139321073711284</v>
      </c>
      <c r="G108" s="41">
        <v>5.1556708270693065E-3</v>
      </c>
      <c r="H108" s="41">
        <v>2.2479010388984446E-2</v>
      </c>
      <c r="I108" s="40">
        <f t="shared" si="12"/>
        <v>51.183931348107038</v>
      </c>
      <c r="J108" s="40">
        <f t="shared" si="12"/>
        <v>0</v>
      </c>
      <c r="K108" s="36">
        <v>0.4438574651909738</v>
      </c>
      <c r="L108" s="42">
        <f t="shared" si="18"/>
        <v>19991.322604477216</v>
      </c>
      <c r="M108" s="42">
        <f t="shared" si="18"/>
        <v>0</v>
      </c>
      <c r="N108" s="42">
        <f t="shared" si="13"/>
        <v>8873.2977770382731</v>
      </c>
      <c r="O108" s="36">
        <v>3.3819310239824993</v>
      </c>
      <c r="P108" s="42">
        <f t="shared" si="14"/>
        <v>-5758.8709305514058</v>
      </c>
      <c r="Q108" s="42"/>
      <c r="R108">
        <v>0.51069673757133704</v>
      </c>
      <c r="S108">
        <v>0.53083895382549517</v>
      </c>
      <c r="T108" s="42"/>
      <c r="U108" s="42"/>
    </row>
    <row r="109" spans="1:21" x14ac:dyDescent="0.25">
      <c r="A109" s="40">
        <f t="shared" si="15"/>
        <v>64.229676878151835</v>
      </c>
      <c r="B109" s="40">
        <f t="shared" si="15"/>
        <v>32.933286051621081</v>
      </c>
      <c r="C109" s="41">
        <f t="shared" si="10"/>
        <v>0.49289226185293716</v>
      </c>
      <c r="D109" s="41">
        <f t="shared" si="11"/>
        <v>0.98069361229543572</v>
      </c>
      <c r="E109" s="39">
        <f>IF(_xlfn.NORM.INV(R109,C109,'Regressão Grupo 2'!$B$7)&lt;=0,0,IF(_xlfn.NORM.INV(R109,C109,'Regressão Grupo 2'!$B$7)&gt;100%,100%,_xlfn.NORM.INV(R109,C109,'Regressão Grupo 2'!$B$7)))</f>
        <v>0.31492034771341826</v>
      </c>
      <c r="F109" s="39">
        <f>IF(_xlfn.NORM.INV(S109,D109,'Regressão Grupo 2'!$B$7)&lt;=0,0,IF(_xlfn.NORM.INV(S109,D109,'Regressão Grupo 2'!$B$7)&gt;100%,100%,_xlfn.NORM.INV(S109,D109,'Regressão Grupo 2'!$B$7)))</f>
        <v>1</v>
      </c>
      <c r="G109" s="41">
        <v>2.1702682679323321E-2</v>
      </c>
      <c r="H109" s="41">
        <v>1.080837982704988E-2</v>
      </c>
      <c r="I109" s="40">
        <f t="shared" si="12"/>
        <v>136.63302084419126</v>
      </c>
      <c r="J109" s="40">
        <f t="shared" si="12"/>
        <v>0</v>
      </c>
      <c r="K109" s="36">
        <v>0.28640669919365147</v>
      </c>
      <c r="L109" s="42">
        <f t="shared" si="18"/>
        <v>19991.322604477216</v>
      </c>
      <c r="M109" s="42">
        <f t="shared" si="18"/>
        <v>0</v>
      </c>
      <c r="N109" s="42">
        <f t="shared" si="13"/>
        <v>5725.6487196637509</v>
      </c>
      <c r="O109" s="36">
        <v>3.4036732908640808</v>
      </c>
      <c r="P109" s="42">
        <f t="shared" si="14"/>
        <v>2585.1918963469898</v>
      </c>
      <c r="Q109" s="42"/>
      <c r="R109">
        <v>9.9032563249610892E-2</v>
      </c>
      <c r="S109">
        <v>0.78749961851863159</v>
      </c>
      <c r="T109" s="42"/>
      <c r="U109" s="42"/>
    </row>
    <row r="110" spans="1:21" x14ac:dyDescent="0.25">
      <c r="A110" s="40">
        <f t="shared" si="15"/>
        <v>64.229676878151835</v>
      </c>
      <c r="B110" s="40">
        <f t="shared" si="15"/>
        <v>32.933286051621081</v>
      </c>
      <c r="C110" s="41">
        <f t="shared" si="10"/>
        <v>0.49289226185293716</v>
      </c>
      <c r="D110" s="41">
        <f t="shared" si="11"/>
        <v>0.98069361229543572</v>
      </c>
      <c r="E110" s="39">
        <f>IF(_xlfn.NORM.INV(R110,C110,'Regressão Grupo 2'!$B$7)&lt;=0,0,IF(_xlfn.NORM.INV(R110,C110,'Regressão Grupo 2'!$B$7)&gt;100%,100%,_xlfn.NORM.INV(R110,C110,'Regressão Grupo 2'!$B$7)))</f>
        <v>0.37966124520058486</v>
      </c>
      <c r="F110" s="39">
        <f>IF(_xlfn.NORM.INV(S110,D110,'Regressão Grupo 2'!$B$7)&lt;=0,0,IF(_xlfn.NORM.INV(S110,D110,'Regressão Grupo 2'!$B$7)&gt;100%,100%,_xlfn.NORM.INV(S110,D110,'Regressão Grupo 2'!$B$7)))</f>
        <v>0.63217183157851031</v>
      </c>
      <c r="G110" s="41">
        <v>1.8591961494147401E-2</v>
      </c>
      <c r="H110" s="41">
        <v>2.4144230235115353E-2</v>
      </c>
      <c r="I110" s="40">
        <f t="shared" si="12"/>
        <v>141.11169435772874</v>
      </c>
      <c r="J110" s="40">
        <f t="shared" si="12"/>
        <v>0</v>
      </c>
      <c r="K110" s="36">
        <v>0.24838111207966151</v>
      </c>
      <c r="L110" s="42">
        <f t="shared" si="18"/>
        <v>19991.322604477216</v>
      </c>
      <c r="M110" s="42">
        <f t="shared" si="18"/>
        <v>0</v>
      </c>
      <c r="N110" s="42">
        <f t="shared" si="13"/>
        <v>4965.4669404433262</v>
      </c>
      <c r="O110" s="36">
        <v>8.2229726464585369</v>
      </c>
      <c r="P110" s="42">
        <f t="shared" si="14"/>
        <v>2937.7339890830908</v>
      </c>
      <c r="Q110" s="42"/>
      <c r="R110">
        <v>0.206427198095645</v>
      </c>
      <c r="S110">
        <v>5.8595538193914609E-3</v>
      </c>
      <c r="T110" s="42"/>
      <c r="U110" s="42"/>
    </row>
    <row r="111" spans="1:21" x14ac:dyDescent="0.25">
      <c r="A111" s="40">
        <f t="shared" si="15"/>
        <v>64.229676878151835</v>
      </c>
      <c r="B111" s="40">
        <f t="shared" si="15"/>
        <v>32.933286051621081</v>
      </c>
      <c r="C111" s="41">
        <f t="shared" si="10"/>
        <v>0.49289226185293716</v>
      </c>
      <c r="D111" s="41">
        <f t="shared" si="11"/>
        <v>0.98069361229543572</v>
      </c>
      <c r="E111" s="39">
        <f>IF(_xlfn.NORM.INV(R111,C111,'Regressão Grupo 2'!$B$7)&lt;=0,0,IF(_xlfn.NORM.INV(R111,C111,'Regressão Grupo 2'!$B$7)&gt;100%,100%,_xlfn.NORM.INV(R111,C111,'Regressão Grupo 2'!$B$7)))</f>
        <v>0.46173802858701718</v>
      </c>
      <c r="F111" s="39">
        <f>IF(_xlfn.NORM.INV(S111,D111,'Regressão Grupo 2'!$B$7)&lt;=0,0,IF(_xlfn.NORM.INV(S111,D111,'Regressão Grupo 2'!$B$7)&gt;100%,100%,_xlfn.NORM.INV(S111,D111,'Regressão Grupo 2'!$B$7)))</f>
        <v>0.93459642035112644</v>
      </c>
      <c r="G111" s="41">
        <v>2.537184129787767E-2</v>
      </c>
      <c r="H111" s="41">
        <v>1.7015006692544819E-2</v>
      </c>
      <c r="I111" s="40">
        <f t="shared" si="12"/>
        <v>234.20122271215149</v>
      </c>
      <c r="J111" s="40">
        <f t="shared" si="12"/>
        <v>0</v>
      </c>
      <c r="K111" s="36">
        <v>0.44650616497728912</v>
      </c>
      <c r="L111" s="42">
        <f t="shared" si="18"/>
        <v>19991.322604477216</v>
      </c>
      <c r="M111" s="42">
        <f t="shared" si="18"/>
        <v>0</v>
      </c>
      <c r="N111" s="42">
        <f t="shared" si="13"/>
        <v>8926.248788948913</v>
      </c>
      <c r="O111" s="36">
        <v>5.1843820443828923</v>
      </c>
      <c r="P111" s="42">
        <f t="shared" si="14"/>
        <v>4902.2314565192537</v>
      </c>
      <c r="Q111" s="42"/>
      <c r="R111">
        <v>0.41087069307535018</v>
      </c>
      <c r="S111">
        <v>0.369426557206946</v>
      </c>
      <c r="T111" s="42"/>
      <c r="U111" s="42"/>
    </row>
    <row r="112" spans="1:21" x14ac:dyDescent="0.25">
      <c r="A112" s="40">
        <f t="shared" si="15"/>
        <v>64.229676878151835</v>
      </c>
      <c r="B112" s="40">
        <f t="shared" si="15"/>
        <v>32.933286051621081</v>
      </c>
      <c r="C112" s="41">
        <f t="shared" si="10"/>
        <v>0.49289226185293716</v>
      </c>
      <c r="D112" s="41">
        <f t="shared" si="11"/>
        <v>0.98069361229543572</v>
      </c>
      <c r="E112" s="39">
        <f>IF(_xlfn.NORM.INV(R112,C112,'Regressão Grupo 2'!$B$7)&lt;=0,0,IF(_xlfn.NORM.INV(R112,C112,'Regressão Grupo 2'!$B$7)&gt;100%,100%,_xlfn.NORM.INV(R112,C112,'Regressão Grupo 2'!$B$7)))</f>
        <v>0.57457500873345313</v>
      </c>
      <c r="F112" s="39">
        <f>IF(_xlfn.NORM.INV(S112,D112,'Regressão Grupo 2'!$B$7)&lt;=0,0,IF(_xlfn.NORM.INV(S112,D112,'Regressão Grupo 2'!$B$7)&gt;100%,100%,_xlfn.NORM.INV(S112,D112,'Regressão Grupo 2'!$B$7)))</f>
        <v>0.87759013130230523</v>
      </c>
      <c r="G112" s="41">
        <v>2.0828347658848684E-2</v>
      </c>
      <c r="H112" s="41">
        <v>1.6796767833279134E-2</v>
      </c>
      <c r="I112" s="40">
        <f t="shared" si="12"/>
        <v>239.24511447970366</v>
      </c>
      <c r="J112" s="40">
        <f t="shared" si="12"/>
        <v>0</v>
      </c>
      <c r="K112" s="36">
        <v>0.16786382183390358</v>
      </c>
      <c r="L112" s="42">
        <f t="shared" si="18"/>
        <v>19991.322604477216</v>
      </c>
      <c r="M112" s="42">
        <f t="shared" si="18"/>
        <v>0</v>
      </c>
      <c r="N112" s="42">
        <f t="shared" si="13"/>
        <v>3355.8198159020526</v>
      </c>
      <c r="O112" s="36">
        <v>4.7277720154174609</v>
      </c>
      <c r="P112" s="42">
        <f t="shared" si="14"/>
        <v>10879.720224743269</v>
      </c>
      <c r="Q112" s="42"/>
      <c r="R112">
        <v>0.72264778588213752</v>
      </c>
      <c r="S112">
        <v>0.22794274727622302</v>
      </c>
      <c r="T112" s="42"/>
      <c r="U112" s="42"/>
    </row>
    <row r="113" spans="1:21" x14ac:dyDescent="0.25">
      <c r="A113" s="40">
        <f t="shared" si="15"/>
        <v>64.229676878151835</v>
      </c>
      <c r="B113" s="40">
        <f t="shared" si="15"/>
        <v>32.933286051621081</v>
      </c>
      <c r="C113" s="41">
        <f t="shared" si="10"/>
        <v>0.49289226185293716</v>
      </c>
      <c r="D113" s="41">
        <f t="shared" si="11"/>
        <v>0.98069361229543572</v>
      </c>
      <c r="E113" s="39">
        <f>IF(_xlfn.NORM.INV(R113,C113,'Regressão Grupo 2'!$B$7)&lt;=0,0,IF(_xlfn.NORM.INV(R113,C113,'Regressão Grupo 2'!$B$7)&gt;100%,100%,_xlfn.NORM.INV(R113,C113,'Regressão Grupo 2'!$B$7)))</f>
        <v>0.59175580449225906</v>
      </c>
      <c r="F113" s="39">
        <f>IF(_xlfn.NORM.INV(S113,D113,'Regressão Grupo 2'!$B$7)&lt;=0,0,IF(_xlfn.NORM.INV(S113,D113,'Regressão Grupo 2'!$B$7)&gt;100%,100%,_xlfn.NORM.INV(S113,D113,'Regressão Grupo 2'!$B$7)))</f>
        <v>0.89580234131021186</v>
      </c>
      <c r="G113" s="41">
        <v>2.6350216054125599E-2</v>
      </c>
      <c r="H113" s="41">
        <v>2.381583748864918E-2</v>
      </c>
      <c r="I113" s="40">
        <f t="shared" si="12"/>
        <v>311.72256029057303</v>
      </c>
      <c r="J113" s="40">
        <f t="shared" si="12"/>
        <v>0</v>
      </c>
      <c r="K113" s="36">
        <v>0.39478417099060947</v>
      </c>
      <c r="L113" s="42">
        <f t="shared" si="18"/>
        <v>19991.322604477216</v>
      </c>
      <c r="M113" s="42">
        <f t="shared" si="18"/>
        <v>0</v>
      </c>
      <c r="N113" s="42">
        <f t="shared" si="13"/>
        <v>7892.2577214143694</v>
      </c>
      <c r="O113" s="36">
        <v>6.76909062786057</v>
      </c>
      <c r="P113" s="42">
        <f t="shared" si="14"/>
        <v>10019.503340323723</v>
      </c>
      <c r="Q113" s="42"/>
      <c r="R113">
        <v>0.76268807031464581</v>
      </c>
      <c r="S113">
        <v>0.26963103122043519</v>
      </c>
      <c r="T113" s="42"/>
      <c r="U113" s="42"/>
    </row>
    <row r="114" spans="1:21" x14ac:dyDescent="0.25">
      <c r="A114" s="40">
        <f t="shared" si="15"/>
        <v>64.229676878151835</v>
      </c>
      <c r="B114" s="40">
        <f t="shared" si="15"/>
        <v>32.933286051621081</v>
      </c>
      <c r="C114" s="41">
        <f t="shared" si="10"/>
        <v>0.49289226185293716</v>
      </c>
      <c r="D114" s="41">
        <f t="shared" si="11"/>
        <v>0.98069361229543572</v>
      </c>
      <c r="E114" s="39">
        <f>IF(_xlfn.NORM.INV(R114,C114,'Regressão Grupo 2'!$B$7)&lt;=0,0,IF(_xlfn.NORM.INV(R114,C114,'Regressão Grupo 2'!$B$7)&gt;100%,100%,_xlfn.NORM.INV(R114,C114,'Regressão Grupo 2'!$B$7)))</f>
        <v>0.33434128462303447</v>
      </c>
      <c r="F114" s="39">
        <f>IF(_xlfn.NORM.INV(S114,D114,'Regressão Grupo 2'!$B$7)&lt;=0,0,IF(_xlfn.NORM.INV(S114,D114,'Regressão Grupo 2'!$B$7)&gt;100%,100%,_xlfn.NORM.INV(S114,D114,'Regressão Grupo 2'!$B$7)))</f>
        <v>1</v>
      </c>
      <c r="G114" s="41">
        <v>1.4434059971776108E-2</v>
      </c>
      <c r="H114" s="41">
        <v>2.3269680580560372E-2</v>
      </c>
      <c r="I114" s="40">
        <f t="shared" si="12"/>
        <v>96.476166804052554</v>
      </c>
      <c r="J114" s="40">
        <f t="shared" si="12"/>
        <v>0</v>
      </c>
      <c r="K114" s="36">
        <v>0.24366213559634134</v>
      </c>
      <c r="L114" s="42">
        <f t="shared" si="18"/>
        <v>19991.322604477216</v>
      </c>
      <c r="M114" s="42">
        <f t="shared" si="18"/>
        <v>0</v>
      </c>
      <c r="N114" s="42">
        <f t="shared" si="13"/>
        <v>4871.128359202331</v>
      </c>
      <c r="O114" s="36">
        <v>5.9290168629698936</v>
      </c>
      <c r="P114" s="42">
        <f t="shared" si="14"/>
        <v>753.49584120871896</v>
      </c>
      <c r="Q114" s="42"/>
      <c r="R114">
        <v>0.12576677755058444</v>
      </c>
      <c r="S114">
        <v>0.79500717184972691</v>
      </c>
      <c r="T114" s="42"/>
      <c r="U114" s="42"/>
    </row>
    <row r="115" spans="1:21" x14ac:dyDescent="0.25">
      <c r="A115" s="40">
        <f t="shared" si="15"/>
        <v>64.229676878151835</v>
      </c>
      <c r="B115" s="40">
        <f t="shared" si="15"/>
        <v>32.933286051621081</v>
      </c>
      <c r="C115" s="41">
        <f t="shared" si="10"/>
        <v>0.49289226185293716</v>
      </c>
      <c r="D115" s="41">
        <f t="shared" si="11"/>
        <v>0.98069361229543572</v>
      </c>
      <c r="E115" s="39">
        <f>IF(_xlfn.NORM.INV(R115,C115,'Regressão Grupo 2'!$B$7)&lt;=0,0,IF(_xlfn.NORM.INV(R115,C115,'Regressão Grupo 2'!$B$7)&gt;100%,100%,_xlfn.NORM.INV(R115,C115,'Regressão Grupo 2'!$B$7)))</f>
        <v>0.48196984828454192</v>
      </c>
      <c r="F115" s="39">
        <f>IF(_xlfn.NORM.INV(S115,D115,'Regressão Grupo 2'!$B$7)&lt;=0,0,IF(_xlfn.NORM.INV(S115,D115,'Regressão Grupo 2'!$B$7)&gt;100%,100%,_xlfn.NORM.INV(S115,D115,'Regressão Grupo 2'!$B$7)))</f>
        <v>1</v>
      </c>
      <c r="G115" s="41">
        <v>4.7805739280076236E-3</v>
      </c>
      <c r="H115" s="41">
        <v>1.4803941451225159E-2</v>
      </c>
      <c r="I115" s="40">
        <f t="shared" si="12"/>
        <v>46.061856294033717</v>
      </c>
      <c r="J115" s="40">
        <f t="shared" si="12"/>
        <v>0</v>
      </c>
      <c r="K115" s="36">
        <v>0.37365611555062767</v>
      </c>
      <c r="L115" s="42">
        <f t="shared" si="18"/>
        <v>19991.322604477216</v>
      </c>
      <c r="M115" s="42">
        <f t="shared" si="18"/>
        <v>0</v>
      </c>
      <c r="N115" s="42">
        <f t="shared" si="13"/>
        <v>7469.8799491084137</v>
      </c>
      <c r="O115" s="36">
        <v>4.9849409395633906</v>
      </c>
      <c r="P115" s="42">
        <f t="shared" si="14"/>
        <v>-4740.957436127178</v>
      </c>
      <c r="Q115" s="42"/>
      <c r="R115">
        <v>0.4685201574755089</v>
      </c>
      <c r="S115">
        <v>0.72215948973052158</v>
      </c>
      <c r="T115" s="42"/>
      <c r="U115" s="42"/>
    </row>
    <row r="116" spans="1:21" x14ac:dyDescent="0.25">
      <c r="A116" s="40">
        <f t="shared" si="15"/>
        <v>64.229676878151835</v>
      </c>
      <c r="B116" s="40">
        <f t="shared" si="15"/>
        <v>32.933286051621081</v>
      </c>
      <c r="C116" s="41">
        <f t="shared" si="10"/>
        <v>0.49289226185293716</v>
      </c>
      <c r="D116" s="41">
        <f t="shared" si="11"/>
        <v>0.98069361229543572</v>
      </c>
      <c r="E116" s="39">
        <f>IF(_xlfn.NORM.INV(R116,C116,'Regressão Grupo 2'!$B$7)&lt;=0,0,IF(_xlfn.NORM.INV(R116,C116,'Regressão Grupo 2'!$B$7)&gt;100%,100%,_xlfn.NORM.INV(R116,C116,'Regressão Grupo 2'!$B$7)))</f>
        <v>0.55954602695699707</v>
      </c>
      <c r="F116" s="39">
        <f>IF(_xlfn.NORM.INV(S116,D116,'Regressão Grupo 2'!$B$7)&lt;=0,0,IF(_xlfn.NORM.INV(S116,D116,'Regressão Grupo 2'!$B$7)&gt;100%,100%,_xlfn.NORM.INV(S116,D116,'Regressão Grupo 2'!$B$7)))</f>
        <v>0.97571565263119975</v>
      </c>
      <c r="G116" s="41">
        <v>1.9921299645586487E-2</v>
      </c>
      <c r="H116" s="41">
        <v>1.8078309462915963E-2</v>
      </c>
      <c r="I116" s="40">
        <f t="shared" si="12"/>
        <v>222.84095544824601</v>
      </c>
      <c r="J116" s="40">
        <f t="shared" si="12"/>
        <v>0</v>
      </c>
      <c r="K116" s="36">
        <v>0.34796231227598745</v>
      </c>
      <c r="L116" s="42">
        <f t="shared" si="18"/>
        <v>19991.322604477216</v>
      </c>
      <c r="M116" s="42">
        <f t="shared" si="18"/>
        <v>0</v>
      </c>
      <c r="N116" s="42">
        <f t="shared" si="13"/>
        <v>6956.2268389091078</v>
      </c>
      <c r="O116" s="36">
        <v>4.4703396616533695</v>
      </c>
      <c r="P116" s="42">
        <f t="shared" si="14"/>
        <v>6360.6009633693357</v>
      </c>
      <c r="Q116" s="42"/>
      <c r="R116">
        <v>0.68511001922666093</v>
      </c>
      <c r="S116">
        <v>0.48564104129154334</v>
      </c>
      <c r="T116" s="42"/>
      <c r="U116" s="42"/>
    </row>
    <row r="117" spans="1:21" x14ac:dyDescent="0.25">
      <c r="A117" s="40">
        <f t="shared" si="15"/>
        <v>64.229676878151835</v>
      </c>
      <c r="B117" s="40">
        <f t="shared" si="15"/>
        <v>32.933286051621081</v>
      </c>
      <c r="C117" s="41">
        <f t="shared" si="10"/>
        <v>0.49289226185293716</v>
      </c>
      <c r="D117" s="41">
        <f t="shared" si="11"/>
        <v>0.98069361229543572</v>
      </c>
      <c r="E117" s="39">
        <f>IF(_xlfn.NORM.INV(R117,C117,'Regressão Grupo 2'!$B$7)&lt;=0,0,IF(_xlfn.NORM.INV(R117,C117,'Regressão Grupo 2'!$B$7)&gt;100%,100%,_xlfn.NORM.INV(R117,C117,'Regressão Grupo 2'!$B$7)))</f>
        <v>0.70047064148715621</v>
      </c>
      <c r="F117" s="39">
        <f>IF(_xlfn.NORM.INV(S117,D117,'Regressão Grupo 2'!$B$7)&lt;=0,0,IF(_xlfn.NORM.INV(S117,D117,'Regressão Grupo 2'!$B$7)&gt;100%,100%,_xlfn.NORM.INV(S117,D117,'Regressão Grupo 2'!$B$7)))</f>
        <v>1</v>
      </c>
      <c r="G117" s="41">
        <v>8.6923512148692639E-3</v>
      </c>
      <c r="H117" s="41">
        <v>1.6839245960134926E-2</v>
      </c>
      <c r="I117" s="40">
        <f t="shared" si="12"/>
        <v>121.72190225250154</v>
      </c>
      <c r="J117" s="40">
        <f t="shared" si="12"/>
        <v>0</v>
      </c>
      <c r="K117" s="36">
        <v>0.25896060400358045</v>
      </c>
      <c r="L117" s="42">
        <f t="shared" si="18"/>
        <v>19991.322604477216</v>
      </c>
      <c r="M117" s="42">
        <f t="shared" si="18"/>
        <v>0</v>
      </c>
      <c r="N117" s="42">
        <f t="shared" si="13"/>
        <v>5176.9649764858514</v>
      </c>
      <c r="O117" s="36">
        <v>5.2458215222398206</v>
      </c>
      <c r="P117" s="42">
        <f t="shared" si="14"/>
        <v>2002.66209962216</v>
      </c>
      <c r="Q117" s="42"/>
      <c r="R117">
        <v>0.93334757530442214</v>
      </c>
      <c r="S117">
        <v>0.79006317331461529</v>
      </c>
      <c r="T117" s="42"/>
      <c r="U117" s="42"/>
    </row>
    <row r="118" spans="1:21" x14ac:dyDescent="0.25">
      <c r="A118" s="40">
        <f t="shared" si="15"/>
        <v>64.229676878151835</v>
      </c>
      <c r="B118" s="40">
        <f t="shared" si="15"/>
        <v>32.933286051621081</v>
      </c>
      <c r="C118" s="41">
        <f t="shared" si="10"/>
        <v>0.49289226185293716</v>
      </c>
      <c r="D118" s="41">
        <f t="shared" si="11"/>
        <v>0.98069361229543572</v>
      </c>
      <c r="E118" s="39">
        <f>IF(_xlfn.NORM.INV(R118,C118,'Regressão Grupo 2'!$B$7)&lt;=0,0,IF(_xlfn.NORM.INV(R118,C118,'Regressão Grupo 2'!$B$7)&gt;100%,100%,_xlfn.NORM.INV(R118,C118,'Regressão Grupo 2'!$B$7)))</f>
        <v>0.65381393917983488</v>
      </c>
      <c r="F118" s="39">
        <f>IF(_xlfn.NORM.INV(S118,D118,'Regressão Grupo 2'!$B$7)&lt;=0,0,IF(_xlfn.NORM.INV(S118,D118,'Regressão Grupo 2'!$B$7)&gt;100%,100%,_xlfn.NORM.INV(S118,D118,'Regressão Grupo 2'!$B$7)))</f>
        <v>0.93447339680718577</v>
      </c>
      <c r="G118" s="41">
        <v>2.0074537730472741E-2</v>
      </c>
      <c r="H118" s="41">
        <v>1.903947534062685E-2</v>
      </c>
      <c r="I118" s="40">
        <f t="shared" si="12"/>
        <v>262.38636089000045</v>
      </c>
      <c r="J118" s="40">
        <f t="shared" si="12"/>
        <v>0</v>
      </c>
      <c r="K118" s="36">
        <v>0.1839663747970437</v>
      </c>
      <c r="L118" s="42">
        <f t="shared" si="18"/>
        <v>19991.322604477216</v>
      </c>
      <c r="M118" s="42">
        <f t="shared" si="18"/>
        <v>0</v>
      </c>
      <c r="N118" s="42">
        <f t="shared" si="13"/>
        <v>3677.7311469438673</v>
      </c>
      <c r="O118" s="36">
        <v>9.514609433296874</v>
      </c>
      <c r="P118" s="42">
        <f t="shared" si="14"/>
        <v>10678.756285762563</v>
      </c>
      <c r="Q118" s="42"/>
      <c r="R118">
        <v>0.87774285103915528</v>
      </c>
      <c r="S118">
        <v>0.36909085360271005</v>
      </c>
      <c r="T118" s="42"/>
      <c r="U118" s="42"/>
    </row>
    <row r="119" spans="1:21" x14ac:dyDescent="0.25">
      <c r="A119" s="40">
        <f t="shared" si="15"/>
        <v>64.229676878151835</v>
      </c>
      <c r="B119" s="40">
        <f t="shared" si="15"/>
        <v>32.933286051621081</v>
      </c>
      <c r="C119" s="41">
        <f t="shared" si="10"/>
        <v>0.49289226185293716</v>
      </c>
      <c r="D119" s="41">
        <f t="shared" si="11"/>
        <v>0.98069361229543572</v>
      </c>
      <c r="E119" s="39">
        <f>IF(_xlfn.NORM.INV(R119,C119,'Regressão Grupo 2'!$B$7)&lt;=0,0,IF(_xlfn.NORM.INV(R119,C119,'Regressão Grupo 2'!$B$7)&gt;100%,100%,_xlfn.NORM.INV(R119,C119,'Regressão Grupo 2'!$B$7)))</f>
        <v>0.71745301505833836</v>
      </c>
      <c r="F119" s="39">
        <f>IF(_xlfn.NORM.INV(S119,D119,'Regressão Grupo 2'!$B$7)&lt;=0,0,IF(_xlfn.NORM.INV(S119,D119,'Regressão Grupo 2'!$B$7)&gt;100%,100%,_xlfn.NORM.INV(S119,D119,'Regressão Grupo 2'!$B$7)))</f>
        <v>1</v>
      </c>
      <c r="G119" s="41">
        <v>2.0144935026513648E-2</v>
      </c>
      <c r="H119" s="41">
        <v>1.3364448253318619E-2</v>
      </c>
      <c r="I119" s="40">
        <f t="shared" si="12"/>
        <v>288.93547267599865</v>
      </c>
      <c r="J119" s="40">
        <f t="shared" si="12"/>
        <v>0</v>
      </c>
      <c r="K119" s="36">
        <v>0.20320186640212395</v>
      </c>
      <c r="L119" s="42">
        <f t="shared" ref="L119:M134" si="19">L118</f>
        <v>19991.322604477216</v>
      </c>
      <c r="M119" s="42">
        <f t="shared" si="19"/>
        <v>0</v>
      </c>
      <c r="N119" s="42">
        <f t="shared" si="13"/>
        <v>4062.27406507674</v>
      </c>
      <c r="O119" s="36">
        <v>9.6233878050474591</v>
      </c>
      <c r="P119" s="42">
        <f t="shared" si="14"/>
        <v>11715.419879342891</v>
      </c>
      <c r="Q119" s="42"/>
      <c r="R119">
        <v>0.94781334879604484</v>
      </c>
      <c r="S119">
        <v>0.60557878353221228</v>
      </c>
      <c r="T119" s="42"/>
      <c r="U119" s="42"/>
    </row>
    <row r="120" spans="1:21" x14ac:dyDescent="0.25">
      <c r="A120" s="40">
        <f t="shared" si="15"/>
        <v>64.229676878151835</v>
      </c>
      <c r="B120" s="40">
        <f t="shared" si="15"/>
        <v>32.933286051621081</v>
      </c>
      <c r="C120" s="41">
        <f t="shared" si="10"/>
        <v>0.49289226185293716</v>
      </c>
      <c r="D120" s="41">
        <f t="shared" si="11"/>
        <v>0.98069361229543572</v>
      </c>
      <c r="E120" s="39">
        <f>IF(_xlfn.NORM.INV(R120,C120,'Regressão Grupo 2'!$B$7)&lt;=0,0,IF(_xlfn.NORM.INV(R120,C120,'Regressão Grupo 2'!$B$7)&gt;100%,100%,_xlfn.NORM.INV(R120,C120,'Regressão Grupo 2'!$B$7)))</f>
        <v>0.41794060927797255</v>
      </c>
      <c r="F120" s="39">
        <f>IF(_xlfn.NORM.INV(S120,D120,'Regressão Grupo 2'!$B$7)&lt;=0,0,IF(_xlfn.NORM.INV(S120,D120,'Regressão Grupo 2'!$B$7)&gt;100%,100%,_xlfn.NORM.INV(S120,D120,'Regressão Grupo 2'!$B$7)))</f>
        <v>0.87114992004194025</v>
      </c>
      <c r="G120" s="41">
        <v>1.2204106094836921E-2</v>
      </c>
      <c r="H120" s="41">
        <v>9.8227886273860362E-3</v>
      </c>
      <c r="I120" s="40">
        <f t="shared" si="12"/>
        <v>101.96757088921677</v>
      </c>
      <c r="J120" s="40">
        <f t="shared" si="12"/>
        <v>0</v>
      </c>
      <c r="K120" s="36">
        <v>0.32718428988963499</v>
      </c>
      <c r="L120" s="42">
        <f t="shared" si="19"/>
        <v>19991.322604477216</v>
      </c>
      <c r="M120" s="42">
        <f t="shared" si="19"/>
        <v>0</v>
      </c>
      <c r="N120" s="42">
        <f t="shared" si="13"/>
        <v>6540.8466903004864</v>
      </c>
      <c r="O120" s="36">
        <v>5.5277121298242289</v>
      </c>
      <c r="P120" s="42">
        <f t="shared" si="14"/>
        <v>-555.14993848908671</v>
      </c>
      <c r="Q120" s="42"/>
      <c r="R120">
        <v>0.29389324625385294</v>
      </c>
      <c r="S120">
        <v>0.21411786248359629</v>
      </c>
      <c r="T120" s="42"/>
      <c r="U120" s="42"/>
    </row>
    <row r="121" spans="1:21" x14ac:dyDescent="0.25">
      <c r="A121" s="40">
        <f t="shared" si="15"/>
        <v>64.229676878151835</v>
      </c>
      <c r="B121" s="40">
        <f t="shared" si="15"/>
        <v>32.933286051621081</v>
      </c>
      <c r="C121" s="41">
        <f t="shared" si="10"/>
        <v>0.49289226185293716</v>
      </c>
      <c r="D121" s="41">
        <f t="shared" si="11"/>
        <v>0.98069361229543572</v>
      </c>
      <c r="E121" s="39">
        <f>IF(_xlfn.NORM.INV(R121,C121,'Regressão Grupo 2'!$B$7)&lt;=0,0,IF(_xlfn.NORM.INV(R121,C121,'Regressão Grupo 2'!$B$7)&gt;100%,100%,_xlfn.NORM.INV(R121,C121,'Regressão Grupo 2'!$B$7)))</f>
        <v>0.30497261430081679</v>
      </c>
      <c r="F121" s="39">
        <f>IF(_xlfn.NORM.INV(S121,D121,'Regressão Grupo 2'!$B$7)&lt;=0,0,IF(_xlfn.NORM.INV(S121,D121,'Regressão Grupo 2'!$B$7)&gt;100%,100%,_xlfn.NORM.INV(S121,D121,'Regressão Grupo 2'!$B$7)))</f>
        <v>0.90786499314819391</v>
      </c>
      <c r="G121" s="41">
        <v>5.8252792160501882E-3</v>
      </c>
      <c r="H121" s="41">
        <v>1.7192644216407711E-2</v>
      </c>
      <c r="I121" s="40">
        <f t="shared" si="12"/>
        <v>35.515596798524548</v>
      </c>
      <c r="J121" s="40">
        <f t="shared" si="12"/>
        <v>0</v>
      </c>
      <c r="K121" s="36">
        <v>0.31653163565193931</v>
      </c>
      <c r="L121" s="42">
        <f t="shared" si="19"/>
        <v>19991.322604477216</v>
      </c>
      <c r="M121" s="42">
        <f t="shared" si="19"/>
        <v>0</v>
      </c>
      <c r="N121" s="42">
        <f t="shared" si="13"/>
        <v>6327.8860428407606</v>
      </c>
      <c r="O121" s="36">
        <v>5.1601278860723561</v>
      </c>
      <c r="P121" s="42">
        <f t="shared" si="14"/>
        <v>-4229.995757767374</v>
      </c>
      <c r="Q121" s="42"/>
      <c r="R121">
        <v>8.7069307535019985E-2</v>
      </c>
      <c r="S121">
        <v>0.29920346690267646</v>
      </c>
      <c r="T121" s="42"/>
      <c r="U121" s="42"/>
    </row>
    <row r="122" spans="1:21" x14ac:dyDescent="0.25">
      <c r="A122" s="40">
        <f t="shared" si="15"/>
        <v>64.229676878151835</v>
      </c>
      <c r="B122" s="40">
        <f t="shared" si="15"/>
        <v>32.933286051621081</v>
      </c>
      <c r="C122" s="41">
        <f t="shared" si="10"/>
        <v>0.49289226185293716</v>
      </c>
      <c r="D122" s="41">
        <f t="shared" si="11"/>
        <v>0.98069361229543572</v>
      </c>
      <c r="E122" s="39">
        <f>IF(_xlfn.NORM.INV(R122,C122,'Regressão Grupo 2'!$B$7)&lt;=0,0,IF(_xlfn.NORM.INV(R122,C122,'Regressão Grupo 2'!$B$7)&gt;100%,100%,_xlfn.NORM.INV(R122,C122,'Regressão Grupo 2'!$B$7)))</f>
        <v>0.48392123339205417</v>
      </c>
      <c r="F122" s="39">
        <f>IF(_xlfn.NORM.INV(S122,D122,'Regressão Grupo 2'!$B$7)&lt;=0,0,IF(_xlfn.NORM.INV(S122,D122,'Regressão Grupo 2'!$B$7)&gt;100%,100%,_xlfn.NORM.INV(S122,D122,'Regressão Grupo 2'!$B$7)))</f>
        <v>0.80570719285584336</v>
      </c>
      <c r="G122" s="41">
        <v>1.2118395983053507E-2</v>
      </c>
      <c r="H122" s="41">
        <v>2.9249228834110083E-3</v>
      </c>
      <c r="I122" s="40">
        <f t="shared" si="12"/>
        <v>117.23609534015925</v>
      </c>
      <c r="J122" s="40">
        <f t="shared" si="12"/>
        <v>0</v>
      </c>
      <c r="K122" s="36">
        <v>0.30780232774316107</v>
      </c>
      <c r="L122" s="42">
        <f t="shared" si="19"/>
        <v>19991.322604477216</v>
      </c>
      <c r="M122" s="42">
        <f t="shared" si="19"/>
        <v>0</v>
      </c>
      <c r="N122" s="42">
        <f t="shared" si="13"/>
        <v>6153.3756323225607</v>
      </c>
      <c r="O122" s="36">
        <v>7.4872532228703594</v>
      </c>
      <c r="P122" s="42">
        <f t="shared" si="14"/>
        <v>498.88455715972577</v>
      </c>
      <c r="Q122" s="42"/>
      <c r="R122">
        <v>0.47413556321909239</v>
      </c>
      <c r="S122">
        <v>0.10284737693411054</v>
      </c>
      <c r="T122" s="42"/>
      <c r="U122" s="42"/>
    </row>
    <row r="123" spans="1:21" x14ac:dyDescent="0.25">
      <c r="A123" s="40">
        <f t="shared" si="15"/>
        <v>64.229676878151835</v>
      </c>
      <c r="B123" s="40">
        <f t="shared" si="15"/>
        <v>32.933286051621081</v>
      </c>
      <c r="C123" s="41">
        <f t="shared" si="10"/>
        <v>0.49289226185293716</v>
      </c>
      <c r="D123" s="41">
        <f t="shared" si="11"/>
        <v>0.98069361229543572</v>
      </c>
      <c r="E123" s="39">
        <f>IF(_xlfn.NORM.INV(R123,C123,'Regressão Grupo 2'!$B$7)&lt;=0,0,IF(_xlfn.NORM.INV(R123,C123,'Regressão Grupo 2'!$B$7)&gt;100%,100%,_xlfn.NORM.INV(R123,C123,'Regressão Grupo 2'!$B$7)))</f>
        <v>0.49083479155161874</v>
      </c>
      <c r="F123" s="39">
        <f>IF(_xlfn.NORM.INV(S123,D123,'Regressão Grupo 2'!$B$7)&lt;=0,0,IF(_xlfn.NORM.INV(S123,D123,'Regressão Grupo 2'!$B$7)&gt;100%,100%,_xlfn.NORM.INV(S123,D123,'Regressão Grupo 2'!$B$7)))</f>
        <v>1</v>
      </c>
      <c r="G123" s="41">
        <v>1.5789010056791269E-2</v>
      </c>
      <c r="H123" s="41">
        <v>1.2913660448188657E-2</v>
      </c>
      <c r="I123" s="40">
        <f t="shared" si="12"/>
        <v>154.92866116020372</v>
      </c>
      <c r="J123" s="40">
        <f t="shared" si="12"/>
        <v>0</v>
      </c>
      <c r="K123" s="36">
        <v>0.30350096740184263</v>
      </c>
      <c r="L123" s="42">
        <f t="shared" si="19"/>
        <v>19991.322604477216</v>
      </c>
      <c r="M123" s="42">
        <f t="shared" si="19"/>
        <v>0</v>
      </c>
      <c r="N123" s="42">
        <f t="shared" si="13"/>
        <v>6067.3857501011589</v>
      </c>
      <c r="O123" s="36">
        <v>5.034539694883847</v>
      </c>
      <c r="P123" s="42">
        <f t="shared" si="14"/>
        <v>3103.6376008971438</v>
      </c>
      <c r="Q123" s="42"/>
      <c r="R123">
        <v>0.49406414990691855</v>
      </c>
      <c r="S123">
        <v>0.77492599261452066</v>
      </c>
      <c r="T123" s="42"/>
      <c r="U123" s="42"/>
    </row>
    <row r="124" spans="1:21" x14ac:dyDescent="0.25">
      <c r="A124" s="40">
        <f t="shared" si="15"/>
        <v>64.229676878151835</v>
      </c>
      <c r="B124" s="40">
        <f t="shared" si="15"/>
        <v>32.933286051621081</v>
      </c>
      <c r="C124" s="41">
        <f t="shared" si="10"/>
        <v>0.49289226185293716</v>
      </c>
      <c r="D124" s="41">
        <f t="shared" si="11"/>
        <v>0.98069361229543572</v>
      </c>
      <c r="E124" s="39">
        <f>IF(_xlfn.NORM.INV(R124,C124,'Regressão Grupo 2'!$B$7)&lt;=0,0,IF(_xlfn.NORM.INV(R124,C124,'Regressão Grupo 2'!$B$7)&gt;100%,100%,_xlfn.NORM.INV(R124,C124,'Regressão Grupo 2'!$B$7)))</f>
        <v>0.38094323718495804</v>
      </c>
      <c r="F124" s="39">
        <f>IF(_xlfn.NORM.INV(S124,D124,'Regressão Grupo 2'!$B$7)&lt;=0,0,IF(_xlfn.NORM.INV(S124,D124,'Regressão Grupo 2'!$B$7)&gt;100%,100%,_xlfn.NORM.INV(S124,D124,'Regressão Grupo 2'!$B$7)))</f>
        <v>1</v>
      </c>
      <c r="G124" s="41">
        <v>1.6480837618688755E-2</v>
      </c>
      <c r="H124" s="41">
        <v>1.8598253361924038E-2</v>
      </c>
      <c r="I124" s="40">
        <f t="shared" si="12"/>
        <v>125.51079370291021</v>
      </c>
      <c r="J124" s="40">
        <f t="shared" si="12"/>
        <v>0</v>
      </c>
      <c r="K124" s="36">
        <v>0.30906783290887113</v>
      </c>
      <c r="L124" s="42">
        <f t="shared" si="19"/>
        <v>19991.322604477216</v>
      </c>
      <c r="M124" s="42">
        <f t="shared" si="19"/>
        <v>0</v>
      </c>
      <c r="N124" s="42">
        <f t="shared" si="13"/>
        <v>6178.6747543479023</v>
      </c>
      <c r="O124" s="36">
        <v>5.1377798655600992</v>
      </c>
      <c r="P124" s="42">
        <f t="shared" si="14"/>
        <v>1237.9961411131153</v>
      </c>
      <c r="Q124" s="42"/>
      <c r="R124">
        <v>0.20908230842005676</v>
      </c>
      <c r="S124">
        <v>0.65593432416760766</v>
      </c>
      <c r="T124" s="42"/>
      <c r="U124" s="42"/>
    </row>
    <row r="125" spans="1:21" x14ac:dyDescent="0.25">
      <c r="A125" s="40">
        <f t="shared" si="15"/>
        <v>64.229676878151835</v>
      </c>
      <c r="B125" s="40">
        <f t="shared" si="15"/>
        <v>32.933286051621081</v>
      </c>
      <c r="C125" s="41">
        <f t="shared" si="10"/>
        <v>0.49289226185293716</v>
      </c>
      <c r="D125" s="41">
        <f t="shared" si="11"/>
        <v>0.98069361229543572</v>
      </c>
      <c r="E125" s="39">
        <f>IF(_xlfn.NORM.INV(R125,C125,'Regressão Grupo 2'!$B$7)&lt;=0,0,IF(_xlfn.NORM.INV(R125,C125,'Regressão Grupo 2'!$B$7)&gt;100%,100%,_xlfn.NORM.INV(R125,C125,'Regressão Grupo 2'!$B$7)))</f>
        <v>0.62410434213150645</v>
      </c>
      <c r="F125" s="39">
        <f>IF(_xlfn.NORM.INV(S125,D125,'Regressão Grupo 2'!$B$7)&lt;=0,0,IF(_xlfn.NORM.INV(S125,D125,'Regressão Grupo 2'!$B$7)&gt;100%,100%,_xlfn.NORM.INV(S125,D125,'Regressão Grupo 2'!$B$7)))</f>
        <v>1</v>
      </c>
      <c r="G125" s="41">
        <v>2.2971499662808668E-2</v>
      </c>
      <c r="H125" s="41">
        <v>1.1275989394327396E-2</v>
      </c>
      <c r="I125" s="40">
        <f t="shared" si="12"/>
        <v>286.60784923790328</v>
      </c>
      <c r="J125" s="40">
        <f t="shared" si="12"/>
        <v>0</v>
      </c>
      <c r="K125" s="36">
        <v>0.21991215271944714</v>
      </c>
      <c r="L125" s="42">
        <f t="shared" si="19"/>
        <v>19991.322604477216</v>
      </c>
      <c r="M125" s="42">
        <f t="shared" si="19"/>
        <v>0</v>
      </c>
      <c r="N125" s="42">
        <f t="shared" si="13"/>
        <v>4396.3347896595296</v>
      </c>
      <c r="O125" s="36">
        <v>3.435375156642098</v>
      </c>
      <c r="P125" s="42">
        <f t="shared" si="14"/>
        <v>13027.789272662536</v>
      </c>
      <c r="Q125" s="42"/>
      <c r="R125">
        <v>0.82866908780175175</v>
      </c>
      <c r="S125">
        <v>0.98699911496322523</v>
      </c>
      <c r="T125" s="42"/>
      <c r="U125" s="42"/>
    </row>
    <row r="126" spans="1:21" x14ac:dyDescent="0.25">
      <c r="A126" s="40">
        <f t="shared" si="15"/>
        <v>64.229676878151835</v>
      </c>
      <c r="B126" s="40">
        <f t="shared" si="15"/>
        <v>32.933286051621081</v>
      </c>
      <c r="C126" s="41">
        <f t="shared" si="10"/>
        <v>0.49289226185293716</v>
      </c>
      <c r="D126" s="41">
        <f t="shared" si="11"/>
        <v>0.98069361229543572</v>
      </c>
      <c r="E126" s="39">
        <f>IF(_xlfn.NORM.INV(R126,C126,'Regressão Grupo 2'!$B$7)&lt;=0,0,IF(_xlfn.NORM.INV(R126,C126,'Regressão Grupo 2'!$B$7)&gt;100%,100%,_xlfn.NORM.INV(R126,C126,'Regressão Grupo 2'!$B$7)))</f>
        <v>0.43344547633250202</v>
      </c>
      <c r="F126" s="39">
        <f>IF(_xlfn.NORM.INV(S126,D126,'Regressão Grupo 2'!$B$7)&lt;=0,0,IF(_xlfn.NORM.INV(S126,D126,'Regressão Grupo 2'!$B$7)&gt;100%,100%,_xlfn.NORM.INV(S126,D126,'Regressão Grupo 2'!$B$7)))</f>
        <v>1</v>
      </c>
      <c r="G126" s="41">
        <v>2.6318229050248877E-2</v>
      </c>
      <c r="H126" s="41">
        <v>1.9955566639225712E-2</v>
      </c>
      <c r="I126" s="40">
        <f t="shared" si="12"/>
        <v>228.0513589984817</v>
      </c>
      <c r="J126" s="40">
        <f t="shared" si="12"/>
        <v>0</v>
      </c>
      <c r="K126" s="36">
        <v>0.37575549506627837</v>
      </c>
      <c r="L126" s="42">
        <f t="shared" si="19"/>
        <v>19991.322604477216</v>
      </c>
      <c r="M126" s="42">
        <f t="shared" si="19"/>
        <v>0</v>
      </c>
      <c r="N126" s="42">
        <f t="shared" si="13"/>
        <v>7511.8493222750176</v>
      </c>
      <c r="O126" s="36">
        <v>7.8183568459199453</v>
      </c>
      <c r="P126" s="42">
        <f t="shared" si="14"/>
        <v>5352.8288739737409</v>
      </c>
      <c r="Q126" s="42"/>
      <c r="R126">
        <v>0.33362834559160132</v>
      </c>
      <c r="S126">
        <v>0.77544480727561271</v>
      </c>
      <c r="T126" s="42"/>
      <c r="U126" s="42"/>
    </row>
    <row r="127" spans="1:21" x14ac:dyDescent="0.25">
      <c r="A127" s="40">
        <f t="shared" si="15"/>
        <v>64.229676878151835</v>
      </c>
      <c r="B127" s="40">
        <f t="shared" si="15"/>
        <v>32.933286051621081</v>
      </c>
      <c r="C127" s="41">
        <f t="shared" si="10"/>
        <v>0.49289226185293716</v>
      </c>
      <c r="D127" s="41">
        <f t="shared" si="11"/>
        <v>0.98069361229543572</v>
      </c>
      <c r="E127" s="39">
        <f>IF(_xlfn.NORM.INV(R127,C127,'Regressão Grupo 2'!$B$7)&lt;=0,0,IF(_xlfn.NORM.INV(R127,C127,'Regressão Grupo 2'!$B$7)&gt;100%,100%,_xlfn.NORM.INV(R127,C127,'Regressão Grupo 2'!$B$7)))</f>
        <v>0.55160894736379307</v>
      </c>
      <c r="F127" s="39">
        <f>IF(_xlfn.NORM.INV(S127,D127,'Regressão Grupo 2'!$B$7)&lt;=0,0,IF(_xlfn.NORM.INV(S127,D127,'Regressão Grupo 2'!$B$7)&gt;100%,100%,_xlfn.NORM.INV(S127,D127,'Regressão Grupo 2'!$B$7)))</f>
        <v>1</v>
      </c>
      <c r="G127" s="41">
        <v>1.211747667568914E-2</v>
      </c>
      <c r="H127" s="41">
        <v>1.8403936645518985E-2</v>
      </c>
      <c r="I127" s="40">
        <f t="shared" si="12"/>
        <v>133.62417042200562</v>
      </c>
      <c r="J127" s="40">
        <f t="shared" si="12"/>
        <v>0</v>
      </c>
      <c r="K127" s="36">
        <v>0.41193566428609452</v>
      </c>
      <c r="L127" s="42">
        <f t="shared" si="19"/>
        <v>19991.322604477216</v>
      </c>
      <c r="M127" s="42">
        <f t="shared" si="19"/>
        <v>0</v>
      </c>
      <c r="N127" s="42">
        <f t="shared" si="13"/>
        <v>8235.1387570329389</v>
      </c>
      <c r="O127" s="36">
        <v>6.1089956290553751</v>
      </c>
      <c r="P127" s="42">
        <f t="shared" si="14"/>
        <v>-468.81094076060617</v>
      </c>
      <c r="Q127" s="42"/>
      <c r="R127">
        <v>0.66444898831141086</v>
      </c>
      <c r="S127">
        <v>0.87524033326212347</v>
      </c>
      <c r="T127" s="42"/>
      <c r="U127" s="42"/>
    </row>
    <row r="128" spans="1:21" x14ac:dyDescent="0.25">
      <c r="A128" s="40">
        <f t="shared" si="15"/>
        <v>64.229676878151835</v>
      </c>
      <c r="B128" s="40">
        <f t="shared" si="15"/>
        <v>32.933286051621081</v>
      </c>
      <c r="C128" s="41">
        <f t="shared" si="10"/>
        <v>0.49289226185293716</v>
      </c>
      <c r="D128" s="41">
        <f t="shared" si="11"/>
        <v>0.98069361229543572</v>
      </c>
      <c r="E128" s="39">
        <f>IF(_xlfn.NORM.INV(R128,C128,'Regressão Grupo 2'!$B$7)&lt;=0,0,IF(_xlfn.NORM.INV(R128,C128,'Regressão Grupo 2'!$B$7)&gt;100%,100%,_xlfn.NORM.INV(R128,C128,'Regressão Grupo 2'!$B$7)))</f>
        <v>0.50901234259216011</v>
      </c>
      <c r="F128" s="39">
        <f>IF(_xlfn.NORM.INV(S128,D128,'Regressão Grupo 2'!$B$7)&lt;=0,0,IF(_xlfn.NORM.INV(S128,D128,'Regressão Grupo 2'!$B$7)&gt;100%,100%,_xlfn.NORM.INV(S128,D128,'Regressão Grupo 2'!$B$7)))</f>
        <v>0.91268218016029012</v>
      </c>
      <c r="G128" s="41">
        <v>2.6845307271658479E-2</v>
      </c>
      <c r="H128" s="41">
        <v>1.6839812998786726E-2</v>
      </c>
      <c r="I128" s="40">
        <f t="shared" si="12"/>
        <v>273.17328176318495</v>
      </c>
      <c r="J128" s="40">
        <f t="shared" si="12"/>
        <v>0</v>
      </c>
      <c r="K128" s="36">
        <v>0.24121477008435777</v>
      </c>
      <c r="L128" s="42">
        <f t="shared" si="19"/>
        <v>19991.322604477216</v>
      </c>
      <c r="M128" s="42">
        <f t="shared" si="19"/>
        <v>0</v>
      </c>
      <c r="N128" s="42">
        <f t="shared" si="13"/>
        <v>4822.2022857211959</v>
      </c>
      <c r="O128" s="36">
        <v>4.7420674811287915</v>
      </c>
      <c r="P128" s="42">
        <f t="shared" si="14"/>
        <v>11428.223197510068</v>
      </c>
      <c r="Q128" s="42"/>
      <c r="R128">
        <v>0.54640339365825374</v>
      </c>
      <c r="S128">
        <v>0.31141087069307533</v>
      </c>
      <c r="T128" s="42"/>
      <c r="U128" s="42"/>
    </row>
    <row r="129" spans="1:21" x14ac:dyDescent="0.25">
      <c r="A129" s="40">
        <f t="shared" si="15"/>
        <v>64.229676878151835</v>
      </c>
      <c r="B129" s="40">
        <f t="shared" si="15"/>
        <v>32.933286051621081</v>
      </c>
      <c r="C129" s="41">
        <f t="shared" si="10"/>
        <v>0.49289226185293716</v>
      </c>
      <c r="D129" s="41">
        <f t="shared" si="11"/>
        <v>0.98069361229543572</v>
      </c>
      <c r="E129" s="39">
        <f>IF(_xlfn.NORM.INV(R129,C129,'Regressão Grupo 2'!$B$7)&lt;=0,0,IF(_xlfn.NORM.INV(R129,C129,'Regressão Grupo 2'!$B$7)&gt;100%,100%,_xlfn.NORM.INV(R129,C129,'Regressão Grupo 2'!$B$7)))</f>
        <v>0.32610052227846831</v>
      </c>
      <c r="F129" s="39">
        <f>IF(_xlfn.NORM.INV(S129,D129,'Regressão Grupo 2'!$B$7)&lt;=0,0,IF(_xlfn.NORM.INV(S129,D129,'Regressão Grupo 2'!$B$7)&gt;100%,100%,_xlfn.NORM.INV(S129,D129,'Regressão Grupo 2'!$B$7)))</f>
        <v>1</v>
      </c>
      <c r="G129" s="41">
        <v>1.4465646629292603E-2</v>
      </c>
      <c r="H129" s="41">
        <v>1.6007348876316017E-2</v>
      </c>
      <c r="I129" s="40">
        <f t="shared" si="12"/>
        <v>94.304164931431131</v>
      </c>
      <c r="J129" s="40">
        <f t="shared" si="12"/>
        <v>0</v>
      </c>
      <c r="K129" s="36">
        <v>0.40192601552103846</v>
      </c>
      <c r="L129" s="42">
        <f t="shared" si="19"/>
        <v>19991.322604477216</v>
      </c>
      <c r="M129" s="42">
        <f t="shared" si="19"/>
        <v>0</v>
      </c>
      <c r="N129" s="42">
        <f t="shared" si="13"/>
        <v>8035.0326394131971</v>
      </c>
      <c r="O129" s="36">
        <v>5.1263540184689464</v>
      </c>
      <c r="P129" s="42">
        <f t="shared" si="14"/>
        <v>-2461.3431324580379</v>
      </c>
      <c r="Q129" s="42"/>
      <c r="R129">
        <v>0.11386455885494552</v>
      </c>
      <c r="S129">
        <v>0.61464278084658341</v>
      </c>
      <c r="T129" s="42"/>
      <c r="U129" s="42"/>
    </row>
    <row r="130" spans="1:21" x14ac:dyDescent="0.25">
      <c r="A130" s="40">
        <f t="shared" si="15"/>
        <v>64.229676878151835</v>
      </c>
      <c r="B130" s="40">
        <f t="shared" si="15"/>
        <v>32.933286051621081</v>
      </c>
      <c r="C130" s="41">
        <f t="shared" si="10"/>
        <v>0.49289226185293716</v>
      </c>
      <c r="D130" s="41">
        <f t="shared" si="11"/>
        <v>0.98069361229543572</v>
      </c>
      <c r="E130" s="39">
        <f>IF(_xlfn.NORM.INV(R130,C130,'Regressão Grupo 2'!$B$7)&lt;=0,0,IF(_xlfn.NORM.INV(R130,C130,'Regressão Grupo 2'!$B$7)&gt;100%,100%,_xlfn.NORM.INV(R130,C130,'Regressão Grupo 2'!$B$7)))</f>
        <v>0.41463550398229848</v>
      </c>
      <c r="F130" s="39">
        <f>IF(_xlfn.NORM.INV(S130,D130,'Regressão Grupo 2'!$B$7)&lt;=0,0,IF(_xlfn.NORM.INV(S130,D130,'Regressão Grupo 2'!$B$7)&gt;100%,100%,_xlfn.NORM.INV(S130,D130,'Regressão Grupo 2'!$B$7)))</f>
        <v>1</v>
      </c>
      <c r="G130" s="41">
        <v>1.765504107092113E-2</v>
      </c>
      <c r="H130" s="41">
        <v>3.9086265963650217E-3</v>
      </c>
      <c r="I130" s="40">
        <f t="shared" si="12"/>
        <v>146.34461497974638</v>
      </c>
      <c r="J130" s="40">
        <f t="shared" si="12"/>
        <v>0</v>
      </c>
      <c r="K130" s="36">
        <v>0.26706161751105534</v>
      </c>
      <c r="L130" s="42">
        <f t="shared" si="19"/>
        <v>19991.322604477216</v>
      </c>
      <c r="M130" s="42">
        <f t="shared" si="19"/>
        <v>0</v>
      </c>
      <c r="N130" s="42">
        <f t="shared" si="13"/>
        <v>5338.9149509370091</v>
      </c>
      <c r="O130" s="36">
        <v>5.732250992912693</v>
      </c>
      <c r="P130" s="42">
        <f t="shared" si="14"/>
        <v>3221.868317544564</v>
      </c>
      <c r="Q130" s="42"/>
      <c r="R130">
        <v>0.2857142857142857</v>
      </c>
      <c r="S130">
        <v>0.5586413159581286</v>
      </c>
      <c r="T130" s="42"/>
      <c r="U130" s="42"/>
    </row>
    <row r="131" spans="1:21" x14ac:dyDescent="0.25">
      <c r="A131" s="40">
        <f t="shared" si="15"/>
        <v>64.229676878151835</v>
      </c>
      <c r="B131" s="40">
        <f t="shared" si="15"/>
        <v>32.933286051621081</v>
      </c>
      <c r="C131" s="41">
        <f t="shared" si="10"/>
        <v>0.49289226185293716</v>
      </c>
      <c r="D131" s="41">
        <f t="shared" si="11"/>
        <v>0.98069361229543572</v>
      </c>
      <c r="E131" s="39">
        <f>IF(_xlfn.NORM.INV(R131,C131,'Regressão Grupo 2'!$B$7)&lt;=0,0,IF(_xlfn.NORM.INV(R131,C131,'Regressão Grupo 2'!$B$7)&gt;100%,100%,_xlfn.NORM.INV(R131,C131,'Regressão Grupo 2'!$B$7)))</f>
        <v>0.74000880131893187</v>
      </c>
      <c r="F131" s="39">
        <f>IF(_xlfn.NORM.INV(S131,D131,'Regressão Grupo 2'!$B$7)&lt;=0,0,IF(_xlfn.NORM.INV(S131,D131,'Regressão Grupo 2'!$B$7)&gt;100%,100%,_xlfn.NORM.INV(S131,D131,'Regressão Grupo 2'!$B$7)))</f>
        <v>0.92205794768189275</v>
      </c>
      <c r="G131" s="41">
        <v>1.2021422397630396E-2</v>
      </c>
      <c r="H131" s="41">
        <v>1.8935205339457136E-2</v>
      </c>
      <c r="I131" s="40">
        <f t="shared" si="12"/>
        <v>177.84197382297509</v>
      </c>
      <c r="J131" s="40">
        <f t="shared" si="12"/>
        <v>0</v>
      </c>
      <c r="K131" s="36">
        <v>0.38846187654844977</v>
      </c>
      <c r="L131" s="42">
        <f t="shared" si="19"/>
        <v>19991.322604477216</v>
      </c>
      <c r="M131" s="42">
        <f t="shared" si="19"/>
        <v>0</v>
      </c>
      <c r="N131" s="42">
        <f t="shared" si="13"/>
        <v>7765.8666936206619</v>
      </c>
      <c r="O131" s="36">
        <v>4.7352930108326916</v>
      </c>
      <c r="P131" s="42">
        <f t="shared" si="14"/>
        <v>2814.7319647251416</v>
      </c>
      <c r="Q131" s="42"/>
      <c r="R131">
        <v>0.96304208502456745</v>
      </c>
      <c r="S131">
        <v>0.33576464125492111</v>
      </c>
      <c r="T131" s="42"/>
      <c r="U131" s="42"/>
    </row>
    <row r="132" spans="1:21" x14ac:dyDescent="0.25">
      <c r="A132" s="40">
        <f t="shared" si="15"/>
        <v>64.229676878151835</v>
      </c>
      <c r="B132" s="40">
        <f t="shared" si="15"/>
        <v>32.933286051621081</v>
      </c>
      <c r="C132" s="41">
        <f t="shared" si="10"/>
        <v>0.49289226185293716</v>
      </c>
      <c r="D132" s="41">
        <f t="shared" si="11"/>
        <v>0.98069361229543572</v>
      </c>
      <c r="E132" s="39">
        <f>IF(_xlfn.NORM.INV(R132,C132,'Regressão Grupo 2'!$B$7)&lt;=0,0,IF(_xlfn.NORM.INV(R132,C132,'Regressão Grupo 2'!$B$7)&gt;100%,100%,_xlfn.NORM.INV(R132,C132,'Regressão Grupo 2'!$B$7)))</f>
        <v>0.37337557215715972</v>
      </c>
      <c r="F132" s="39">
        <f>IF(_xlfn.NORM.INV(S132,D132,'Regressão Grupo 2'!$B$7)&lt;=0,0,IF(_xlfn.NORM.INV(S132,D132,'Regressão Grupo 2'!$B$7)&gt;100%,100%,_xlfn.NORM.INV(S132,D132,'Regressão Grupo 2'!$B$7)))</f>
        <v>1</v>
      </c>
      <c r="G132" s="41">
        <v>1.6847882204510722E-2</v>
      </c>
      <c r="H132" s="41">
        <v>2.5330522852766383E-2</v>
      </c>
      <c r="I132" s="40">
        <f t="shared" si="12"/>
        <v>125.7571672377354</v>
      </c>
      <c r="J132" s="40">
        <f t="shared" si="12"/>
        <v>0</v>
      </c>
      <c r="K132" s="36">
        <v>0.29235387284316922</v>
      </c>
      <c r="L132" s="42">
        <f t="shared" si="19"/>
        <v>19991.322604477216</v>
      </c>
      <c r="M132" s="42">
        <f t="shared" si="19"/>
        <v>0</v>
      </c>
      <c r="N132" s="42">
        <f t="shared" si="13"/>
        <v>5844.5405866761066</v>
      </c>
      <c r="O132" s="36">
        <v>3.7990659376372968</v>
      </c>
      <c r="P132" s="42">
        <f t="shared" si="14"/>
        <v>1755.0418596487025</v>
      </c>
      <c r="Q132" s="42"/>
      <c r="R132">
        <v>0.19370097964415417</v>
      </c>
      <c r="S132">
        <v>0.98965422528763691</v>
      </c>
      <c r="T132" s="42"/>
      <c r="U132" s="42"/>
    </row>
    <row r="133" spans="1:21" x14ac:dyDescent="0.25">
      <c r="A133" s="40">
        <f t="shared" si="15"/>
        <v>64.229676878151835</v>
      </c>
      <c r="B133" s="40">
        <f t="shared" si="15"/>
        <v>32.933286051621081</v>
      </c>
      <c r="C133" s="41">
        <f t="shared" si="10"/>
        <v>0.49289226185293716</v>
      </c>
      <c r="D133" s="41">
        <f t="shared" si="11"/>
        <v>0.98069361229543572</v>
      </c>
      <c r="E133" s="39">
        <f>IF(_xlfn.NORM.INV(R133,C133,'Regressão Grupo 2'!$B$7)&lt;=0,0,IF(_xlfn.NORM.INV(R133,C133,'Regressão Grupo 2'!$B$7)&gt;100%,100%,_xlfn.NORM.INV(R133,C133,'Regressão Grupo 2'!$B$7)))</f>
        <v>0.31370260570486053</v>
      </c>
      <c r="F133" s="39">
        <f>IF(_xlfn.NORM.INV(S133,D133,'Regressão Grupo 2'!$B$7)&lt;=0,0,IF(_xlfn.NORM.INV(S133,D133,'Regressão Grupo 2'!$B$7)&gt;100%,100%,_xlfn.NORM.INV(S133,D133,'Regressão Grupo 2'!$B$7)))</f>
        <v>1</v>
      </c>
      <c r="G133" s="41">
        <v>1.1614893180694258E-2</v>
      </c>
      <c r="H133" s="41">
        <v>1.9672335279199041E-2</v>
      </c>
      <c r="I133" s="40">
        <f t="shared" si="12"/>
        <v>72.840827963899173</v>
      </c>
      <c r="J133" s="40">
        <f t="shared" si="12"/>
        <v>0</v>
      </c>
      <c r="K133" s="36">
        <v>0.21001825007852923</v>
      </c>
      <c r="L133" s="42">
        <f t="shared" si="19"/>
        <v>19991.322604477216</v>
      </c>
      <c r="M133" s="42">
        <f t="shared" si="19"/>
        <v>0</v>
      </c>
      <c r="N133" s="42">
        <f t="shared" si="13"/>
        <v>4198.5425901476501</v>
      </c>
      <c r="O133" s="36">
        <v>8.5524104668352443</v>
      </c>
      <c r="P133" s="42">
        <f t="shared" si="14"/>
        <v>-142.96440598075606</v>
      </c>
      <c r="Q133" s="42"/>
      <c r="R133">
        <v>9.7506637775811034E-2</v>
      </c>
      <c r="S133">
        <v>0.9719229712820826</v>
      </c>
      <c r="T133" s="42"/>
      <c r="U133" s="42"/>
    </row>
    <row r="134" spans="1:21" x14ac:dyDescent="0.25">
      <c r="A134" s="40">
        <f t="shared" si="15"/>
        <v>64.229676878151835</v>
      </c>
      <c r="B134" s="40">
        <f t="shared" si="15"/>
        <v>32.933286051621081</v>
      </c>
      <c r="C134" s="41">
        <f t="shared" ref="C134:C197" si="20">-0.007*A134 + 0.9425</f>
        <v>0.49289226185293716</v>
      </c>
      <c r="D134" s="41">
        <f t="shared" ref="D134:D197" si="21">-0.0059*B134+1.175</f>
        <v>0.98069361229543572</v>
      </c>
      <c r="E134" s="39">
        <f>IF(_xlfn.NORM.INV(R134,C134,'Regressão Grupo 2'!$B$7)&lt;=0,0,IF(_xlfn.NORM.INV(R134,C134,'Regressão Grupo 2'!$B$7)&gt;100%,100%,_xlfn.NORM.INV(R134,C134,'Regressão Grupo 2'!$B$7)))</f>
        <v>0.37623922766819662</v>
      </c>
      <c r="F134" s="39">
        <f>IF(_xlfn.NORM.INV(S134,D134,'Regressão Grupo 2'!$B$7)&lt;=0,0,IF(_xlfn.NORM.INV(S134,D134,'Regressão Grupo 2'!$B$7)&gt;100%,100%,_xlfn.NORM.INV(S134,D134,'Regressão Grupo 2'!$B$7)))</f>
        <v>0.82512669133872873</v>
      </c>
      <c r="G134" s="41">
        <v>2.0191628589666222E-2</v>
      </c>
      <c r="H134" s="41">
        <v>2.0835886104171759E-2</v>
      </c>
      <c r="I134" s="40">
        <f t="shared" ref="I134:J197" si="22">IF(E134*G134*L134&gt;0,E134*G134*L134,0)</f>
        <v>151.87173376245522</v>
      </c>
      <c r="J134" s="40">
        <f t="shared" si="22"/>
        <v>0</v>
      </c>
      <c r="K134" s="36">
        <v>0.28119650741983815</v>
      </c>
      <c r="L134" s="42">
        <f t="shared" si="19"/>
        <v>19991.322604477216</v>
      </c>
      <c r="M134" s="42">
        <f t="shared" si="19"/>
        <v>0</v>
      </c>
      <c r="N134" s="42">
        <f t="shared" ref="N134:N197" si="23">(L134+M134)*K134</f>
        <v>5621.4900950822557</v>
      </c>
      <c r="O134" s="36">
        <v>3.7804094138140183</v>
      </c>
      <c r="P134" s="42">
        <f t="shared" ref="P134:P197" si="24">SUMPRODUCT(A134:B134,I134:J134)-SUM(I134:J134)*O134-N134</f>
        <v>3559.0449593971043</v>
      </c>
      <c r="Q134" s="42"/>
      <c r="R134">
        <v>0.19943845942564165</v>
      </c>
      <c r="S134">
        <v>0.130283516953032</v>
      </c>
      <c r="T134" s="42"/>
      <c r="U134" s="42"/>
    </row>
    <row r="135" spans="1:21" x14ac:dyDescent="0.25">
      <c r="A135" s="40">
        <f t="shared" ref="A135:B198" si="25">A134</f>
        <v>64.229676878151835</v>
      </c>
      <c r="B135" s="40">
        <f t="shared" si="25"/>
        <v>32.933286051621081</v>
      </c>
      <c r="C135" s="41">
        <f t="shared" si="20"/>
        <v>0.49289226185293716</v>
      </c>
      <c r="D135" s="41">
        <f t="shared" si="21"/>
        <v>0.98069361229543572</v>
      </c>
      <c r="E135" s="39">
        <f>IF(_xlfn.NORM.INV(R135,C135,'Regressão Grupo 2'!$B$7)&lt;=0,0,IF(_xlfn.NORM.INV(R135,C135,'Regressão Grupo 2'!$B$7)&gt;100%,100%,_xlfn.NORM.INV(R135,C135,'Regressão Grupo 2'!$B$7)))</f>
        <v>0.49318315330419216</v>
      </c>
      <c r="F135" s="39">
        <f>IF(_xlfn.NORM.INV(S135,D135,'Regressão Grupo 2'!$B$7)&lt;=0,0,IF(_xlfn.NORM.INV(S135,D135,'Regressão Grupo 2'!$B$7)&gt;100%,100%,_xlfn.NORM.INV(S135,D135,'Regressão Grupo 2'!$B$7)))</f>
        <v>0.94195925281258575</v>
      </c>
      <c r="G135" s="41">
        <v>7.2575259444679387E-3</v>
      </c>
      <c r="H135" s="41">
        <v>2.1658162839893465E-2</v>
      </c>
      <c r="I135" s="40">
        <f t="shared" si="22"/>
        <v>71.554731698647132</v>
      </c>
      <c r="J135" s="40">
        <f t="shared" si="22"/>
        <v>0</v>
      </c>
      <c r="K135" s="36">
        <v>0.17405483415421905</v>
      </c>
      <c r="L135" s="42">
        <f t="shared" ref="L135:M150" si="26">L134</f>
        <v>19991.322604477216</v>
      </c>
      <c r="M135" s="42">
        <f t="shared" si="26"/>
        <v>0</v>
      </c>
      <c r="N135" s="42">
        <f t="shared" si="23"/>
        <v>3479.5863404457723</v>
      </c>
      <c r="O135" s="36">
        <v>6.6924196606787083</v>
      </c>
      <c r="P135" s="42">
        <f t="shared" si="24"/>
        <v>637.47666242656578</v>
      </c>
      <c r="Q135" s="42"/>
      <c r="R135">
        <v>0.5008392590105899</v>
      </c>
      <c r="S135">
        <v>0.38969084749900817</v>
      </c>
      <c r="T135" s="42"/>
      <c r="U135" s="42"/>
    </row>
    <row r="136" spans="1:21" x14ac:dyDescent="0.25">
      <c r="A136" s="40">
        <f t="shared" si="25"/>
        <v>64.229676878151835</v>
      </c>
      <c r="B136" s="40">
        <f t="shared" si="25"/>
        <v>32.933286051621081</v>
      </c>
      <c r="C136" s="41">
        <f t="shared" si="20"/>
        <v>0.49289226185293716</v>
      </c>
      <c r="D136" s="41">
        <f t="shared" si="21"/>
        <v>0.98069361229543572</v>
      </c>
      <c r="E136" s="39">
        <f>IF(_xlfn.NORM.INV(R136,C136,'Regressão Grupo 2'!$B$7)&lt;=0,0,IF(_xlfn.NORM.INV(R136,C136,'Regressão Grupo 2'!$B$7)&gt;100%,100%,_xlfn.NORM.INV(R136,C136,'Regressão Grupo 2'!$B$7)))</f>
        <v>0.58719266202118203</v>
      </c>
      <c r="F136" s="39">
        <f>IF(_xlfn.NORM.INV(S136,D136,'Regressão Grupo 2'!$B$7)&lt;=0,0,IF(_xlfn.NORM.INV(S136,D136,'Regressão Grupo 2'!$B$7)&gt;100%,100%,_xlfn.NORM.INV(S136,D136,'Regressão Grupo 2'!$B$7)))</f>
        <v>1</v>
      </c>
      <c r="G136" s="41">
        <v>1.7088664858892457E-2</v>
      </c>
      <c r="H136" s="41">
        <v>1.2917683725410776E-2</v>
      </c>
      <c r="I136" s="40">
        <f t="shared" si="22"/>
        <v>200.59970025269897</v>
      </c>
      <c r="J136" s="40">
        <f t="shared" si="22"/>
        <v>0</v>
      </c>
      <c r="K136" s="36">
        <v>0.38281361898320698</v>
      </c>
      <c r="L136" s="42">
        <f t="shared" si="26"/>
        <v>19991.322604477216</v>
      </c>
      <c r="M136" s="42">
        <f t="shared" si="26"/>
        <v>0</v>
      </c>
      <c r="N136" s="42">
        <f t="shared" si="23"/>
        <v>7652.9505544807143</v>
      </c>
      <c r="O136" s="36">
        <v>3.3265971876805596</v>
      </c>
      <c r="P136" s="42">
        <f t="shared" si="24"/>
        <v>4564.1889758940615</v>
      </c>
      <c r="Q136" s="42"/>
      <c r="R136">
        <v>0.75237281411175883</v>
      </c>
      <c r="S136">
        <v>0.98425244911038545</v>
      </c>
      <c r="T136" s="42"/>
      <c r="U136" s="42"/>
    </row>
    <row r="137" spans="1:21" x14ac:dyDescent="0.25">
      <c r="A137" s="40">
        <f t="shared" si="25"/>
        <v>64.229676878151835</v>
      </c>
      <c r="B137" s="40">
        <f t="shared" si="25"/>
        <v>32.933286051621081</v>
      </c>
      <c r="C137" s="41">
        <f t="shared" si="20"/>
        <v>0.49289226185293716</v>
      </c>
      <c r="D137" s="41">
        <f t="shared" si="21"/>
        <v>0.98069361229543572</v>
      </c>
      <c r="E137" s="39">
        <f>IF(_xlfn.NORM.INV(R137,C137,'Regressão Grupo 2'!$B$7)&lt;=0,0,IF(_xlfn.NORM.INV(R137,C137,'Regressão Grupo 2'!$B$7)&gt;100%,100%,_xlfn.NORM.INV(R137,C137,'Regressão Grupo 2'!$B$7)))</f>
        <v>0.53001206115331778</v>
      </c>
      <c r="F137" s="39">
        <f>IF(_xlfn.NORM.INV(S137,D137,'Regressão Grupo 2'!$B$7)&lt;=0,0,IF(_xlfn.NORM.INV(S137,D137,'Regressão Grupo 2'!$B$7)&gt;100%,100%,_xlfn.NORM.INV(S137,D137,'Regressão Grupo 2'!$B$7)))</f>
        <v>0.96645714144650585</v>
      </c>
      <c r="G137" s="41">
        <v>2.2791048631353499E-2</v>
      </c>
      <c r="H137" s="41">
        <v>1.399812842529353E-2</v>
      </c>
      <c r="I137" s="40">
        <f t="shared" si="22"/>
        <v>241.48579435370877</v>
      </c>
      <c r="J137" s="40">
        <f t="shared" si="22"/>
        <v>0</v>
      </c>
      <c r="K137" s="36">
        <v>0.17942215367429099</v>
      </c>
      <c r="L137" s="42">
        <f t="shared" si="26"/>
        <v>19991.322604477216</v>
      </c>
      <c r="M137" s="42">
        <f t="shared" si="26"/>
        <v>0</v>
      </c>
      <c r="N137" s="42">
        <f t="shared" si="23"/>
        <v>3586.8861564928384</v>
      </c>
      <c r="O137" s="36">
        <v>5.8015698143173777</v>
      </c>
      <c r="P137" s="42">
        <f t="shared" si="24"/>
        <v>10522.67169040077</v>
      </c>
      <c r="Q137" s="42"/>
      <c r="R137">
        <v>0.60582293160802025</v>
      </c>
      <c r="S137">
        <v>0.45899838251899777</v>
      </c>
      <c r="T137" s="42"/>
      <c r="U137" s="42"/>
    </row>
    <row r="138" spans="1:21" x14ac:dyDescent="0.25">
      <c r="A138" s="40">
        <f t="shared" si="25"/>
        <v>64.229676878151835</v>
      </c>
      <c r="B138" s="40">
        <f t="shared" si="25"/>
        <v>32.933286051621081</v>
      </c>
      <c r="C138" s="41">
        <f t="shared" si="20"/>
        <v>0.49289226185293716</v>
      </c>
      <c r="D138" s="41">
        <f t="shared" si="21"/>
        <v>0.98069361229543572</v>
      </c>
      <c r="E138" s="39">
        <f>IF(_xlfn.NORM.INV(R138,C138,'Regressão Grupo 2'!$B$7)&lt;=0,0,IF(_xlfn.NORM.INV(R138,C138,'Regressão Grupo 2'!$B$7)&gt;100%,100%,_xlfn.NORM.INV(R138,C138,'Regressão Grupo 2'!$B$7)))</f>
        <v>0.39412430478577937</v>
      </c>
      <c r="F138" s="39">
        <f>IF(_xlfn.NORM.INV(S138,D138,'Regressão Grupo 2'!$B$7)&lt;=0,0,IF(_xlfn.NORM.INV(S138,D138,'Regressão Grupo 2'!$B$7)&gt;100%,100%,_xlfn.NORM.INV(S138,D138,'Regressão Grupo 2'!$B$7)))</f>
        <v>1</v>
      </c>
      <c r="G138" s="41">
        <v>1.6490845698386481E-2</v>
      </c>
      <c r="H138" s="41">
        <v>7.4132334946123268E-3</v>
      </c>
      <c r="I138" s="40">
        <f t="shared" si="22"/>
        <v>129.93246368569905</v>
      </c>
      <c r="J138" s="40">
        <f t="shared" si="22"/>
        <v>0</v>
      </c>
      <c r="K138" s="36">
        <v>0.39723972893512699</v>
      </c>
      <c r="L138" s="42">
        <f t="shared" si="26"/>
        <v>19991.322604477216</v>
      </c>
      <c r="M138" s="42">
        <f t="shared" si="26"/>
        <v>0</v>
      </c>
      <c r="N138" s="42">
        <f t="shared" si="23"/>
        <v>7941.3475724572063</v>
      </c>
      <c r="O138" s="36">
        <v>8.0652053791789537</v>
      </c>
      <c r="P138" s="42">
        <f t="shared" si="24"/>
        <v>-643.75941899043301</v>
      </c>
      <c r="Q138" s="42"/>
      <c r="R138">
        <v>0.23752555925168614</v>
      </c>
      <c r="S138">
        <v>0.91250343333231609</v>
      </c>
      <c r="T138" s="42"/>
      <c r="U138" s="42"/>
    </row>
    <row r="139" spans="1:21" x14ac:dyDescent="0.25">
      <c r="A139" s="40">
        <f t="shared" si="25"/>
        <v>64.229676878151835</v>
      </c>
      <c r="B139" s="40">
        <f t="shared" si="25"/>
        <v>32.933286051621081</v>
      </c>
      <c r="C139" s="41">
        <f t="shared" si="20"/>
        <v>0.49289226185293716</v>
      </c>
      <c r="D139" s="41">
        <f t="shared" si="21"/>
        <v>0.98069361229543572</v>
      </c>
      <c r="E139" s="39">
        <f>IF(_xlfn.NORM.INV(R139,C139,'Regressão Grupo 2'!$B$7)&lt;=0,0,IF(_xlfn.NORM.INV(R139,C139,'Regressão Grupo 2'!$B$7)&gt;100%,100%,_xlfn.NORM.INV(R139,C139,'Regressão Grupo 2'!$B$7)))</f>
        <v>0.41279107222932121</v>
      </c>
      <c r="F139" s="39">
        <f>IF(_xlfn.NORM.INV(S139,D139,'Regressão Grupo 2'!$B$7)&lt;=0,0,IF(_xlfn.NORM.INV(S139,D139,'Regressão Grupo 2'!$B$7)&gt;100%,100%,_xlfn.NORM.INV(S139,D139,'Regressão Grupo 2'!$B$7)))</f>
        <v>0.87323664967267489</v>
      </c>
      <c r="G139" s="41">
        <v>2.4857315221053212E-2</v>
      </c>
      <c r="H139" s="41">
        <v>1.7373290808060354E-2</v>
      </c>
      <c r="I139" s="40">
        <f t="shared" si="22"/>
        <v>205.12851836170944</v>
      </c>
      <c r="J139" s="40">
        <f t="shared" si="22"/>
        <v>0</v>
      </c>
      <c r="K139" s="36">
        <v>0.34317582912095657</v>
      </c>
      <c r="L139" s="42">
        <f t="shared" si="26"/>
        <v>19991.322604477216</v>
      </c>
      <c r="M139" s="42">
        <f t="shared" si="26"/>
        <v>0</v>
      </c>
      <c r="N139" s="42">
        <f t="shared" si="23"/>
        <v>6860.5387100159896</v>
      </c>
      <c r="O139" s="36">
        <v>4.0984032435685158</v>
      </c>
      <c r="P139" s="42">
        <f t="shared" si="24"/>
        <v>5474.1003578486107</v>
      </c>
      <c r="Q139" s="42"/>
      <c r="R139">
        <v>0.28119754631183813</v>
      </c>
      <c r="S139">
        <v>0.2185430463576159</v>
      </c>
      <c r="T139" s="42"/>
      <c r="U139" s="42"/>
    </row>
    <row r="140" spans="1:21" x14ac:dyDescent="0.25">
      <c r="A140" s="40">
        <f t="shared" si="25"/>
        <v>64.229676878151835</v>
      </c>
      <c r="B140" s="40">
        <f t="shared" si="25"/>
        <v>32.933286051621081</v>
      </c>
      <c r="C140" s="41">
        <f t="shared" si="20"/>
        <v>0.49289226185293716</v>
      </c>
      <c r="D140" s="41">
        <f t="shared" si="21"/>
        <v>0.98069361229543572</v>
      </c>
      <c r="E140" s="39">
        <f>IF(_xlfn.NORM.INV(R140,C140,'Regressão Grupo 2'!$B$7)&lt;=0,0,IF(_xlfn.NORM.INV(R140,C140,'Regressão Grupo 2'!$B$7)&gt;100%,100%,_xlfn.NORM.INV(R140,C140,'Regressão Grupo 2'!$B$7)))</f>
        <v>0.31851666267357032</v>
      </c>
      <c r="F140" s="39">
        <f>IF(_xlfn.NORM.INV(S140,D140,'Regressão Grupo 2'!$B$7)&lt;=0,0,IF(_xlfn.NORM.INV(S140,D140,'Regressão Grupo 2'!$B$7)&gt;100%,100%,_xlfn.NORM.INV(S140,D140,'Regressão Grupo 2'!$B$7)))</f>
        <v>0.93630383647817594</v>
      </c>
      <c r="G140" s="41">
        <v>1.8386821603092265E-2</v>
      </c>
      <c r="H140" s="41">
        <v>1.2423205034558855E-2</v>
      </c>
      <c r="I140" s="40">
        <f t="shared" si="22"/>
        <v>117.0793618383791</v>
      </c>
      <c r="J140" s="40">
        <f t="shared" si="22"/>
        <v>0</v>
      </c>
      <c r="K140" s="36">
        <v>0.29364627399637266</v>
      </c>
      <c r="L140" s="42">
        <f t="shared" si="26"/>
        <v>19991.322604477216</v>
      </c>
      <c r="M140" s="42">
        <f t="shared" si="26"/>
        <v>0</v>
      </c>
      <c r="N140" s="42">
        <f t="shared" si="23"/>
        <v>5870.3773950641953</v>
      </c>
      <c r="O140" s="36">
        <v>6.7928274704367109</v>
      </c>
      <c r="P140" s="42">
        <f t="shared" si="24"/>
        <v>854.29227959817399</v>
      </c>
      <c r="Q140" s="42"/>
      <c r="R140">
        <v>0.10364085818048646</v>
      </c>
      <c r="S140">
        <v>0.37409588915677361</v>
      </c>
      <c r="T140" s="42"/>
      <c r="U140" s="42"/>
    </row>
    <row r="141" spans="1:21" x14ac:dyDescent="0.25">
      <c r="A141" s="40">
        <f t="shared" si="25"/>
        <v>64.229676878151835</v>
      </c>
      <c r="B141" s="40">
        <f t="shared" si="25"/>
        <v>32.933286051621081</v>
      </c>
      <c r="C141" s="41">
        <f t="shared" si="20"/>
        <v>0.49289226185293716</v>
      </c>
      <c r="D141" s="41">
        <f t="shared" si="21"/>
        <v>0.98069361229543572</v>
      </c>
      <c r="E141" s="39">
        <f>IF(_xlfn.NORM.INV(R141,C141,'Regressão Grupo 2'!$B$7)&lt;=0,0,IF(_xlfn.NORM.INV(R141,C141,'Regressão Grupo 2'!$B$7)&gt;100%,100%,_xlfn.NORM.INV(R141,C141,'Regressão Grupo 2'!$B$7)))</f>
        <v>0.39260297224136875</v>
      </c>
      <c r="F141" s="39">
        <f>IF(_xlfn.NORM.INV(S141,D141,'Regressão Grupo 2'!$B$7)&lt;=0,0,IF(_xlfn.NORM.INV(S141,D141,'Regressão Grupo 2'!$B$7)&gt;100%,100%,_xlfn.NORM.INV(S141,D141,'Regressão Grupo 2'!$B$7)))</f>
        <v>1</v>
      </c>
      <c r="G141" s="41">
        <v>9.2002333549261253E-3</v>
      </c>
      <c r="H141" s="41">
        <v>3.8522605650288589E-3</v>
      </c>
      <c r="I141" s="40">
        <f t="shared" si="22"/>
        <v>72.209436118459934</v>
      </c>
      <c r="J141" s="40">
        <f t="shared" si="22"/>
        <v>0</v>
      </c>
      <c r="K141" s="36">
        <v>0.32820497466107706</v>
      </c>
      <c r="L141" s="42">
        <f t="shared" si="26"/>
        <v>19991.322604477216</v>
      </c>
      <c r="M141" s="42">
        <f t="shared" si="26"/>
        <v>0</v>
      </c>
      <c r="N141" s="42">
        <f t="shared" si="23"/>
        <v>6561.2515288438617</v>
      </c>
      <c r="O141" s="36">
        <v>8.2859105561165798</v>
      </c>
      <c r="P141" s="42">
        <f t="shared" si="24"/>
        <v>-2521.5837083868064</v>
      </c>
      <c r="Q141" s="42"/>
      <c r="R141">
        <v>0.23413800469985047</v>
      </c>
      <c r="S141">
        <v>0.79360332041383097</v>
      </c>
      <c r="T141" s="42"/>
      <c r="U141" s="42"/>
    </row>
    <row r="142" spans="1:21" x14ac:dyDescent="0.25">
      <c r="A142" s="40">
        <f t="shared" si="25"/>
        <v>64.229676878151835</v>
      </c>
      <c r="B142" s="40">
        <f t="shared" si="25"/>
        <v>32.933286051621081</v>
      </c>
      <c r="C142" s="41">
        <f t="shared" si="20"/>
        <v>0.49289226185293716</v>
      </c>
      <c r="D142" s="41">
        <f t="shared" si="21"/>
        <v>0.98069361229543572</v>
      </c>
      <c r="E142" s="39">
        <f>IF(_xlfn.NORM.INV(R142,C142,'Regressão Grupo 2'!$B$7)&lt;=0,0,IF(_xlfn.NORM.INV(R142,C142,'Regressão Grupo 2'!$B$7)&gt;100%,100%,_xlfn.NORM.INV(R142,C142,'Regressão Grupo 2'!$B$7)))</f>
        <v>0.57981060024821884</v>
      </c>
      <c r="F142" s="39">
        <f>IF(_xlfn.NORM.INV(S142,D142,'Regressão Grupo 2'!$B$7)&lt;=0,0,IF(_xlfn.NORM.INV(S142,D142,'Regressão Grupo 2'!$B$7)&gt;100%,100%,_xlfn.NORM.INV(S142,D142,'Regressão Grupo 2'!$B$7)))</f>
        <v>0.95800316250151429</v>
      </c>
      <c r="G142" s="41">
        <v>1.7560590008901294E-2</v>
      </c>
      <c r="H142" s="41">
        <v>1.9212457510628809E-2</v>
      </c>
      <c r="I142" s="40">
        <f t="shared" si="22"/>
        <v>203.54797302887792</v>
      </c>
      <c r="J142" s="40">
        <f t="shared" si="22"/>
        <v>0</v>
      </c>
      <c r="K142" s="36">
        <v>0.22951431660699431</v>
      </c>
      <c r="L142" s="42">
        <f t="shared" si="26"/>
        <v>19991.322604477216</v>
      </c>
      <c r="M142" s="42">
        <f t="shared" si="26"/>
        <v>0</v>
      </c>
      <c r="N142" s="42">
        <f t="shared" si="23"/>
        <v>4588.2947456365464</v>
      </c>
      <c r="O142" s="36">
        <v>6.9465429596448844</v>
      </c>
      <c r="P142" s="42">
        <f t="shared" si="24"/>
        <v>7071.5710522173076</v>
      </c>
      <c r="Q142" s="42"/>
      <c r="R142">
        <v>0.73519089327677234</v>
      </c>
      <c r="S142">
        <v>0.43482772301400802</v>
      </c>
      <c r="T142" s="42"/>
      <c r="U142" s="42"/>
    </row>
    <row r="143" spans="1:21" x14ac:dyDescent="0.25">
      <c r="A143" s="40">
        <f t="shared" si="25"/>
        <v>64.229676878151835</v>
      </c>
      <c r="B143" s="40">
        <f t="shared" si="25"/>
        <v>32.933286051621081</v>
      </c>
      <c r="C143" s="41">
        <f t="shared" si="20"/>
        <v>0.49289226185293716</v>
      </c>
      <c r="D143" s="41">
        <f t="shared" si="21"/>
        <v>0.98069361229543572</v>
      </c>
      <c r="E143" s="39">
        <f>IF(_xlfn.NORM.INV(R143,C143,'Regressão Grupo 2'!$B$7)&lt;=0,0,IF(_xlfn.NORM.INV(R143,C143,'Regressão Grupo 2'!$B$7)&gt;100%,100%,_xlfn.NORM.INV(R143,C143,'Regressão Grupo 2'!$B$7)))</f>
        <v>0.32315063776226161</v>
      </c>
      <c r="F143" s="39">
        <f>IF(_xlfn.NORM.INV(S143,D143,'Regressão Grupo 2'!$B$7)&lt;=0,0,IF(_xlfn.NORM.INV(S143,D143,'Regressão Grupo 2'!$B$7)&gt;100%,100%,_xlfn.NORM.INV(S143,D143,'Regressão Grupo 2'!$B$7)))</f>
        <v>0.87470419252010267</v>
      </c>
      <c r="G143" s="41">
        <v>9.5627916328988108E-3</v>
      </c>
      <c r="H143" s="41">
        <v>1.5228348933999566E-2</v>
      </c>
      <c r="I143" s="40">
        <f t="shared" si="22"/>
        <v>61.777629218764908</v>
      </c>
      <c r="J143" s="40">
        <f t="shared" si="22"/>
        <v>0</v>
      </c>
      <c r="K143" s="36">
        <v>0.39037634640066587</v>
      </c>
      <c r="L143" s="42">
        <f t="shared" si="26"/>
        <v>19991.322604477216</v>
      </c>
      <c r="M143" s="42">
        <f t="shared" si="26"/>
        <v>0</v>
      </c>
      <c r="N143" s="42">
        <f t="shared" si="23"/>
        <v>7804.1394780528599</v>
      </c>
      <c r="O143" s="36">
        <v>5.3357020775622965</v>
      </c>
      <c r="P143" s="42">
        <f t="shared" si="24"/>
        <v>-4165.8093396027562</v>
      </c>
      <c r="Q143" s="42"/>
      <c r="R143">
        <v>0.1098055970946379</v>
      </c>
      <c r="S143">
        <v>0.2216864528336436</v>
      </c>
      <c r="T143" s="42"/>
      <c r="U143" s="42"/>
    </row>
    <row r="144" spans="1:21" x14ac:dyDescent="0.25">
      <c r="A144" s="40">
        <f t="shared" si="25"/>
        <v>64.229676878151835</v>
      </c>
      <c r="B144" s="40">
        <f t="shared" si="25"/>
        <v>32.933286051621081</v>
      </c>
      <c r="C144" s="41">
        <f t="shared" si="20"/>
        <v>0.49289226185293716</v>
      </c>
      <c r="D144" s="41">
        <f t="shared" si="21"/>
        <v>0.98069361229543572</v>
      </c>
      <c r="E144" s="39">
        <f>IF(_xlfn.NORM.INV(R144,C144,'Regressão Grupo 2'!$B$7)&lt;=0,0,IF(_xlfn.NORM.INV(R144,C144,'Regressão Grupo 2'!$B$7)&gt;100%,100%,_xlfn.NORM.INV(R144,C144,'Regressão Grupo 2'!$B$7)))</f>
        <v>0.52795449994165911</v>
      </c>
      <c r="F144" s="39">
        <f>IF(_xlfn.NORM.INV(S144,D144,'Regressão Grupo 2'!$B$7)&lt;=0,0,IF(_xlfn.NORM.INV(S144,D144,'Regressão Grupo 2'!$B$7)&gt;100%,100%,_xlfn.NORM.INV(S144,D144,'Regressão Grupo 2'!$B$7)))</f>
        <v>0.96301758027881956</v>
      </c>
      <c r="G144" s="41">
        <v>2.2351043048609232E-2</v>
      </c>
      <c r="H144" s="41">
        <v>1.5824762919308823E-2</v>
      </c>
      <c r="I144" s="40">
        <f t="shared" si="22"/>
        <v>235.90427895475881</v>
      </c>
      <c r="J144" s="40">
        <f t="shared" si="22"/>
        <v>0</v>
      </c>
      <c r="K144" s="36">
        <v>0.38086263692349592</v>
      </c>
      <c r="L144" s="42">
        <f t="shared" si="26"/>
        <v>19991.322604477216</v>
      </c>
      <c r="M144" s="42">
        <f t="shared" si="26"/>
        <v>0</v>
      </c>
      <c r="N144" s="42">
        <f t="shared" si="23"/>
        <v>7613.9478427294825</v>
      </c>
      <c r="O144" s="36">
        <v>7.8520506108400756</v>
      </c>
      <c r="P144" s="42">
        <f t="shared" si="24"/>
        <v>5685.7754310415685</v>
      </c>
      <c r="Q144" s="42"/>
      <c r="R144">
        <v>0.60008545182653283</v>
      </c>
      <c r="S144">
        <v>0.44914090395825068</v>
      </c>
      <c r="T144" s="42"/>
      <c r="U144" s="42"/>
    </row>
    <row r="145" spans="1:21" x14ac:dyDescent="0.25">
      <c r="A145" s="40">
        <f t="shared" si="25"/>
        <v>64.229676878151835</v>
      </c>
      <c r="B145" s="40">
        <f t="shared" si="25"/>
        <v>32.933286051621081</v>
      </c>
      <c r="C145" s="41">
        <f t="shared" si="20"/>
        <v>0.49289226185293716</v>
      </c>
      <c r="D145" s="41">
        <f t="shared" si="21"/>
        <v>0.98069361229543572</v>
      </c>
      <c r="E145" s="39">
        <f>IF(_xlfn.NORM.INV(R145,C145,'Regressão Grupo 2'!$B$7)&lt;=0,0,IF(_xlfn.NORM.INV(R145,C145,'Regressão Grupo 2'!$B$7)&gt;100%,100%,_xlfn.NORM.INV(R145,C145,'Regressão Grupo 2'!$B$7)))</f>
        <v>0.28855325596739334</v>
      </c>
      <c r="F145" s="39">
        <f>IF(_xlfn.NORM.INV(S145,D145,'Regressão Grupo 2'!$B$7)&lt;=0,0,IF(_xlfn.NORM.INV(S145,D145,'Regressão Grupo 2'!$B$7)&gt;100%,100%,_xlfn.NORM.INV(S145,D145,'Regressão Grupo 2'!$B$7)))</f>
        <v>1</v>
      </c>
      <c r="G145" s="41">
        <v>1.9810681762055575E-2</v>
      </c>
      <c r="H145" s="41">
        <v>1.750948512655277E-2</v>
      </c>
      <c r="I145" s="40">
        <f t="shared" si="22"/>
        <v>114.27913072505282</v>
      </c>
      <c r="J145" s="40">
        <f t="shared" si="22"/>
        <v>0</v>
      </c>
      <c r="K145" s="36">
        <v>0.25711653941097967</v>
      </c>
      <c r="L145" s="42">
        <f t="shared" si="26"/>
        <v>19991.322604477216</v>
      </c>
      <c r="M145" s="42">
        <f t="shared" si="26"/>
        <v>0</v>
      </c>
      <c r="N145" s="42">
        <f t="shared" si="23"/>
        <v>5140.0996863116752</v>
      </c>
      <c r="O145" s="36">
        <v>3.9222708968873379</v>
      </c>
      <c r="P145" s="42">
        <f t="shared" si="24"/>
        <v>1751.7782455100823</v>
      </c>
      <c r="Q145" s="42"/>
      <c r="R145">
        <v>6.9734794152653587E-2</v>
      </c>
      <c r="S145">
        <v>0.84295175023651847</v>
      </c>
      <c r="T145" s="42"/>
      <c r="U145" s="42"/>
    </row>
    <row r="146" spans="1:21" x14ac:dyDescent="0.25">
      <c r="A146" s="40">
        <f t="shared" si="25"/>
        <v>64.229676878151835</v>
      </c>
      <c r="B146" s="40">
        <f t="shared" si="25"/>
        <v>32.933286051621081</v>
      </c>
      <c r="C146" s="41">
        <f t="shared" si="20"/>
        <v>0.49289226185293716</v>
      </c>
      <c r="D146" s="41">
        <f t="shared" si="21"/>
        <v>0.98069361229543572</v>
      </c>
      <c r="E146" s="39">
        <f>IF(_xlfn.NORM.INV(R146,C146,'Regressão Grupo 2'!$B$7)&lt;=0,0,IF(_xlfn.NORM.INV(R146,C146,'Regressão Grupo 2'!$B$7)&gt;100%,100%,_xlfn.NORM.INV(R146,C146,'Regressão Grupo 2'!$B$7)))</f>
        <v>0.56697551263080836</v>
      </c>
      <c r="F146" s="39">
        <f>IF(_xlfn.NORM.INV(S146,D146,'Regressão Grupo 2'!$B$7)&lt;=0,0,IF(_xlfn.NORM.INV(S146,D146,'Regressão Grupo 2'!$B$7)&gt;100%,100%,_xlfn.NORM.INV(S146,D146,'Regressão Grupo 2'!$B$7)))</f>
        <v>1</v>
      </c>
      <c r="G146" s="41">
        <v>1.5640341665653135E-2</v>
      </c>
      <c r="H146" s="41">
        <v>2.3896602051915666E-2</v>
      </c>
      <c r="I146" s="40">
        <f t="shared" si="22"/>
        <v>177.27686621222435</v>
      </c>
      <c r="J146" s="40">
        <f t="shared" si="22"/>
        <v>0</v>
      </c>
      <c r="K146" s="36">
        <v>0.36007443908400349</v>
      </c>
      <c r="L146" s="42">
        <f t="shared" si="26"/>
        <v>19991.322604477216</v>
      </c>
      <c r="M146" s="42">
        <f t="shared" si="26"/>
        <v>0</v>
      </c>
      <c r="N146" s="42">
        <f t="shared" si="23"/>
        <v>7198.3642733544939</v>
      </c>
      <c r="O146" s="36">
        <v>7.0233975995160094</v>
      </c>
      <c r="P146" s="42">
        <f t="shared" si="24"/>
        <v>2942.9856448233704</v>
      </c>
      <c r="Q146" s="42"/>
      <c r="R146">
        <v>0.70393993957335121</v>
      </c>
      <c r="S146">
        <v>0.82277901547288435</v>
      </c>
      <c r="T146" s="42"/>
      <c r="U146" s="42"/>
    </row>
    <row r="147" spans="1:21" x14ac:dyDescent="0.25">
      <c r="A147" s="40">
        <f t="shared" si="25"/>
        <v>64.229676878151835</v>
      </c>
      <c r="B147" s="40">
        <f t="shared" si="25"/>
        <v>32.933286051621081</v>
      </c>
      <c r="C147" s="41">
        <f t="shared" si="20"/>
        <v>0.49289226185293716</v>
      </c>
      <c r="D147" s="41">
        <f t="shared" si="21"/>
        <v>0.98069361229543572</v>
      </c>
      <c r="E147" s="39">
        <f>IF(_xlfn.NORM.INV(R147,C147,'Regressão Grupo 2'!$B$7)&lt;=0,0,IF(_xlfn.NORM.INV(R147,C147,'Regressão Grupo 2'!$B$7)&gt;100%,100%,_xlfn.NORM.INV(R147,C147,'Regressão Grupo 2'!$B$7)))</f>
        <v>0.33700623537152735</v>
      </c>
      <c r="F147" s="39">
        <f>IF(_xlfn.NORM.INV(S147,D147,'Regressão Grupo 2'!$B$7)&lt;=0,0,IF(_xlfn.NORM.INV(S147,D147,'Regressão Grupo 2'!$B$7)&gt;100%,100%,_xlfn.NORM.INV(S147,D147,'Regressão Grupo 2'!$B$7)))</f>
        <v>0.94957192750620245</v>
      </c>
      <c r="G147" s="41">
        <v>1.6182186874903241E-2</v>
      </c>
      <c r="H147" s="41">
        <v>1.3045216986100576E-2</v>
      </c>
      <c r="I147" s="40">
        <f t="shared" si="22"/>
        <v>109.02263541771673</v>
      </c>
      <c r="J147" s="40">
        <f t="shared" si="22"/>
        <v>0</v>
      </c>
      <c r="K147" s="36">
        <v>0.15812142802102025</v>
      </c>
      <c r="L147" s="42">
        <f t="shared" si="26"/>
        <v>19991.322604477216</v>
      </c>
      <c r="M147" s="42">
        <f t="shared" si="26"/>
        <v>0</v>
      </c>
      <c r="N147" s="42">
        <f t="shared" si="23"/>
        <v>3161.0564782488391</v>
      </c>
      <c r="O147" s="36">
        <v>8.6392380704590366</v>
      </c>
      <c r="P147" s="42">
        <f t="shared" si="24"/>
        <v>2899.5596645931446</v>
      </c>
      <c r="Q147" s="42"/>
      <c r="R147">
        <v>0.12979522080141606</v>
      </c>
      <c r="S147">
        <v>0.41096224860377817</v>
      </c>
      <c r="T147" s="42"/>
      <c r="U147" s="42"/>
    </row>
    <row r="148" spans="1:21" x14ac:dyDescent="0.25">
      <c r="A148" s="40">
        <f t="shared" si="25"/>
        <v>64.229676878151835</v>
      </c>
      <c r="B148" s="40">
        <f t="shared" si="25"/>
        <v>32.933286051621081</v>
      </c>
      <c r="C148" s="41">
        <f t="shared" si="20"/>
        <v>0.49289226185293716</v>
      </c>
      <c r="D148" s="41">
        <f t="shared" si="21"/>
        <v>0.98069361229543572</v>
      </c>
      <c r="E148" s="39">
        <f>IF(_xlfn.NORM.INV(R148,C148,'Regressão Grupo 2'!$B$7)&lt;=0,0,IF(_xlfn.NORM.INV(R148,C148,'Regressão Grupo 2'!$B$7)&gt;100%,100%,_xlfn.NORM.INV(R148,C148,'Regressão Grupo 2'!$B$7)))</f>
        <v>0.65678677856162337</v>
      </c>
      <c r="F148" s="39">
        <f>IF(_xlfn.NORM.INV(S148,D148,'Regressão Grupo 2'!$B$7)&lt;=0,0,IF(_xlfn.NORM.INV(S148,D148,'Regressão Grupo 2'!$B$7)&gt;100%,100%,_xlfn.NORM.INV(S148,D148,'Regressão Grupo 2'!$B$7)))</f>
        <v>0.89222317418827901</v>
      </c>
      <c r="G148" s="41">
        <v>2.1154424646802995E-2</v>
      </c>
      <c r="H148" s="41">
        <v>9.6865739687426438E-3</v>
      </c>
      <c r="I148" s="40">
        <f t="shared" si="22"/>
        <v>277.75836505354209</v>
      </c>
      <c r="J148" s="40">
        <f t="shared" si="22"/>
        <v>0</v>
      </c>
      <c r="K148" s="36">
        <v>0.35549621843052542</v>
      </c>
      <c r="L148" s="42">
        <f t="shared" si="26"/>
        <v>19991.322604477216</v>
      </c>
      <c r="M148" s="42">
        <f t="shared" si="26"/>
        <v>0</v>
      </c>
      <c r="N148" s="42">
        <f t="shared" si="23"/>
        <v>7106.8395873163327</v>
      </c>
      <c r="O148" s="36">
        <v>6.6348609883529006</v>
      </c>
      <c r="P148" s="42">
        <f t="shared" si="24"/>
        <v>8890.6023097939869</v>
      </c>
      <c r="Q148" s="42"/>
      <c r="R148">
        <v>0.88204596087527087</v>
      </c>
      <c r="S148">
        <v>0.26114688558610799</v>
      </c>
      <c r="T148" s="42"/>
      <c r="U148" s="42"/>
    </row>
    <row r="149" spans="1:21" x14ac:dyDescent="0.25">
      <c r="A149" s="40">
        <f t="shared" si="25"/>
        <v>64.229676878151835</v>
      </c>
      <c r="B149" s="40">
        <f t="shared" si="25"/>
        <v>32.933286051621081</v>
      </c>
      <c r="C149" s="41">
        <f t="shared" si="20"/>
        <v>0.49289226185293716</v>
      </c>
      <c r="D149" s="41">
        <f t="shared" si="21"/>
        <v>0.98069361229543572</v>
      </c>
      <c r="E149" s="39">
        <f>IF(_xlfn.NORM.INV(R149,C149,'Regressão Grupo 2'!$B$7)&lt;=0,0,IF(_xlfn.NORM.INV(R149,C149,'Regressão Grupo 2'!$B$7)&gt;100%,100%,_xlfn.NORM.INV(R149,C149,'Regressão Grupo 2'!$B$7)))</f>
        <v>0.24964734670495592</v>
      </c>
      <c r="F149" s="39">
        <f>IF(_xlfn.NORM.INV(S149,D149,'Regressão Grupo 2'!$B$7)&lt;=0,0,IF(_xlfn.NORM.INV(S149,D149,'Regressão Grupo 2'!$B$7)&gt;100%,100%,_xlfn.NORM.INV(S149,D149,'Regressão Grupo 2'!$B$7)))</f>
        <v>1</v>
      </c>
      <c r="G149" s="41">
        <v>1.833894477566592E-2</v>
      </c>
      <c r="H149" s="41">
        <v>1.1845514935966505E-2</v>
      </c>
      <c r="I149" s="40">
        <f t="shared" si="22"/>
        <v>91.525650642179215</v>
      </c>
      <c r="J149" s="40">
        <f t="shared" si="22"/>
        <v>0</v>
      </c>
      <c r="K149" s="36">
        <v>0.16872381231753347</v>
      </c>
      <c r="L149" s="42">
        <f t="shared" si="26"/>
        <v>19991.322604477216</v>
      </c>
      <c r="M149" s="42">
        <f t="shared" si="26"/>
        <v>0</v>
      </c>
      <c r="N149" s="42">
        <f t="shared" si="23"/>
        <v>3373.0121630970784</v>
      </c>
      <c r="O149" s="36">
        <v>4.7551552719939156</v>
      </c>
      <c r="P149" s="42">
        <f t="shared" si="24"/>
        <v>2070.4321235388711</v>
      </c>
      <c r="Q149" s="42"/>
      <c r="R149">
        <v>3.9277321695608387E-2</v>
      </c>
      <c r="S149">
        <v>0.5808282723471786</v>
      </c>
      <c r="T149" s="42"/>
      <c r="U149" s="42"/>
    </row>
    <row r="150" spans="1:21" x14ac:dyDescent="0.25">
      <c r="A150" s="40">
        <f t="shared" si="25"/>
        <v>64.229676878151835</v>
      </c>
      <c r="B150" s="40">
        <f t="shared" si="25"/>
        <v>32.933286051621081</v>
      </c>
      <c r="C150" s="41">
        <f t="shared" si="20"/>
        <v>0.49289226185293716</v>
      </c>
      <c r="D150" s="41">
        <f t="shared" si="21"/>
        <v>0.98069361229543572</v>
      </c>
      <c r="E150" s="39">
        <f>IF(_xlfn.NORM.INV(R150,C150,'Regressão Grupo 2'!$B$7)&lt;=0,0,IF(_xlfn.NORM.INV(R150,C150,'Regressão Grupo 2'!$B$7)&gt;100%,100%,_xlfn.NORM.INV(R150,C150,'Regressão Grupo 2'!$B$7)))</f>
        <v>0.73608749092558146</v>
      </c>
      <c r="F150" s="39">
        <f>IF(_xlfn.NORM.INV(S150,D150,'Regressão Grupo 2'!$B$7)&lt;=0,0,IF(_xlfn.NORM.INV(S150,D150,'Regressão Grupo 2'!$B$7)&gt;100%,100%,_xlfn.NORM.INV(S150,D150,'Regressão Grupo 2'!$B$7)))</f>
        <v>0.94952852915376651</v>
      </c>
      <c r="G150" s="41">
        <v>1.29310998980742E-2</v>
      </c>
      <c r="H150" s="41">
        <v>1.9137817799765571E-2</v>
      </c>
      <c r="I150" s="40">
        <f t="shared" si="22"/>
        <v>190.28582247491121</v>
      </c>
      <c r="J150" s="40">
        <f t="shared" si="22"/>
        <v>0</v>
      </c>
      <c r="K150" s="36">
        <v>0.29156271008826928</v>
      </c>
      <c r="L150" s="42">
        <f t="shared" si="26"/>
        <v>19991.322604477216</v>
      </c>
      <c r="M150" s="42">
        <f t="shared" si="26"/>
        <v>0</v>
      </c>
      <c r="N150" s="42">
        <f t="shared" si="23"/>
        <v>5828.7241968102553</v>
      </c>
      <c r="O150" s="36">
        <v>4.4751294318947856</v>
      </c>
      <c r="P150" s="42">
        <f t="shared" si="24"/>
        <v>5541.7190106168728</v>
      </c>
      <c r="Q150" s="42"/>
      <c r="R150">
        <v>0.96069215979491562</v>
      </c>
      <c r="S150">
        <v>0.41084017456587418</v>
      </c>
      <c r="T150" s="42"/>
      <c r="U150" s="42"/>
    </row>
    <row r="151" spans="1:21" x14ac:dyDescent="0.25">
      <c r="A151" s="40">
        <f t="shared" si="25"/>
        <v>64.229676878151835</v>
      </c>
      <c r="B151" s="40">
        <f t="shared" si="25"/>
        <v>32.933286051621081</v>
      </c>
      <c r="C151" s="41">
        <f t="shared" si="20"/>
        <v>0.49289226185293716</v>
      </c>
      <c r="D151" s="41">
        <f t="shared" si="21"/>
        <v>0.98069361229543572</v>
      </c>
      <c r="E151" s="39">
        <f>IF(_xlfn.NORM.INV(R151,C151,'Regressão Grupo 2'!$B$7)&lt;=0,0,IF(_xlfn.NORM.INV(R151,C151,'Regressão Grupo 2'!$B$7)&gt;100%,100%,_xlfn.NORM.INV(R151,C151,'Regressão Grupo 2'!$B$7)))</f>
        <v>0.78320940353007473</v>
      </c>
      <c r="F151" s="39">
        <f>IF(_xlfn.NORM.INV(S151,D151,'Regressão Grupo 2'!$B$7)&lt;=0,0,IF(_xlfn.NORM.INV(S151,D151,'Regressão Grupo 2'!$B$7)&gt;100%,100%,_xlfn.NORM.INV(S151,D151,'Regressão Grupo 2'!$B$7)))</f>
        <v>1</v>
      </c>
      <c r="G151" s="41">
        <v>2.0134880916987445E-2</v>
      </c>
      <c r="H151" s="41">
        <v>2.0327355792878282E-2</v>
      </c>
      <c r="I151" s="40">
        <f t="shared" si="22"/>
        <v>315.25972042733946</v>
      </c>
      <c r="J151" s="40">
        <f t="shared" si="22"/>
        <v>0</v>
      </c>
      <c r="K151" s="36">
        <v>0.2362266009475576</v>
      </c>
      <c r="L151" s="42">
        <f t="shared" ref="L151:M166" si="27">L150</f>
        <v>19991.322604477216</v>
      </c>
      <c r="M151" s="42">
        <f t="shared" si="27"/>
        <v>0</v>
      </c>
      <c r="N151" s="42">
        <f t="shared" si="23"/>
        <v>4722.4821873017272</v>
      </c>
      <c r="O151" s="36">
        <v>5.8029705389409028</v>
      </c>
      <c r="P151" s="42">
        <f t="shared" si="24"/>
        <v>13697.104918688172</v>
      </c>
      <c r="Q151" s="42"/>
      <c r="R151">
        <v>0.9821161534470656</v>
      </c>
      <c r="S151">
        <v>0.93017365031891841</v>
      </c>
      <c r="T151" s="42"/>
      <c r="U151" s="42"/>
    </row>
    <row r="152" spans="1:21" x14ac:dyDescent="0.25">
      <c r="A152" s="40">
        <f t="shared" si="25"/>
        <v>64.229676878151835</v>
      </c>
      <c r="B152" s="40">
        <f t="shared" si="25"/>
        <v>32.933286051621081</v>
      </c>
      <c r="C152" s="41">
        <f t="shared" si="20"/>
        <v>0.49289226185293716</v>
      </c>
      <c r="D152" s="41">
        <f t="shared" si="21"/>
        <v>0.98069361229543572</v>
      </c>
      <c r="E152" s="39">
        <f>IF(_xlfn.NORM.INV(R152,C152,'Regressão Grupo 2'!$B$7)&lt;=0,0,IF(_xlfn.NORM.INV(R152,C152,'Regressão Grupo 2'!$B$7)&gt;100%,100%,_xlfn.NORM.INV(R152,C152,'Regressão Grupo 2'!$B$7)))</f>
        <v>0.42776710089906578</v>
      </c>
      <c r="F152" s="39">
        <f>IF(_xlfn.NORM.INV(S152,D152,'Regressão Grupo 2'!$B$7)&lt;=0,0,IF(_xlfn.NORM.INV(S152,D152,'Regressão Grupo 2'!$B$7)&gt;100%,100%,_xlfn.NORM.INV(S152,D152,'Regressão Grupo 2'!$B$7)))</f>
        <v>0.90798648168696061</v>
      </c>
      <c r="G152" s="41">
        <v>8.7273099164278771E-3</v>
      </c>
      <c r="H152" s="41">
        <v>1.5836017866264762E-2</v>
      </c>
      <c r="I152" s="40">
        <f t="shared" si="22"/>
        <v>74.632726292526101</v>
      </c>
      <c r="J152" s="40">
        <f t="shared" si="22"/>
        <v>0</v>
      </c>
      <c r="K152" s="36">
        <v>0.1587867508240482</v>
      </c>
      <c r="L152" s="42">
        <f t="shared" si="27"/>
        <v>19991.322604477216</v>
      </c>
      <c r="M152" s="42">
        <f t="shared" si="27"/>
        <v>0</v>
      </c>
      <c r="N152" s="42">
        <f t="shared" si="23"/>
        <v>3174.357161040286</v>
      </c>
      <c r="O152" s="36">
        <v>7.3936125498872833</v>
      </c>
      <c r="P152" s="42">
        <f t="shared" si="24"/>
        <v>1067.4732715154887</v>
      </c>
      <c r="Q152" s="42"/>
      <c r="R152">
        <v>0.31882686849574265</v>
      </c>
      <c r="S152">
        <v>0.29950865199743643</v>
      </c>
      <c r="T152" s="42"/>
      <c r="U152" s="42"/>
    </row>
    <row r="153" spans="1:21" x14ac:dyDescent="0.25">
      <c r="A153" s="40">
        <f t="shared" si="25"/>
        <v>64.229676878151835</v>
      </c>
      <c r="B153" s="40">
        <f t="shared" si="25"/>
        <v>32.933286051621081</v>
      </c>
      <c r="C153" s="41">
        <f t="shared" si="20"/>
        <v>0.49289226185293716</v>
      </c>
      <c r="D153" s="41">
        <f t="shared" si="21"/>
        <v>0.98069361229543572</v>
      </c>
      <c r="E153" s="39">
        <f>IF(_xlfn.NORM.INV(R153,C153,'Regressão Grupo 2'!$B$7)&lt;=0,0,IF(_xlfn.NORM.INV(R153,C153,'Regressão Grupo 2'!$B$7)&gt;100%,100%,_xlfn.NORM.INV(R153,C153,'Regressão Grupo 2'!$B$7)))</f>
        <v>0.6565308204463256</v>
      </c>
      <c r="F153" s="39">
        <f>IF(_xlfn.NORM.INV(S153,D153,'Regressão Grupo 2'!$B$7)&lt;=0,0,IF(_xlfn.NORM.INV(S153,D153,'Regressão Grupo 2'!$B$7)&gt;100%,100%,_xlfn.NORM.INV(S153,D153,'Regressão Grupo 2'!$B$7)))</f>
        <v>0.84858273200074152</v>
      </c>
      <c r="G153" s="41">
        <v>2.445735824291341E-2</v>
      </c>
      <c r="H153" s="41">
        <v>2.0565720103320854E-2</v>
      </c>
      <c r="I153" s="40">
        <f t="shared" si="22"/>
        <v>321.00085644128114</v>
      </c>
      <c r="J153" s="40">
        <f t="shared" si="22"/>
        <v>0</v>
      </c>
      <c r="K153" s="36">
        <v>0.36707466879199502</v>
      </c>
      <c r="L153" s="42">
        <f t="shared" si="27"/>
        <v>19991.322604477216</v>
      </c>
      <c r="M153" s="42">
        <f t="shared" si="27"/>
        <v>0</v>
      </c>
      <c r="N153" s="42">
        <f t="shared" si="23"/>
        <v>7338.3081237523975</v>
      </c>
      <c r="O153" s="36">
        <v>6.1397411500140047</v>
      </c>
      <c r="P153" s="42">
        <f t="shared" si="24"/>
        <v>11308.610995598821</v>
      </c>
      <c r="Q153" s="42"/>
      <c r="R153">
        <v>0.88167973876155892</v>
      </c>
      <c r="S153">
        <v>0.1696829126865444</v>
      </c>
      <c r="T153" s="42"/>
      <c r="U153" s="42"/>
    </row>
    <row r="154" spans="1:21" x14ac:dyDescent="0.25">
      <c r="A154" s="40">
        <f t="shared" si="25"/>
        <v>64.229676878151835</v>
      </c>
      <c r="B154" s="40">
        <f t="shared" si="25"/>
        <v>32.933286051621081</v>
      </c>
      <c r="C154" s="41">
        <f t="shared" si="20"/>
        <v>0.49289226185293716</v>
      </c>
      <c r="D154" s="41">
        <f t="shared" si="21"/>
        <v>0.98069361229543572</v>
      </c>
      <c r="E154" s="39">
        <f>IF(_xlfn.NORM.INV(R154,C154,'Regressão Grupo 2'!$B$7)&lt;=0,0,IF(_xlfn.NORM.INV(R154,C154,'Regressão Grupo 2'!$B$7)&gt;100%,100%,_xlfn.NORM.INV(R154,C154,'Regressão Grupo 2'!$B$7)))</f>
        <v>0.65638177012938026</v>
      </c>
      <c r="F154" s="39">
        <f>IF(_xlfn.NORM.INV(S154,D154,'Regressão Grupo 2'!$B$7)&lt;=0,0,IF(_xlfn.NORM.INV(S154,D154,'Regressão Grupo 2'!$B$7)&gt;100%,100%,_xlfn.NORM.INV(S154,D154,'Regressão Grupo 2'!$B$7)))</f>
        <v>0.97411699166658339</v>
      </c>
      <c r="G154" s="41">
        <v>9.5824520424574056E-3</v>
      </c>
      <c r="H154" s="41">
        <v>2.3589471524461236E-2</v>
      </c>
      <c r="I154" s="40">
        <f t="shared" si="22"/>
        <v>125.74035805514661</v>
      </c>
      <c r="J154" s="40">
        <f t="shared" si="22"/>
        <v>0</v>
      </c>
      <c r="K154" s="36">
        <v>0.40452904037310572</v>
      </c>
      <c r="L154" s="42">
        <f t="shared" si="27"/>
        <v>19991.322604477216</v>
      </c>
      <c r="M154" s="42">
        <f t="shared" si="27"/>
        <v>0</v>
      </c>
      <c r="N154" s="42">
        <f t="shared" si="23"/>
        <v>8087.070548978345</v>
      </c>
      <c r="O154" s="36">
        <v>4.6460817037735618</v>
      </c>
      <c r="P154" s="42">
        <f t="shared" si="24"/>
        <v>-595.00795753911461</v>
      </c>
      <c r="Q154" s="42"/>
      <c r="R154">
        <v>0.88146610919522694</v>
      </c>
      <c r="S154">
        <v>0.48103274636066773</v>
      </c>
      <c r="T154" s="42"/>
      <c r="U154" s="42"/>
    </row>
    <row r="155" spans="1:21" x14ac:dyDescent="0.25">
      <c r="A155" s="40">
        <f t="shared" si="25"/>
        <v>64.229676878151835</v>
      </c>
      <c r="B155" s="40">
        <f t="shared" si="25"/>
        <v>32.933286051621081</v>
      </c>
      <c r="C155" s="41">
        <f t="shared" si="20"/>
        <v>0.49289226185293716</v>
      </c>
      <c r="D155" s="41">
        <f t="shared" si="21"/>
        <v>0.98069361229543572</v>
      </c>
      <c r="E155" s="39">
        <f>IF(_xlfn.NORM.INV(R155,C155,'Regressão Grupo 2'!$B$7)&lt;=0,0,IF(_xlfn.NORM.INV(R155,C155,'Regressão Grupo 2'!$B$7)&gt;100%,100%,_xlfn.NORM.INV(R155,C155,'Regressão Grupo 2'!$B$7)))</f>
        <v>0.52450235595727723</v>
      </c>
      <c r="F155" s="39">
        <f>IF(_xlfn.NORM.INV(S155,D155,'Regressão Grupo 2'!$B$7)&lt;=0,0,IF(_xlfn.NORM.INV(S155,D155,'Regressão Grupo 2'!$B$7)&gt;100%,100%,_xlfn.NORM.INV(S155,D155,'Regressão Grupo 2'!$B$7)))</f>
        <v>1</v>
      </c>
      <c r="G155" s="41">
        <v>2.3401540097115002E-2</v>
      </c>
      <c r="H155" s="41">
        <v>2.1528419868988256E-2</v>
      </c>
      <c r="I155" s="40">
        <f t="shared" si="22"/>
        <v>245.37675051299462</v>
      </c>
      <c r="J155" s="40">
        <f t="shared" si="22"/>
        <v>0</v>
      </c>
      <c r="K155" s="36">
        <v>0.20526392509783187</v>
      </c>
      <c r="L155" s="42">
        <f t="shared" si="27"/>
        <v>19991.322604477216</v>
      </c>
      <c r="M155" s="42">
        <f t="shared" si="27"/>
        <v>0</v>
      </c>
      <c r="N155" s="42">
        <f t="shared" si="23"/>
        <v>4103.4973456920043</v>
      </c>
      <c r="O155" s="36">
        <v>6.2887844338565877</v>
      </c>
      <c r="P155" s="42">
        <f t="shared" si="24"/>
        <v>10113.850564112086</v>
      </c>
      <c r="Q155" s="42"/>
      <c r="R155">
        <v>0.59041108432264167</v>
      </c>
      <c r="S155">
        <v>0.69954527420880763</v>
      </c>
      <c r="T155" s="42"/>
      <c r="U155" s="42"/>
    </row>
    <row r="156" spans="1:21" x14ac:dyDescent="0.25">
      <c r="A156" s="40">
        <f t="shared" si="25"/>
        <v>64.229676878151835</v>
      </c>
      <c r="B156" s="40">
        <f t="shared" si="25"/>
        <v>32.933286051621081</v>
      </c>
      <c r="C156" s="41">
        <f t="shared" si="20"/>
        <v>0.49289226185293716</v>
      </c>
      <c r="D156" s="41">
        <f t="shared" si="21"/>
        <v>0.98069361229543572</v>
      </c>
      <c r="E156" s="39">
        <f>IF(_xlfn.NORM.INV(R156,C156,'Regressão Grupo 2'!$B$7)&lt;=0,0,IF(_xlfn.NORM.INV(R156,C156,'Regressão Grupo 2'!$B$7)&gt;100%,100%,_xlfn.NORM.INV(R156,C156,'Regressão Grupo 2'!$B$7)))</f>
        <v>0.29433046986484612</v>
      </c>
      <c r="F156" s="39">
        <f>IF(_xlfn.NORM.INV(S156,D156,'Regressão Grupo 2'!$B$7)&lt;=0,0,IF(_xlfn.NORM.INV(S156,D156,'Regressão Grupo 2'!$B$7)&gt;100%,100%,_xlfn.NORM.INV(S156,D156,'Regressão Grupo 2'!$B$7)))</f>
        <v>0.90499350103365428</v>
      </c>
      <c r="G156" s="41">
        <v>1.0315449032904858E-2</v>
      </c>
      <c r="H156" s="41">
        <v>1.4095849229738069E-2</v>
      </c>
      <c r="I156" s="40">
        <f t="shared" si="22"/>
        <v>60.696673331682128</v>
      </c>
      <c r="J156" s="40">
        <f t="shared" si="22"/>
        <v>0</v>
      </c>
      <c r="K156" s="36">
        <v>0.15928422111823848</v>
      </c>
      <c r="L156" s="42">
        <f t="shared" si="27"/>
        <v>19991.322604477216</v>
      </c>
      <c r="M156" s="42">
        <f t="shared" si="27"/>
        <v>0</v>
      </c>
      <c r="N156" s="42">
        <f t="shared" si="23"/>
        <v>3184.3022501775881</v>
      </c>
      <c r="O156" s="36">
        <v>6.461730606112976</v>
      </c>
      <c r="P156" s="42">
        <f t="shared" si="24"/>
        <v>322.01991373851888</v>
      </c>
      <c r="Q156" s="42"/>
      <c r="R156">
        <v>7.5502792443617059E-2</v>
      </c>
      <c r="S156">
        <v>0.29203161717581716</v>
      </c>
      <c r="T156" s="42"/>
      <c r="U156" s="42"/>
    </row>
    <row r="157" spans="1:21" x14ac:dyDescent="0.25">
      <c r="A157" s="40">
        <f t="shared" si="25"/>
        <v>64.229676878151835</v>
      </c>
      <c r="B157" s="40">
        <f t="shared" si="25"/>
        <v>32.933286051621081</v>
      </c>
      <c r="C157" s="41">
        <f t="shared" si="20"/>
        <v>0.49289226185293716</v>
      </c>
      <c r="D157" s="41">
        <f t="shared" si="21"/>
        <v>0.98069361229543572</v>
      </c>
      <c r="E157" s="39">
        <f>IF(_xlfn.NORM.INV(R157,C157,'Regressão Grupo 2'!$B$7)&lt;=0,0,IF(_xlfn.NORM.INV(R157,C157,'Regressão Grupo 2'!$B$7)&gt;100%,100%,_xlfn.NORM.INV(R157,C157,'Regressão Grupo 2'!$B$7)))</f>
        <v>0.58418501921818122</v>
      </c>
      <c r="F157" s="39">
        <f>IF(_xlfn.NORM.INV(S157,D157,'Regressão Grupo 2'!$B$7)&lt;=0,0,IF(_xlfn.NORM.INV(S157,D157,'Regressão Grupo 2'!$B$7)&gt;100%,100%,_xlfn.NORM.INV(S157,D157,'Regressão Grupo 2'!$B$7)))</f>
        <v>0.84739241149587008</v>
      </c>
      <c r="G157" s="41">
        <v>1.6412772925519785E-2</v>
      </c>
      <c r="H157" s="41">
        <v>1.9663043499302355E-2</v>
      </c>
      <c r="I157" s="40">
        <f t="shared" si="22"/>
        <v>191.67872163648531</v>
      </c>
      <c r="J157" s="40">
        <f t="shared" si="22"/>
        <v>0</v>
      </c>
      <c r="K157" s="36">
        <v>0.27097806459690443</v>
      </c>
      <c r="L157" s="42">
        <f t="shared" si="27"/>
        <v>19991.322604477216</v>
      </c>
      <c r="M157" s="42">
        <f t="shared" si="27"/>
        <v>0</v>
      </c>
      <c r="N157" s="42">
        <f t="shared" si="23"/>
        <v>5417.2099080935832</v>
      </c>
      <c r="O157" s="36">
        <v>4.7124458755859244</v>
      </c>
      <c r="P157" s="42">
        <f t="shared" si="24"/>
        <v>5990.9768458216413</v>
      </c>
      <c r="Q157" s="42"/>
      <c r="R157">
        <v>0.74544511246070744</v>
      </c>
      <c r="S157">
        <v>0.1675160985137486</v>
      </c>
      <c r="T157" s="42"/>
      <c r="U157" s="42"/>
    </row>
    <row r="158" spans="1:21" x14ac:dyDescent="0.25">
      <c r="A158" s="40">
        <f t="shared" si="25"/>
        <v>64.229676878151835</v>
      </c>
      <c r="B158" s="40">
        <f t="shared" si="25"/>
        <v>32.933286051621081</v>
      </c>
      <c r="C158" s="41">
        <f t="shared" si="20"/>
        <v>0.49289226185293716</v>
      </c>
      <c r="D158" s="41">
        <f t="shared" si="21"/>
        <v>0.98069361229543572</v>
      </c>
      <c r="E158" s="39">
        <f>IF(_xlfn.NORM.INV(R158,C158,'Regressão Grupo 2'!$B$7)&lt;=0,0,IF(_xlfn.NORM.INV(R158,C158,'Regressão Grupo 2'!$B$7)&gt;100%,100%,_xlfn.NORM.INV(R158,C158,'Regressão Grupo 2'!$B$7)))</f>
        <v>0.59989199916780944</v>
      </c>
      <c r="F158" s="39">
        <f>IF(_xlfn.NORM.INV(S158,D158,'Regressão Grupo 2'!$B$7)&lt;=0,0,IF(_xlfn.NORM.INV(S158,D158,'Regressão Grupo 2'!$B$7)&gt;100%,100%,_xlfn.NORM.INV(S158,D158,'Regressão Grupo 2'!$B$7)))</f>
        <v>0.8222446543048717</v>
      </c>
      <c r="G158" s="41">
        <v>4.5674985390145601E-3</v>
      </c>
      <c r="H158" s="41">
        <v>1.0427815129949294E-2</v>
      </c>
      <c r="I158" s="40">
        <f t="shared" si="22"/>
        <v>54.776340480990264</v>
      </c>
      <c r="J158" s="40">
        <f t="shared" si="22"/>
        <v>0</v>
      </c>
      <c r="K158" s="36">
        <v>0.2305655297511717</v>
      </c>
      <c r="L158" s="42">
        <f t="shared" si="27"/>
        <v>19991.322604477216</v>
      </c>
      <c r="M158" s="42">
        <f t="shared" si="27"/>
        <v>0</v>
      </c>
      <c r="N158" s="42">
        <f t="shared" si="23"/>
        <v>4609.3098867278632</v>
      </c>
      <c r="O158" s="36">
        <v>9.1492883246871877</v>
      </c>
      <c r="P158" s="42">
        <f t="shared" si="24"/>
        <v>-1592.2077694980449</v>
      </c>
      <c r="Q158" s="42"/>
      <c r="R158">
        <v>0.78048036133915222</v>
      </c>
      <c r="S158">
        <v>0.12591937009796442</v>
      </c>
      <c r="T158" s="42"/>
      <c r="U158" s="42"/>
    </row>
    <row r="159" spans="1:21" x14ac:dyDescent="0.25">
      <c r="A159" s="40">
        <f t="shared" si="25"/>
        <v>64.229676878151835</v>
      </c>
      <c r="B159" s="40">
        <f t="shared" si="25"/>
        <v>32.933286051621081</v>
      </c>
      <c r="C159" s="41">
        <f t="shared" si="20"/>
        <v>0.49289226185293716</v>
      </c>
      <c r="D159" s="41">
        <f t="shared" si="21"/>
        <v>0.98069361229543572</v>
      </c>
      <c r="E159" s="39">
        <f>IF(_xlfn.NORM.INV(R159,C159,'Regressão Grupo 2'!$B$7)&lt;=0,0,IF(_xlfn.NORM.INV(R159,C159,'Regressão Grupo 2'!$B$7)&gt;100%,100%,_xlfn.NORM.INV(R159,C159,'Regressão Grupo 2'!$B$7)))</f>
        <v>0.51777278040715125</v>
      </c>
      <c r="F159" s="39">
        <f>IF(_xlfn.NORM.INV(S159,D159,'Regressão Grupo 2'!$B$7)&lt;=0,0,IF(_xlfn.NORM.INV(S159,D159,'Regressão Grupo 2'!$B$7)&gt;100%,100%,_xlfn.NORM.INV(S159,D159,'Regressão Grupo 2'!$B$7)))</f>
        <v>0.85695629424833142</v>
      </c>
      <c r="G159" s="41">
        <v>1.1779449426481958E-2</v>
      </c>
      <c r="H159" s="41">
        <v>2.1840880580830196E-2</v>
      </c>
      <c r="I159" s="40">
        <f t="shared" si="22"/>
        <v>121.92864150972922</v>
      </c>
      <c r="J159" s="40">
        <f t="shared" si="22"/>
        <v>0</v>
      </c>
      <c r="K159" s="36">
        <v>0.29609250983951718</v>
      </c>
      <c r="L159" s="42">
        <f t="shared" si="27"/>
        <v>19991.322604477216</v>
      </c>
      <c r="M159" s="42">
        <f t="shared" si="27"/>
        <v>0</v>
      </c>
      <c r="N159" s="42">
        <f t="shared" si="23"/>
        <v>5919.2808849711328</v>
      </c>
      <c r="O159" s="36">
        <v>7.9756550930737546</v>
      </c>
      <c r="P159" s="42">
        <f t="shared" si="24"/>
        <v>939.69557074214936</v>
      </c>
      <c r="Q159" s="42"/>
      <c r="R159">
        <v>0.5713980529190954</v>
      </c>
      <c r="S159">
        <v>0.18543046357615894</v>
      </c>
      <c r="T159" s="42"/>
      <c r="U159" s="42"/>
    </row>
    <row r="160" spans="1:21" x14ac:dyDescent="0.25">
      <c r="A160" s="40">
        <f t="shared" si="25"/>
        <v>64.229676878151835</v>
      </c>
      <c r="B160" s="40">
        <f t="shared" si="25"/>
        <v>32.933286051621081</v>
      </c>
      <c r="C160" s="41">
        <f t="shared" si="20"/>
        <v>0.49289226185293716</v>
      </c>
      <c r="D160" s="41">
        <f t="shared" si="21"/>
        <v>0.98069361229543572</v>
      </c>
      <c r="E160" s="39">
        <f>IF(_xlfn.NORM.INV(R160,C160,'Regressão Grupo 2'!$B$7)&lt;=0,0,IF(_xlfn.NORM.INV(R160,C160,'Regressão Grupo 2'!$B$7)&gt;100%,100%,_xlfn.NORM.INV(R160,C160,'Regressão Grupo 2'!$B$7)))</f>
        <v>0.61121468163507853</v>
      </c>
      <c r="F160" s="39">
        <f>IF(_xlfn.NORM.INV(S160,D160,'Regressão Grupo 2'!$B$7)&lt;=0,0,IF(_xlfn.NORM.INV(S160,D160,'Regressão Grupo 2'!$B$7)&gt;100%,100%,_xlfn.NORM.INV(S160,D160,'Regressão Grupo 2'!$B$7)))</f>
        <v>0.82540523059252557</v>
      </c>
      <c r="G160" s="41">
        <v>7.4747686356681836E-3</v>
      </c>
      <c r="H160" s="41">
        <v>1.9304580694356251E-2</v>
      </c>
      <c r="I160" s="40">
        <f t="shared" si="22"/>
        <v>91.33412232323937</v>
      </c>
      <c r="J160" s="40">
        <f t="shared" si="22"/>
        <v>0</v>
      </c>
      <c r="K160" s="36">
        <v>0.34529614775805184</v>
      </c>
      <c r="L160" s="42">
        <f t="shared" si="27"/>
        <v>19991.322604477216</v>
      </c>
      <c r="M160" s="42">
        <f t="shared" si="27"/>
        <v>0</v>
      </c>
      <c r="N160" s="42">
        <f t="shared" si="23"/>
        <v>6902.9266839144466</v>
      </c>
      <c r="O160" s="36">
        <v>3.3329315499089613</v>
      </c>
      <c r="P160" s="42">
        <f t="shared" si="24"/>
        <v>-1340.9758970175562</v>
      </c>
      <c r="Q160" s="42"/>
      <c r="R160">
        <v>0.80391857661671806</v>
      </c>
      <c r="S160">
        <v>0.13071077608569598</v>
      </c>
      <c r="T160" s="42"/>
      <c r="U160" s="42"/>
    </row>
    <row r="161" spans="1:21" x14ac:dyDescent="0.25">
      <c r="A161" s="40">
        <f t="shared" si="25"/>
        <v>64.229676878151835</v>
      </c>
      <c r="B161" s="40">
        <f t="shared" si="25"/>
        <v>32.933286051621081</v>
      </c>
      <c r="C161" s="41">
        <f t="shared" si="20"/>
        <v>0.49289226185293716</v>
      </c>
      <c r="D161" s="41">
        <f t="shared" si="21"/>
        <v>0.98069361229543572</v>
      </c>
      <c r="E161" s="39">
        <f>IF(_xlfn.NORM.INV(R161,C161,'Regressão Grupo 2'!$B$7)&lt;=0,0,IF(_xlfn.NORM.INV(R161,C161,'Regressão Grupo 2'!$B$7)&gt;100%,100%,_xlfn.NORM.INV(R161,C161,'Regressão Grupo 2'!$B$7)))</f>
        <v>0.46204174750208954</v>
      </c>
      <c r="F161" s="39">
        <f>IF(_xlfn.NORM.INV(S161,D161,'Regressão Grupo 2'!$B$7)&lt;=0,0,IF(_xlfn.NORM.INV(S161,D161,'Regressão Grupo 2'!$B$7)&gt;100%,100%,_xlfn.NORM.INV(S161,D161,'Regressão Grupo 2'!$B$7)))</f>
        <v>1</v>
      </c>
      <c r="G161" s="41">
        <v>1.7523262366594464E-2</v>
      </c>
      <c r="H161" s="41">
        <v>2.9385121002026022E-3</v>
      </c>
      <c r="I161" s="40">
        <f t="shared" si="22"/>
        <v>161.85931896738549</v>
      </c>
      <c r="J161" s="40">
        <f t="shared" si="22"/>
        <v>0</v>
      </c>
      <c r="K161" s="36">
        <v>0.28907038144164404</v>
      </c>
      <c r="L161" s="42">
        <f t="shared" si="27"/>
        <v>19991.322604477216</v>
      </c>
      <c r="M161" s="42">
        <f t="shared" si="27"/>
        <v>0</v>
      </c>
      <c r="N161" s="42">
        <f t="shared" si="23"/>
        <v>5778.8992507991898</v>
      </c>
      <c r="O161" s="36">
        <v>3.779115904263298</v>
      </c>
      <c r="P161" s="42">
        <f t="shared" si="24"/>
        <v>4005.5873796308206</v>
      </c>
      <c r="Q161" s="42"/>
      <c r="R161">
        <v>0.41172521134067813</v>
      </c>
      <c r="S161">
        <v>0.86004211554307686</v>
      </c>
      <c r="T161" s="42"/>
      <c r="U161" s="42"/>
    </row>
    <row r="162" spans="1:21" x14ac:dyDescent="0.25">
      <c r="A162" s="40">
        <f t="shared" si="25"/>
        <v>64.229676878151835</v>
      </c>
      <c r="B162" s="40">
        <f t="shared" si="25"/>
        <v>32.933286051621081</v>
      </c>
      <c r="C162" s="41">
        <f t="shared" si="20"/>
        <v>0.49289226185293716</v>
      </c>
      <c r="D162" s="41">
        <f t="shared" si="21"/>
        <v>0.98069361229543572</v>
      </c>
      <c r="E162" s="39">
        <f>IF(_xlfn.NORM.INV(R162,C162,'Regressão Grupo 2'!$B$7)&lt;=0,0,IF(_xlfn.NORM.INV(R162,C162,'Regressão Grupo 2'!$B$7)&gt;100%,100%,_xlfn.NORM.INV(R162,C162,'Regressão Grupo 2'!$B$7)))</f>
        <v>0.68166783517058904</v>
      </c>
      <c r="F162" s="39">
        <f>IF(_xlfn.NORM.INV(S162,D162,'Regressão Grupo 2'!$B$7)&lt;=0,0,IF(_xlfn.NORM.INV(S162,D162,'Regressão Grupo 2'!$B$7)&gt;100%,100%,_xlfn.NORM.INV(S162,D162,'Regressão Grupo 2'!$B$7)))</f>
        <v>0.88170710445586409</v>
      </c>
      <c r="G162" s="41">
        <v>2.0442972178207584E-2</v>
      </c>
      <c r="H162" s="41">
        <v>2.1747785041945196E-2</v>
      </c>
      <c r="I162" s="40">
        <f t="shared" si="22"/>
        <v>278.58540952964745</v>
      </c>
      <c r="J162" s="40">
        <f t="shared" si="22"/>
        <v>0</v>
      </c>
      <c r="K162" s="36">
        <v>0.26396190647495643</v>
      </c>
      <c r="L162" s="42">
        <f t="shared" si="27"/>
        <v>19991.322604477216</v>
      </c>
      <c r="M162" s="42">
        <f t="shared" si="27"/>
        <v>0</v>
      </c>
      <c r="N162" s="42">
        <f t="shared" si="23"/>
        <v>5276.9476276336973</v>
      </c>
      <c r="O162" s="36">
        <v>7.4772685350236081</v>
      </c>
      <c r="P162" s="42">
        <f t="shared" si="24"/>
        <v>10533.445292430462</v>
      </c>
      <c r="Q162" s="42"/>
      <c r="R162">
        <v>0.91390728476821192</v>
      </c>
      <c r="S162">
        <v>0.2370372631000702</v>
      </c>
      <c r="T162" s="42"/>
      <c r="U162" s="42"/>
    </row>
    <row r="163" spans="1:21" x14ac:dyDescent="0.25">
      <c r="A163" s="40">
        <f t="shared" si="25"/>
        <v>64.229676878151835</v>
      </c>
      <c r="B163" s="40">
        <f t="shared" si="25"/>
        <v>32.933286051621081</v>
      </c>
      <c r="C163" s="41">
        <f t="shared" si="20"/>
        <v>0.49289226185293716</v>
      </c>
      <c r="D163" s="41">
        <f t="shared" si="21"/>
        <v>0.98069361229543572</v>
      </c>
      <c r="E163" s="39">
        <f>IF(_xlfn.NORM.INV(R163,C163,'Regressão Grupo 2'!$B$7)&lt;=0,0,IF(_xlfn.NORM.INV(R163,C163,'Regressão Grupo 2'!$B$7)&gt;100%,100%,_xlfn.NORM.INV(R163,C163,'Regressão Grupo 2'!$B$7)))</f>
        <v>0.40812866993066554</v>
      </c>
      <c r="F163" s="39">
        <f>IF(_xlfn.NORM.INV(S163,D163,'Regressão Grupo 2'!$B$7)&lt;=0,0,IF(_xlfn.NORM.INV(S163,D163,'Regressão Grupo 2'!$B$7)&gt;100%,100%,_xlfn.NORM.INV(S163,D163,'Regressão Grupo 2'!$B$7)))</f>
        <v>0.9060480705489482</v>
      </c>
      <c r="G163" s="41">
        <v>2.4845985550431066E-2</v>
      </c>
      <c r="H163" s="41">
        <v>2.653852586622589E-2</v>
      </c>
      <c r="I163" s="40">
        <f t="shared" si="22"/>
        <v>202.71918881018254</v>
      </c>
      <c r="J163" s="40">
        <f t="shared" si="22"/>
        <v>0</v>
      </c>
      <c r="K163" s="36">
        <v>0.24550225778512458</v>
      </c>
      <c r="L163" s="42">
        <f t="shared" si="27"/>
        <v>19991.322604477216</v>
      </c>
      <c r="M163" s="42">
        <f t="shared" si="27"/>
        <v>0</v>
      </c>
      <c r="N163" s="42">
        <f t="shared" si="23"/>
        <v>4907.9148355099533</v>
      </c>
      <c r="O163" s="36">
        <v>5.1420370964255904</v>
      </c>
      <c r="P163" s="42">
        <f t="shared" si="24"/>
        <v>7070.2835697498631</v>
      </c>
      <c r="Q163" s="42"/>
      <c r="R163">
        <v>0.26993621631519515</v>
      </c>
      <c r="S163">
        <v>0.2946562089907529</v>
      </c>
      <c r="T163" s="42"/>
      <c r="U163" s="42"/>
    </row>
    <row r="164" spans="1:21" x14ac:dyDescent="0.25">
      <c r="A164" s="40">
        <f t="shared" si="25"/>
        <v>64.229676878151835</v>
      </c>
      <c r="B164" s="40">
        <f t="shared" si="25"/>
        <v>32.933286051621081</v>
      </c>
      <c r="C164" s="41">
        <f t="shared" si="20"/>
        <v>0.49289226185293716</v>
      </c>
      <c r="D164" s="41">
        <f t="shared" si="21"/>
        <v>0.98069361229543572</v>
      </c>
      <c r="E164" s="39">
        <f>IF(_xlfn.NORM.INV(R164,C164,'Regressão Grupo 2'!$B$7)&lt;=0,0,IF(_xlfn.NORM.INV(R164,C164,'Regressão Grupo 2'!$B$7)&gt;100%,100%,_xlfn.NORM.INV(R164,C164,'Regressão Grupo 2'!$B$7)))</f>
        <v>0.73383512575800691</v>
      </c>
      <c r="F164" s="39">
        <f>IF(_xlfn.NORM.INV(S164,D164,'Regressão Grupo 2'!$B$7)&lt;=0,0,IF(_xlfn.NORM.INV(S164,D164,'Regressão Grupo 2'!$B$7)&gt;100%,100%,_xlfn.NORM.INV(S164,D164,'Regressão Grupo 2'!$B$7)))</f>
        <v>1</v>
      </c>
      <c r="G164" s="41">
        <v>1.165943392715961E-2</v>
      </c>
      <c r="H164" s="41">
        <v>8.9886895476191525E-3</v>
      </c>
      <c r="I164" s="40">
        <f t="shared" si="22"/>
        <v>171.0477985614921</v>
      </c>
      <c r="J164" s="40">
        <f t="shared" si="22"/>
        <v>0</v>
      </c>
      <c r="K164" s="36">
        <v>0.28349431368465361</v>
      </c>
      <c r="L164" s="42">
        <f t="shared" si="27"/>
        <v>19991.322604477216</v>
      </c>
      <c r="M164" s="42">
        <f t="shared" si="27"/>
        <v>0</v>
      </c>
      <c r="N164" s="42">
        <f t="shared" si="23"/>
        <v>5667.4262814047706</v>
      </c>
      <c r="O164" s="36">
        <v>6.015438155085822</v>
      </c>
      <c r="P164" s="42">
        <f t="shared" si="24"/>
        <v>4289.9910971088393</v>
      </c>
      <c r="Q164" s="42"/>
      <c r="R164">
        <v>0.95928830835901979</v>
      </c>
      <c r="S164">
        <v>0.92248298593096711</v>
      </c>
      <c r="T164" s="42"/>
      <c r="U164" s="42"/>
    </row>
    <row r="165" spans="1:21" x14ac:dyDescent="0.25">
      <c r="A165" s="40">
        <f t="shared" si="25"/>
        <v>64.229676878151835</v>
      </c>
      <c r="B165" s="40">
        <f t="shared" si="25"/>
        <v>32.933286051621081</v>
      </c>
      <c r="C165" s="41">
        <f t="shared" si="20"/>
        <v>0.49289226185293716</v>
      </c>
      <c r="D165" s="41">
        <f t="shared" si="21"/>
        <v>0.98069361229543572</v>
      </c>
      <c r="E165" s="39">
        <f>IF(_xlfn.NORM.INV(R165,C165,'Regressão Grupo 2'!$B$7)&lt;=0,0,IF(_xlfn.NORM.INV(R165,C165,'Regressão Grupo 2'!$B$7)&gt;100%,100%,_xlfn.NORM.INV(R165,C165,'Regressão Grupo 2'!$B$7)))</f>
        <v>0.34454216678105387</v>
      </c>
      <c r="F165" s="39">
        <f>IF(_xlfn.NORM.INV(S165,D165,'Regressão Grupo 2'!$B$7)&lt;=0,0,IF(_xlfn.NORM.INV(S165,D165,'Regressão Grupo 2'!$B$7)&gt;100%,100%,_xlfn.NORM.INV(S165,D165,'Regressão Grupo 2'!$B$7)))</f>
        <v>1</v>
      </c>
      <c r="G165" s="41">
        <v>2.3773693171333352E-2</v>
      </c>
      <c r="H165" s="41">
        <v>1.1669718592960131E-2</v>
      </c>
      <c r="I165" s="40">
        <f t="shared" si="22"/>
        <v>163.74971826106287</v>
      </c>
      <c r="J165" s="40">
        <f t="shared" si="22"/>
        <v>0</v>
      </c>
      <c r="K165" s="36">
        <v>0.38694025056303627</v>
      </c>
      <c r="L165" s="42">
        <f t="shared" si="27"/>
        <v>19991.322604477216</v>
      </c>
      <c r="M165" s="42">
        <f t="shared" si="27"/>
        <v>0</v>
      </c>
      <c r="N165" s="42">
        <f t="shared" si="23"/>
        <v>7735.4473776629047</v>
      </c>
      <c r="O165" s="36">
        <v>3.4977853638777279</v>
      </c>
      <c r="P165" s="42">
        <f t="shared" si="24"/>
        <v>2209.3827472609164</v>
      </c>
      <c r="Q165" s="42"/>
      <c r="R165">
        <v>0.14166692098757896</v>
      </c>
      <c r="S165">
        <v>0.71764275032807401</v>
      </c>
      <c r="T165" s="42"/>
      <c r="U165" s="42"/>
    </row>
    <row r="166" spans="1:21" x14ac:dyDescent="0.25">
      <c r="A166" s="40">
        <f t="shared" si="25"/>
        <v>64.229676878151835</v>
      </c>
      <c r="B166" s="40">
        <f t="shared" si="25"/>
        <v>32.933286051621081</v>
      </c>
      <c r="C166" s="41">
        <f t="shared" si="20"/>
        <v>0.49289226185293716</v>
      </c>
      <c r="D166" s="41">
        <f t="shared" si="21"/>
        <v>0.98069361229543572</v>
      </c>
      <c r="E166" s="39">
        <f>IF(_xlfn.NORM.INV(R166,C166,'Regressão Grupo 2'!$B$7)&lt;=0,0,IF(_xlfn.NORM.INV(R166,C166,'Regressão Grupo 2'!$B$7)&gt;100%,100%,_xlfn.NORM.INV(R166,C166,'Regressão Grupo 2'!$B$7)))</f>
        <v>0.3224744845854679</v>
      </c>
      <c r="F166" s="39">
        <f>IF(_xlfn.NORM.INV(S166,D166,'Regressão Grupo 2'!$B$7)&lt;=0,0,IF(_xlfn.NORM.INV(S166,D166,'Regressão Grupo 2'!$B$7)&gt;100%,100%,_xlfn.NORM.INV(S166,D166,'Regressão Grupo 2'!$B$7)))</f>
        <v>1</v>
      </c>
      <c r="G166" s="41">
        <v>2.3946853341538669E-2</v>
      </c>
      <c r="H166" s="41">
        <v>1.2285989269160622E-2</v>
      </c>
      <c r="I166" s="40">
        <f t="shared" si="22"/>
        <v>154.37797476459309</v>
      </c>
      <c r="J166" s="40">
        <f t="shared" si="22"/>
        <v>0</v>
      </c>
      <c r="K166" s="36">
        <v>0.28752621785287025</v>
      </c>
      <c r="L166" s="42">
        <f t="shared" si="27"/>
        <v>19991.322604477216</v>
      </c>
      <c r="M166" s="42">
        <f t="shared" si="27"/>
        <v>0</v>
      </c>
      <c r="N166" s="42">
        <f t="shared" si="23"/>
        <v>5748.0293783419256</v>
      </c>
      <c r="O166" s="36">
        <v>7.3465667717586403</v>
      </c>
      <c r="P166" s="42">
        <f t="shared" si="24"/>
        <v>3033.4699581944133</v>
      </c>
      <c r="Q166" s="42"/>
      <c r="R166">
        <v>0.10889004181035798</v>
      </c>
      <c r="S166">
        <v>0.61824396496475109</v>
      </c>
      <c r="T166" s="42"/>
      <c r="U166" s="42"/>
    </row>
    <row r="167" spans="1:21" x14ac:dyDescent="0.25">
      <c r="A167" s="40">
        <f t="shared" si="25"/>
        <v>64.229676878151835</v>
      </c>
      <c r="B167" s="40">
        <f t="shared" si="25"/>
        <v>32.933286051621081</v>
      </c>
      <c r="C167" s="41">
        <f t="shared" si="20"/>
        <v>0.49289226185293716</v>
      </c>
      <c r="D167" s="41">
        <f t="shared" si="21"/>
        <v>0.98069361229543572</v>
      </c>
      <c r="E167" s="39">
        <f>IF(_xlfn.NORM.INV(R167,C167,'Regressão Grupo 2'!$B$7)&lt;=0,0,IF(_xlfn.NORM.INV(R167,C167,'Regressão Grupo 2'!$B$7)&gt;100%,100%,_xlfn.NORM.INV(R167,C167,'Regressão Grupo 2'!$B$7)))</f>
        <v>0.4646931183770221</v>
      </c>
      <c r="F167" s="39">
        <f>IF(_xlfn.NORM.INV(S167,D167,'Regressão Grupo 2'!$B$7)&lt;=0,0,IF(_xlfn.NORM.INV(S167,D167,'Regressão Grupo 2'!$B$7)&gt;100%,100%,_xlfn.NORM.INV(S167,D167,'Regressão Grupo 2'!$B$7)))</f>
        <v>0.94356284692055037</v>
      </c>
      <c r="G167" s="41">
        <v>4.0321581505117733E-3</v>
      </c>
      <c r="H167" s="41">
        <v>2.4396746072800408E-2</v>
      </c>
      <c r="I167" s="40">
        <f t="shared" si="22"/>
        <v>37.458063918927408</v>
      </c>
      <c r="J167" s="40">
        <f t="shared" si="22"/>
        <v>0</v>
      </c>
      <c r="K167" s="36">
        <v>0.40638608000328758</v>
      </c>
      <c r="L167" s="42">
        <f t="shared" ref="L167:M182" si="28">L166</f>
        <v>19991.322604477216</v>
      </c>
      <c r="M167" s="42">
        <f t="shared" si="28"/>
        <v>0</v>
      </c>
      <c r="N167" s="42">
        <f t="shared" si="23"/>
        <v>8124.1952273146098</v>
      </c>
      <c r="O167" s="36">
        <v>5.0293784554227052</v>
      </c>
      <c r="P167" s="42">
        <f t="shared" si="24"/>
        <v>-5906.6666649764447</v>
      </c>
      <c r="Q167" s="42"/>
      <c r="R167">
        <v>0.41920224616229745</v>
      </c>
      <c r="S167">
        <v>0.39414654988250375</v>
      </c>
      <c r="T167" s="42"/>
      <c r="U167" s="42"/>
    </row>
    <row r="168" spans="1:21" x14ac:dyDescent="0.25">
      <c r="A168" s="40">
        <f t="shared" si="25"/>
        <v>64.229676878151835</v>
      </c>
      <c r="B168" s="40">
        <f t="shared" si="25"/>
        <v>32.933286051621081</v>
      </c>
      <c r="C168" s="41">
        <f t="shared" si="20"/>
        <v>0.49289226185293716</v>
      </c>
      <c r="D168" s="41">
        <f t="shared" si="21"/>
        <v>0.98069361229543572</v>
      </c>
      <c r="E168" s="39">
        <f>IF(_xlfn.NORM.INV(R168,C168,'Regressão Grupo 2'!$B$7)&lt;=0,0,IF(_xlfn.NORM.INV(R168,C168,'Regressão Grupo 2'!$B$7)&gt;100%,100%,_xlfn.NORM.INV(R168,C168,'Regressão Grupo 2'!$B$7)))</f>
        <v>0.58253412317596898</v>
      </c>
      <c r="F168" s="39">
        <f>IF(_xlfn.NORM.INV(S168,D168,'Regressão Grupo 2'!$B$7)&lt;=0,0,IF(_xlfn.NORM.INV(S168,D168,'Regressão Grupo 2'!$B$7)&gt;100%,100%,_xlfn.NORM.INV(S168,D168,'Regressão Grupo 2'!$B$7)))</f>
        <v>0.84602226120262403</v>
      </c>
      <c r="G168" s="41">
        <v>2.0012644178454823E-2</v>
      </c>
      <c r="H168" s="41">
        <v>2.545412581928632E-2</v>
      </c>
      <c r="I168" s="40">
        <f t="shared" si="22"/>
        <v>233.05980108393845</v>
      </c>
      <c r="J168" s="40">
        <f t="shared" si="22"/>
        <v>0</v>
      </c>
      <c r="K168" s="36">
        <v>0.34570323316360596</v>
      </c>
      <c r="L168" s="42">
        <f t="shared" si="28"/>
        <v>19991.322604477216</v>
      </c>
      <c r="M168" s="42">
        <f t="shared" si="28"/>
        <v>0</v>
      </c>
      <c r="N168" s="42">
        <f t="shared" si="23"/>
        <v>6911.0648595844532</v>
      </c>
      <c r="O168" s="36">
        <v>3.8487327778383529</v>
      </c>
      <c r="P168" s="42">
        <f t="shared" si="24"/>
        <v>7161.305961695015</v>
      </c>
      <c r="Q168" s="42"/>
      <c r="R168">
        <v>0.74159978026673179</v>
      </c>
      <c r="S168">
        <v>0.16504409924619282</v>
      </c>
      <c r="T168" s="42"/>
      <c r="U168" s="42"/>
    </row>
    <row r="169" spans="1:21" x14ac:dyDescent="0.25">
      <c r="A169" s="40">
        <f t="shared" si="25"/>
        <v>64.229676878151835</v>
      </c>
      <c r="B169" s="40">
        <f t="shared" si="25"/>
        <v>32.933286051621081</v>
      </c>
      <c r="C169" s="41">
        <f t="shared" si="20"/>
        <v>0.49289226185293716</v>
      </c>
      <c r="D169" s="41">
        <f t="shared" si="21"/>
        <v>0.98069361229543572</v>
      </c>
      <c r="E169" s="39">
        <f>IF(_xlfn.NORM.INV(R169,C169,'Regressão Grupo 2'!$B$7)&lt;=0,0,IF(_xlfn.NORM.INV(R169,C169,'Regressão Grupo 2'!$B$7)&gt;100%,100%,_xlfn.NORM.INV(R169,C169,'Regressão Grupo 2'!$B$7)))</f>
        <v>0.3491249423930527</v>
      </c>
      <c r="F169" s="39">
        <f>IF(_xlfn.NORM.INV(S169,D169,'Regressão Grupo 2'!$B$7)&lt;=0,0,IF(_xlfn.NORM.INV(S169,D169,'Regressão Grupo 2'!$B$7)&gt;100%,100%,_xlfn.NORM.INV(S169,D169,'Regressão Grupo 2'!$B$7)))</f>
        <v>1</v>
      </c>
      <c r="G169" s="41">
        <v>1.8545673951722769E-2</v>
      </c>
      <c r="H169" s="41">
        <v>1.030679024505882E-2</v>
      </c>
      <c r="I169" s="40">
        <f t="shared" si="22"/>
        <v>129.43896297027067</v>
      </c>
      <c r="J169" s="40">
        <f t="shared" si="22"/>
        <v>0</v>
      </c>
      <c r="K169" s="36">
        <v>0.46438276944473705</v>
      </c>
      <c r="L169" s="42">
        <f t="shared" si="28"/>
        <v>19991.322604477216</v>
      </c>
      <c r="M169" s="42">
        <f t="shared" si="28"/>
        <v>0</v>
      </c>
      <c r="N169" s="42">
        <f t="shared" si="23"/>
        <v>9283.6257559303031</v>
      </c>
      <c r="O169" s="36">
        <v>10.227638993777255</v>
      </c>
      <c r="P169" s="42">
        <f t="shared" si="24"/>
        <v>-2293.6579738955888</v>
      </c>
      <c r="Q169" s="42"/>
      <c r="R169">
        <v>0.14923551133762628</v>
      </c>
      <c r="S169">
        <v>0.97741630298776205</v>
      </c>
      <c r="T169" s="42"/>
      <c r="U169" s="42"/>
    </row>
    <row r="170" spans="1:21" x14ac:dyDescent="0.25">
      <c r="A170" s="40">
        <f t="shared" si="25"/>
        <v>64.229676878151835</v>
      </c>
      <c r="B170" s="40">
        <f t="shared" si="25"/>
        <v>32.933286051621081</v>
      </c>
      <c r="C170" s="41">
        <f t="shared" si="20"/>
        <v>0.49289226185293716</v>
      </c>
      <c r="D170" s="41">
        <f t="shared" si="21"/>
        <v>0.98069361229543572</v>
      </c>
      <c r="E170" s="39">
        <f>IF(_xlfn.NORM.INV(R170,C170,'Regressão Grupo 2'!$B$7)&lt;=0,0,IF(_xlfn.NORM.INV(R170,C170,'Regressão Grupo 2'!$B$7)&gt;100%,100%,_xlfn.NORM.INV(R170,C170,'Regressão Grupo 2'!$B$7)))</f>
        <v>0.20102326790798541</v>
      </c>
      <c r="F170" s="39">
        <f>IF(_xlfn.NORM.INV(S170,D170,'Regressão Grupo 2'!$B$7)&lt;=0,0,IF(_xlfn.NORM.INV(S170,D170,'Regressão Grupo 2'!$B$7)&gt;100%,100%,_xlfn.NORM.INV(S170,D170,'Regressão Grupo 2'!$B$7)))</f>
        <v>0.87568065798139738</v>
      </c>
      <c r="G170" s="41">
        <v>1.8915061158543453E-2</v>
      </c>
      <c r="H170" s="41">
        <v>9.1135533795397936E-3</v>
      </c>
      <c r="I170" s="40">
        <f t="shared" si="22"/>
        <v>76.014353489484719</v>
      </c>
      <c r="J170" s="40">
        <f t="shared" si="22"/>
        <v>0</v>
      </c>
      <c r="K170" s="36">
        <v>0.32458876834931866</v>
      </c>
      <c r="L170" s="42">
        <f t="shared" si="28"/>
        <v>19991.322604477216</v>
      </c>
      <c r="M170" s="42">
        <f t="shared" si="28"/>
        <v>0</v>
      </c>
      <c r="N170" s="42">
        <f t="shared" si="23"/>
        <v>6488.9587818611526</v>
      </c>
      <c r="O170" s="36">
        <v>2.6285664843079948</v>
      </c>
      <c r="P170" s="42">
        <f t="shared" si="24"/>
        <v>-1806.3902010387355</v>
      </c>
      <c r="Q170" s="42"/>
      <c r="R170">
        <v>1.7395550401318401E-2</v>
      </c>
      <c r="S170">
        <v>0.22379222998748741</v>
      </c>
      <c r="T170" s="42"/>
      <c r="U170" s="42"/>
    </row>
    <row r="171" spans="1:21" x14ac:dyDescent="0.25">
      <c r="A171" s="40">
        <f t="shared" si="25"/>
        <v>64.229676878151835</v>
      </c>
      <c r="B171" s="40">
        <f t="shared" si="25"/>
        <v>32.933286051621081</v>
      </c>
      <c r="C171" s="41">
        <f t="shared" si="20"/>
        <v>0.49289226185293716</v>
      </c>
      <c r="D171" s="41">
        <f t="shared" si="21"/>
        <v>0.98069361229543572</v>
      </c>
      <c r="E171" s="39">
        <f>IF(_xlfn.NORM.INV(R171,C171,'Regressão Grupo 2'!$B$7)&lt;=0,0,IF(_xlfn.NORM.INV(R171,C171,'Regressão Grupo 2'!$B$7)&gt;100%,100%,_xlfn.NORM.INV(R171,C171,'Regressão Grupo 2'!$B$7)))</f>
        <v>0.46702205242625816</v>
      </c>
      <c r="F171" s="39">
        <f>IF(_xlfn.NORM.INV(S171,D171,'Regressão Grupo 2'!$B$7)&lt;=0,0,IF(_xlfn.NORM.INV(S171,D171,'Regressão Grupo 2'!$B$7)&gt;100%,100%,_xlfn.NORM.INV(S171,D171,'Regressão Grupo 2'!$B$7)))</f>
        <v>0.96523364964076941</v>
      </c>
      <c r="G171" s="41">
        <v>2.7344646605179934E-2</v>
      </c>
      <c r="H171" s="41">
        <v>4.4523097848073595E-3</v>
      </c>
      <c r="I171" s="40">
        <f t="shared" si="22"/>
        <v>255.30024446918114</v>
      </c>
      <c r="J171" s="40">
        <f t="shared" si="22"/>
        <v>0</v>
      </c>
      <c r="K171" s="36">
        <v>0.36147334435885592</v>
      </c>
      <c r="L171" s="42">
        <f t="shared" si="28"/>
        <v>19991.322604477216</v>
      </c>
      <c r="M171" s="42">
        <f t="shared" si="28"/>
        <v>0</v>
      </c>
      <c r="N171" s="42">
        <f t="shared" si="23"/>
        <v>7226.3302399971735</v>
      </c>
      <c r="O171" s="36">
        <v>7.1842514339275514</v>
      </c>
      <c r="P171" s="42">
        <f t="shared" si="24"/>
        <v>7337.3808217617325</v>
      </c>
      <c r="Q171" s="42"/>
      <c r="R171">
        <v>0.42579424420911283</v>
      </c>
      <c r="S171">
        <v>0.45548875392925808</v>
      </c>
      <c r="T171" s="42"/>
      <c r="U171" s="42"/>
    </row>
    <row r="172" spans="1:21" x14ac:dyDescent="0.25">
      <c r="A172" s="40">
        <f t="shared" si="25"/>
        <v>64.229676878151835</v>
      </c>
      <c r="B172" s="40">
        <f t="shared" si="25"/>
        <v>32.933286051621081</v>
      </c>
      <c r="C172" s="41">
        <f t="shared" si="20"/>
        <v>0.49289226185293716</v>
      </c>
      <c r="D172" s="41">
        <f t="shared" si="21"/>
        <v>0.98069361229543572</v>
      </c>
      <c r="E172" s="39">
        <f>IF(_xlfn.NORM.INV(R172,C172,'Regressão Grupo 2'!$B$7)&lt;=0,0,IF(_xlfn.NORM.INV(R172,C172,'Regressão Grupo 2'!$B$7)&gt;100%,100%,_xlfn.NORM.INV(R172,C172,'Regressão Grupo 2'!$B$7)))</f>
        <v>0.55068418654681295</v>
      </c>
      <c r="F172" s="39">
        <f>IF(_xlfn.NORM.INV(S172,D172,'Regressão Grupo 2'!$B$7)&lt;=0,0,IF(_xlfn.NORM.INV(S172,D172,'Regressão Grupo 2'!$B$7)&gt;100%,100%,_xlfn.NORM.INV(S172,D172,'Regressão Grupo 2'!$B$7)))</f>
        <v>0.7500246335105456</v>
      </c>
      <c r="G172" s="41">
        <v>1.3999873262921656E-2</v>
      </c>
      <c r="H172" s="41">
        <v>1.5389636632485239E-2</v>
      </c>
      <c r="I172" s="40">
        <f t="shared" si="22"/>
        <v>154.12327793369613</v>
      </c>
      <c r="J172" s="40">
        <f t="shared" si="22"/>
        <v>0</v>
      </c>
      <c r="K172" s="36">
        <v>0.18744605990345797</v>
      </c>
      <c r="L172" s="42">
        <f t="shared" si="28"/>
        <v>19991.322604477216</v>
      </c>
      <c r="M172" s="42">
        <f t="shared" si="28"/>
        <v>0</v>
      </c>
      <c r="N172" s="42">
        <f t="shared" si="23"/>
        <v>3747.2946544681899</v>
      </c>
      <c r="O172" s="36">
        <v>7.9378093953619899</v>
      </c>
      <c r="P172" s="42">
        <f t="shared" si="24"/>
        <v>4928.5924829886198</v>
      </c>
      <c r="Q172" s="42"/>
      <c r="R172">
        <v>0.66200750755333104</v>
      </c>
      <c r="S172">
        <v>4.7639393292031616E-2</v>
      </c>
      <c r="T172" s="42"/>
      <c r="U172" s="42"/>
    </row>
    <row r="173" spans="1:21" x14ac:dyDescent="0.25">
      <c r="A173" s="40">
        <f t="shared" si="25"/>
        <v>64.229676878151835</v>
      </c>
      <c r="B173" s="40">
        <f t="shared" si="25"/>
        <v>32.933286051621081</v>
      </c>
      <c r="C173" s="41">
        <f t="shared" si="20"/>
        <v>0.49289226185293716</v>
      </c>
      <c r="D173" s="41">
        <f t="shared" si="21"/>
        <v>0.98069361229543572</v>
      </c>
      <c r="E173" s="39">
        <f>IF(_xlfn.NORM.INV(R173,C173,'Regressão Grupo 2'!$B$7)&lt;=0,0,IF(_xlfn.NORM.INV(R173,C173,'Regressão Grupo 2'!$B$7)&gt;100%,100%,_xlfn.NORM.INV(R173,C173,'Regressão Grupo 2'!$B$7)))</f>
        <v>0.56490797466937903</v>
      </c>
      <c r="F173" s="39">
        <f>IF(_xlfn.NORM.INV(S173,D173,'Regressão Grupo 2'!$B$7)&lt;=0,0,IF(_xlfn.NORM.INV(S173,D173,'Regressão Grupo 2'!$B$7)&gt;100%,100%,_xlfn.NORM.INV(S173,D173,'Regressão Grupo 2'!$B$7)))</f>
        <v>0.92749930604418263</v>
      </c>
      <c r="G173" s="41">
        <v>1.4457458671182252E-2</v>
      </c>
      <c r="H173" s="41">
        <v>2.4810940482839116E-2</v>
      </c>
      <c r="I173" s="40">
        <f t="shared" si="22"/>
        <v>163.27180448670174</v>
      </c>
      <c r="J173" s="40">
        <f t="shared" si="22"/>
        <v>0</v>
      </c>
      <c r="K173" s="36">
        <v>0.28242556059747154</v>
      </c>
      <c r="L173" s="42">
        <f t="shared" si="28"/>
        <v>19991.322604477216</v>
      </c>
      <c r="M173" s="42">
        <f t="shared" si="28"/>
        <v>0</v>
      </c>
      <c r="N173" s="42">
        <f t="shared" si="23"/>
        <v>5646.0604936543823</v>
      </c>
      <c r="O173" s="36">
        <v>3.1837587147183459</v>
      </c>
      <c r="P173" s="42">
        <f t="shared" si="24"/>
        <v>4321.0167214369249</v>
      </c>
      <c r="Q173" s="42"/>
      <c r="R173">
        <v>0.69875179296243173</v>
      </c>
      <c r="S173">
        <v>0.35023041474654376</v>
      </c>
      <c r="T173" s="42"/>
      <c r="U173" s="42"/>
    </row>
    <row r="174" spans="1:21" x14ac:dyDescent="0.25">
      <c r="A174" s="40">
        <f t="shared" si="25"/>
        <v>64.229676878151835</v>
      </c>
      <c r="B174" s="40">
        <f t="shared" si="25"/>
        <v>32.933286051621081</v>
      </c>
      <c r="C174" s="41">
        <f t="shared" si="20"/>
        <v>0.49289226185293716</v>
      </c>
      <c r="D174" s="41">
        <f t="shared" si="21"/>
        <v>0.98069361229543572</v>
      </c>
      <c r="E174" s="39">
        <f>IF(_xlfn.NORM.INV(R174,C174,'Regressão Grupo 2'!$B$7)&lt;=0,0,IF(_xlfn.NORM.INV(R174,C174,'Regressão Grupo 2'!$B$7)&gt;100%,100%,_xlfn.NORM.INV(R174,C174,'Regressão Grupo 2'!$B$7)))</f>
        <v>0.8501969564154066</v>
      </c>
      <c r="F174" s="39">
        <f>IF(_xlfn.NORM.INV(S174,D174,'Regressão Grupo 2'!$B$7)&lt;=0,0,IF(_xlfn.NORM.INV(S174,D174,'Regressão Grupo 2'!$B$7)&gt;100%,100%,_xlfn.NORM.INV(S174,D174,'Regressão Grupo 2'!$B$7)))</f>
        <v>0.98825526268044406</v>
      </c>
      <c r="G174" s="41">
        <v>1.1589224063055193E-2</v>
      </c>
      <c r="H174" s="41">
        <v>1.573317882911876E-2</v>
      </c>
      <c r="I174" s="40">
        <f t="shared" si="22"/>
        <v>196.97696106688633</v>
      </c>
      <c r="J174" s="40">
        <f t="shared" si="22"/>
        <v>0</v>
      </c>
      <c r="K174" s="36">
        <v>0.2732972548912892</v>
      </c>
      <c r="L174" s="42">
        <f t="shared" si="28"/>
        <v>19991.322604477216</v>
      </c>
      <c r="M174" s="42">
        <f t="shared" si="28"/>
        <v>0</v>
      </c>
      <c r="N174" s="42">
        <f t="shared" si="23"/>
        <v>5463.5735894498011</v>
      </c>
      <c r="O174" s="36">
        <v>6.7230195918314513</v>
      </c>
      <c r="P174" s="42">
        <f t="shared" si="24"/>
        <v>5863.9130039245028</v>
      </c>
      <c r="Q174" s="42"/>
      <c r="R174">
        <v>0.99511703848384048</v>
      </c>
      <c r="S174">
        <v>0.52180547502060004</v>
      </c>
      <c r="T174" s="42"/>
      <c r="U174" s="42"/>
    </row>
    <row r="175" spans="1:21" x14ac:dyDescent="0.25">
      <c r="A175" s="40">
        <f t="shared" si="25"/>
        <v>64.229676878151835</v>
      </c>
      <c r="B175" s="40">
        <f t="shared" si="25"/>
        <v>32.933286051621081</v>
      </c>
      <c r="C175" s="41">
        <f t="shared" si="20"/>
        <v>0.49289226185293716</v>
      </c>
      <c r="D175" s="41">
        <f t="shared" si="21"/>
        <v>0.98069361229543572</v>
      </c>
      <c r="E175" s="39">
        <f>IF(_xlfn.NORM.INV(R175,C175,'Regressão Grupo 2'!$B$7)&lt;=0,0,IF(_xlfn.NORM.INV(R175,C175,'Regressão Grupo 2'!$B$7)&gt;100%,100%,_xlfn.NORM.INV(R175,C175,'Regressão Grupo 2'!$B$7)))</f>
        <v>0.41227759777983447</v>
      </c>
      <c r="F175" s="39">
        <f>IF(_xlfn.NORM.INV(S175,D175,'Regressão Grupo 2'!$B$7)&lt;=0,0,IF(_xlfn.NORM.INV(S175,D175,'Regressão Grupo 2'!$B$7)&gt;100%,100%,_xlfn.NORM.INV(S175,D175,'Regressão Grupo 2'!$B$7)))</f>
        <v>0.91768821355792984</v>
      </c>
      <c r="G175" s="41">
        <v>1.6458659792531416E-2</v>
      </c>
      <c r="H175" s="41">
        <v>2.6514213026997815E-2</v>
      </c>
      <c r="I175" s="40">
        <f t="shared" si="22"/>
        <v>135.65185365283736</v>
      </c>
      <c r="J175" s="40">
        <f t="shared" si="22"/>
        <v>0</v>
      </c>
      <c r="K175" s="36">
        <v>0.26650937605568381</v>
      </c>
      <c r="L175" s="42">
        <f t="shared" si="28"/>
        <v>19991.322604477216</v>
      </c>
      <c r="M175" s="42">
        <f t="shared" si="28"/>
        <v>0</v>
      </c>
      <c r="N175" s="42">
        <f t="shared" si="23"/>
        <v>5327.8749138471112</v>
      </c>
      <c r="O175" s="36">
        <v>4.2891008810008895</v>
      </c>
      <c r="P175" s="42">
        <f t="shared" si="24"/>
        <v>2803.1753291851846</v>
      </c>
      <c r="Q175" s="42"/>
      <c r="R175">
        <v>0.27994628742332223</v>
      </c>
      <c r="S175">
        <v>0.32432020020142216</v>
      </c>
      <c r="T175" s="42"/>
      <c r="U175" s="42"/>
    </row>
    <row r="176" spans="1:21" x14ac:dyDescent="0.25">
      <c r="A176" s="40">
        <f t="shared" si="25"/>
        <v>64.229676878151835</v>
      </c>
      <c r="B176" s="40">
        <f t="shared" si="25"/>
        <v>32.933286051621081</v>
      </c>
      <c r="C176" s="41">
        <f t="shared" si="20"/>
        <v>0.49289226185293716</v>
      </c>
      <c r="D176" s="41">
        <f t="shared" si="21"/>
        <v>0.98069361229543572</v>
      </c>
      <c r="E176" s="39">
        <f>IF(_xlfn.NORM.INV(R176,C176,'Regressão Grupo 2'!$B$7)&lt;=0,0,IF(_xlfn.NORM.INV(R176,C176,'Regressão Grupo 2'!$B$7)&gt;100%,100%,_xlfn.NORM.INV(R176,C176,'Regressão Grupo 2'!$B$7)))</f>
        <v>0.57941142258272771</v>
      </c>
      <c r="F176" s="39">
        <f>IF(_xlfn.NORM.INV(S176,D176,'Regressão Grupo 2'!$B$7)&lt;=0,0,IF(_xlfn.NORM.INV(S176,D176,'Regressão Grupo 2'!$B$7)&gt;100%,100%,_xlfn.NORM.INV(S176,D176,'Regressão Grupo 2'!$B$7)))</f>
        <v>1</v>
      </c>
      <c r="G176" s="41">
        <v>1.7021732295688045E-3</v>
      </c>
      <c r="H176" s="41">
        <v>2.7668726751939446E-2</v>
      </c>
      <c r="I176" s="40">
        <f t="shared" si="22"/>
        <v>19.716614092466159</v>
      </c>
      <c r="J176" s="40">
        <f t="shared" si="22"/>
        <v>0</v>
      </c>
      <c r="K176" s="36">
        <v>0.22585740715965305</v>
      </c>
      <c r="L176" s="42">
        <f t="shared" si="28"/>
        <v>19991.322604477216</v>
      </c>
      <c r="M176" s="42">
        <f t="shared" si="28"/>
        <v>0</v>
      </c>
      <c r="N176" s="42">
        <f t="shared" si="23"/>
        <v>4515.1882891393861</v>
      </c>
      <c r="O176" s="36">
        <v>8.5465078446408889</v>
      </c>
      <c r="P176" s="42">
        <f t="shared" si="24"/>
        <v>-3417.3047338600891</v>
      </c>
      <c r="Q176" s="42"/>
      <c r="R176">
        <v>0.73424481948301645</v>
      </c>
      <c r="S176">
        <v>0.87682729575487528</v>
      </c>
      <c r="T176" s="42"/>
      <c r="U176" s="42"/>
    </row>
    <row r="177" spans="1:21" x14ac:dyDescent="0.25">
      <c r="A177" s="40">
        <f t="shared" si="25"/>
        <v>64.229676878151835</v>
      </c>
      <c r="B177" s="40">
        <f t="shared" si="25"/>
        <v>32.933286051621081</v>
      </c>
      <c r="C177" s="41">
        <f t="shared" si="20"/>
        <v>0.49289226185293716</v>
      </c>
      <c r="D177" s="41">
        <f t="shared" si="21"/>
        <v>0.98069361229543572</v>
      </c>
      <c r="E177" s="39">
        <f>IF(_xlfn.NORM.INV(R177,C177,'Regressão Grupo 2'!$B$7)&lt;=0,0,IF(_xlfn.NORM.INV(R177,C177,'Regressão Grupo 2'!$B$7)&gt;100%,100%,_xlfn.NORM.INV(R177,C177,'Regressão Grupo 2'!$B$7)))</f>
        <v>0.62354126442387847</v>
      </c>
      <c r="F177" s="39">
        <f>IF(_xlfn.NORM.INV(S177,D177,'Regressão Grupo 2'!$B$7)&lt;=0,0,IF(_xlfn.NORM.INV(S177,D177,'Regressão Grupo 2'!$B$7)&gt;100%,100%,_xlfn.NORM.INV(S177,D177,'Regressão Grupo 2'!$B$7)))</f>
        <v>1</v>
      </c>
      <c r="G177" s="41">
        <v>2.1604072413567332E-2</v>
      </c>
      <c r="H177" s="41">
        <v>4.2837601702580249E-3</v>
      </c>
      <c r="I177" s="40">
        <f t="shared" si="22"/>
        <v>269.30371912834477</v>
      </c>
      <c r="J177" s="40">
        <f t="shared" si="22"/>
        <v>0</v>
      </c>
      <c r="K177" s="36">
        <v>0.30062964130889069</v>
      </c>
      <c r="L177" s="42">
        <f t="shared" si="28"/>
        <v>19991.322604477216</v>
      </c>
      <c r="M177" s="42">
        <f t="shared" si="28"/>
        <v>0</v>
      </c>
      <c r="N177" s="42">
        <f t="shared" si="23"/>
        <v>6009.9841438743042</v>
      </c>
      <c r="O177" s="36">
        <v>9.2748745300479349</v>
      </c>
      <c r="P177" s="42">
        <f t="shared" si="24"/>
        <v>8789.5485124331681</v>
      </c>
      <c r="Q177" s="42"/>
      <c r="R177">
        <v>0.82763145847956787</v>
      </c>
      <c r="S177">
        <v>0.85274819177831351</v>
      </c>
      <c r="T177" s="42"/>
      <c r="U177" s="42"/>
    </row>
    <row r="178" spans="1:21" x14ac:dyDescent="0.25">
      <c r="A178" s="40">
        <f t="shared" si="25"/>
        <v>64.229676878151835</v>
      </c>
      <c r="B178" s="40">
        <f t="shared" si="25"/>
        <v>32.933286051621081</v>
      </c>
      <c r="C178" s="41">
        <f t="shared" si="20"/>
        <v>0.49289226185293716</v>
      </c>
      <c r="D178" s="41">
        <f t="shared" si="21"/>
        <v>0.98069361229543572</v>
      </c>
      <c r="E178" s="39">
        <f>IF(_xlfn.NORM.INV(R178,C178,'Regressão Grupo 2'!$B$7)&lt;=0,0,IF(_xlfn.NORM.INV(R178,C178,'Regressão Grupo 2'!$B$7)&gt;100%,100%,_xlfn.NORM.INV(R178,C178,'Regressão Grupo 2'!$B$7)))</f>
        <v>0.52983663565794648</v>
      </c>
      <c r="F178" s="39">
        <f>IF(_xlfn.NORM.INV(S178,D178,'Regressão Grupo 2'!$B$7)&lt;=0,0,IF(_xlfn.NORM.INV(S178,D178,'Regressão Grupo 2'!$B$7)&gt;100%,100%,_xlfn.NORM.INV(S178,D178,'Regressão Grupo 2'!$B$7)))</f>
        <v>1</v>
      </c>
      <c r="G178" s="41">
        <v>2.0796951799437888E-2</v>
      </c>
      <c r="H178" s="41">
        <v>4.7595438696194699E-3</v>
      </c>
      <c r="I178" s="40">
        <f t="shared" si="22"/>
        <v>220.28412335886475</v>
      </c>
      <c r="J178" s="40">
        <f t="shared" si="22"/>
        <v>0</v>
      </c>
      <c r="K178" s="36">
        <v>0.21071824449062557</v>
      </c>
      <c r="L178" s="42">
        <f t="shared" si="28"/>
        <v>19991.322604477216</v>
      </c>
      <c r="M178" s="42">
        <f t="shared" si="28"/>
        <v>0</v>
      </c>
      <c r="N178" s="42">
        <f t="shared" si="23"/>
        <v>4212.5364042612</v>
      </c>
      <c r="O178" s="36">
        <v>7.8723999349561193</v>
      </c>
      <c r="P178" s="42">
        <f t="shared" si="24"/>
        <v>8202.0769420634279</v>
      </c>
      <c r="Q178" s="42"/>
      <c r="R178">
        <v>0.60533463545640431</v>
      </c>
      <c r="S178">
        <v>0.98245185705130167</v>
      </c>
      <c r="T178" s="42"/>
      <c r="U178" s="42"/>
    </row>
    <row r="179" spans="1:21" x14ac:dyDescent="0.25">
      <c r="A179" s="40">
        <f t="shared" si="25"/>
        <v>64.229676878151835</v>
      </c>
      <c r="B179" s="40">
        <f t="shared" si="25"/>
        <v>32.933286051621081</v>
      </c>
      <c r="C179" s="41">
        <f t="shared" si="20"/>
        <v>0.49289226185293716</v>
      </c>
      <c r="D179" s="41">
        <f t="shared" si="21"/>
        <v>0.98069361229543572</v>
      </c>
      <c r="E179" s="39">
        <f>IF(_xlfn.NORM.INV(R179,C179,'Regressão Grupo 2'!$B$7)&lt;=0,0,IF(_xlfn.NORM.INV(R179,C179,'Regressão Grupo 2'!$B$7)&gt;100%,100%,_xlfn.NORM.INV(R179,C179,'Regressão Grupo 2'!$B$7)))</f>
        <v>0.30806827202292281</v>
      </c>
      <c r="F179" s="39">
        <f>IF(_xlfn.NORM.INV(S179,D179,'Regressão Grupo 2'!$B$7)&lt;=0,0,IF(_xlfn.NORM.INV(S179,D179,'Regressão Grupo 2'!$B$7)&gt;100%,100%,_xlfn.NORM.INV(S179,D179,'Regressão Grupo 2'!$B$7)))</f>
        <v>0.81473088254402348</v>
      </c>
      <c r="G179" s="41">
        <v>1.1440696957405405E-2</v>
      </c>
      <c r="H179" s="41">
        <v>1.60457402378744E-2</v>
      </c>
      <c r="I179" s="40">
        <f t="shared" si="22"/>
        <v>70.459731230992745</v>
      </c>
      <c r="J179" s="40">
        <f t="shared" si="22"/>
        <v>0</v>
      </c>
      <c r="K179" s="36">
        <v>0.2076858218566533</v>
      </c>
      <c r="L179" s="42">
        <f t="shared" si="28"/>
        <v>19991.322604477216</v>
      </c>
      <c r="M179" s="42">
        <f t="shared" si="28"/>
        <v>0</v>
      </c>
      <c r="N179" s="42">
        <f t="shared" si="23"/>
        <v>4151.9142651123411</v>
      </c>
      <c r="O179" s="36">
        <v>6.2177783606976984</v>
      </c>
      <c r="P179" s="42">
        <f t="shared" si="24"/>
        <v>-64.411487372895863</v>
      </c>
      <c r="Q179" s="42"/>
      <c r="R179">
        <v>9.0670491653187663E-2</v>
      </c>
      <c r="S179">
        <v>0.11502426221503342</v>
      </c>
      <c r="T179" s="42"/>
      <c r="U179" s="42"/>
    </row>
    <row r="180" spans="1:21" x14ac:dyDescent="0.25">
      <c r="A180" s="40">
        <f t="shared" si="25"/>
        <v>64.229676878151835</v>
      </c>
      <c r="B180" s="40">
        <f t="shared" si="25"/>
        <v>32.933286051621081</v>
      </c>
      <c r="C180" s="41">
        <f t="shared" si="20"/>
        <v>0.49289226185293716</v>
      </c>
      <c r="D180" s="41">
        <f t="shared" si="21"/>
        <v>0.98069361229543572</v>
      </c>
      <c r="E180" s="39">
        <f>IF(_xlfn.NORM.INV(R180,C180,'Regressão Grupo 2'!$B$7)&lt;=0,0,IF(_xlfn.NORM.INV(R180,C180,'Regressão Grupo 2'!$B$7)&gt;100%,100%,_xlfn.NORM.INV(R180,C180,'Regressão Grupo 2'!$B$7)))</f>
        <v>0.41674939572566694</v>
      </c>
      <c r="F180" s="39">
        <f>IF(_xlfn.NORM.INV(S180,D180,'Regressão Grupo 2'!$B$7)&lt;=0,0,IF(_xlfn.NORM.INV(S180,D180,'Regressão Grupo 2'!$B$7)&gt;100%,100%,_xlfn.NORM.INV(S180,D180,'Regressão Grupo 2'!$B$7)))</f>
        <v>1</v>
      </c>
      <c r="G180" s="41">
        <v>2.0446844103622609E-2</v>
      </c>
      <c r="H180" s="41">
        <v>1.9774183448397379E-2</v>
      </c>
      <c r="I180" s="40">
        <f t="shared" si="22"/>
        <v>170.35025658478364</v>
      </c>
      <c r="J180" s="40">
        <f t="shared" si="22"/>
        <v>0</v>
      </c>
      <c r="K180" s="36">
        <v>0.33366966008934962</v>
      </c>
      <c r="L180" s="42">
        <f t="shared" si="28"/>
        <v>19991.322604477216</v>
      </c>
      <c r="M180" s="42">
        <f t="shared" si="28"/>
        <v>0</v>
      </c>
      <c r="N180" s="42">
        <f t="shared" si="23"/>
        <v>6670.4978181724446</v>
      </c>
      <c r="O180" s="36">
        <v>4.5232774429816978</v>
      </c>
      <c r="P180" s="42">
        <f t="shared" si="24"/>
        <v>3500.5026453623695</v>
      </c>
      <c r="Q180" s="42"/>
      <c r="R180">
        <v>0.29093295083468124</v>
      </c>
      <c r="S180">
        <v>0.62718588824121835</v>
      </c>
      <c r="T180" s="42"/>
      <c r="U180" s="42"/>
    </row>
    <row r="181" spans="1:21" x14ac:dyDescent="0.25">
      <c r="A181" s="40">
        <f t="shared" si="25"/>
        <v>64.229676878151835</v>
      </c>
      <c r="B181" s="40">
        <f t="shared" si="25"/>
        <v>32.933286051621081</v>
      </c>
      <c r="C181" s="41">
        <f t="shared" si="20"/>
        <v>0.49289226185293716</v>
      </c>
      <c r="D181" s="41">
        <f t="shared" si="21"/>
        <v>0.98069361229543572</v>
      </c>
      <c r="E181" s="39">
        <f>IF(_xlfn.NORM.INV(R181,C181,'Regressão Grupo 2'!$B$7)&lt;=0,0,IF(_xlfn.NORM.INV(R181,C181,'Regressão Grupo 2'!$B$7)&gt;100%,100%,_xlfn.NORM.INV(R181,C181,'Regressão Grupo 2'!$B$7)))</f>
        <v>0.56303680922577026</v>
      </c>
      <c r="F181" s="39">
        <f>IF(_xlfn.NORM.INV(S181,D181,'Regressão Grupo 2'!$B$7)&lt;=0,0,IF(_xlfn.NORM.INV(S181,D181,'Regressão Grupo 2'!$B$7)&gt;100%,100%,_xlfn.NORM.INV(S181,D181,'Regressão Grupo 2'!$B$7)))</f>
        <v>1</v>
      </c>
      <c r="G181" s="41">
        <v>1.6819763911718841E-2</v>
      </c>
      <c r="H181" s="41">
        <v>1.0684094739810234E-2</v>
      </c>
      <c r="I181" s="40">
        <f t="shared" si="22"/>
        <v>189.32074789142121</v>
      </c>
      <c r="J181" s="40">
        <f t="shared" si="22"/>
        <v>0</v>
      </c>
      <c r="K181" s="36">
        <v>0.16861430561833179</v>
      </c>
      <c r="L181" s="42">
        <f t="shared" si="28"/>
        <v>19991.322604477216</v>
      </c>
      <c r="M181" s="42">
        <f t="shared" si="28"/>
        <v>0</v>
      </c>
      <c r="N181" s="42">
        <f t="shared" si="23"/>
        <v>3370.8229793459859</v>
      </c>
      <c r="O181" s="36">
        <v>7.929673173078811</v>
      </c>
      <c r="P181" s="42">
        <f t="shared" si="24"/>
        <v>7287.9358283882239</v>
      </c>
      <c r="Q181" s="42"/>
      <c r="R181">
        <v>0.69402142399365219</v>
      </c>
      <c r="S181">
        <v>0.76442762535477771</v>
      </c>
      <c r="T181" s="42"/>
      <c r="U181" s="42"/>
    </row>
    <row r="182" spans="1:21" x14ac:dyDescent="0.25">
      <c r="A182" s="40">
        <f t="shared" si="25"/>
        <v>64.229676878151835</v>
      </c>
      <c r="B182" s="40">
        <f t="shared" si="25"/>
        <v>32.933286051621081</v>
      </c>
      <c r="C182" s="41">
        <f t="shared" si="20"/>
        <v>0.49289226185293716</v>
      </c>
      <c r="D182" s="41">
        <f t="shared" si="21"/>
        <v>0.98069361229543572</v>
      </c>
      <c r="E182" s="39">
        <f>IF(_xlfn.NORM.INV(R182,C182,'Regressão Grupo 2'!$B$7)&lt;=0,0,IF(_xlfn.NORM.INV(R182,C182,'Regressão Grupo 2'!$B$7)&gt;100%,100%,_xlfn.NORM.INV(R182,C182,'Regressão Grupo 2'!$B$7)))</f>
        <v>0.58526642990115729</v>
      </c>
      <c r="F182" s="39">
        <f>IF(_xlfn.NORM.INV(S182,D182,'Regressão Grupo 2'!$B$7)&lt;=0,0,IF(_xlfn.NORM.INV(S182,D182,'Regressão Grupo 2'!$B$7)&gt;100%,100%,_xlfn.NORM.INV(S182,D182,'Regressão Grupo 2'!$B$7)))</f>
        <v>1</v>
      </c>
      <c r="G182" s="41">
        <v>2.014791568985469E-2</v>
      </c>
      <c r="H182" s="41">
        <v>1.6294505355762441E-2</v>
      </c>
      <c r="I182" s="40">
        <f t="shared" si="22"/>
        <v>235.7356507461545</v>
      </c>
      <c r="J182" s="40">
        <f t="shared" si="22"/>
        <v>0</v>
      </c>
      <c r="K182" s="36">
        <v>0.20495257623644592</v>
      </c>
      <c r="L182" s="42">
        <f t="shared" si="28"/>
        <v>19991.322604477216</v>
      </c>
      <c r="M182" s="42">
        <f t="shared" si="28"/>
        <v>0</v>
      </c>
      <c r="N182" s="42">
        <f t="shared" si="23"/>
        <v>4097.273070161501</v>
      </c>
      <c r="O182" s="36">
        <v>8.2347844960414349</v>
      </c>
      <c r="P182" s="42">
        <f t="shared" si="24"/>
        <v>9102.7193239961853</v>
      </c>
      <c r="Q182" s="42"/>
      <c r="R182">
        <v>0.74794763023773914</v>
      </c>
      <c r="S182">
        <v>0.69121372112186041</v>
      </c>
      <c r="T182" s="42"/>
      <c r="U182" s="42"/>
    </row>
    <row r="183" spans="1:21" x14ac:dyDescent="0.25">
      <c r="A183" s="40">
        <f t="shared" si="25"/>
        <v>64.229676878151835</v>
      </c>
      <c r="B183" s="40">
        <f t="shared" si="25"/>
        <v>32.933286051621081</v>
      </c>
      <c r="C183" s="41">
        <f t="shared" si="20"/>
        <v>0.49289226185293716</v>
      </c>
      <c r="D183" s="41">
        <f t="shared" si="21"/>
        <v>0.98069361229543572</v>
      </c>
      <c r="E183" s="39">
        <f>IF(_xlfn.NORM.INV(R183,C183,'Regressão Grupo 2'!$B$7)&lt;=0,0,IF(_xlfn.NORM.INV(R183,C183,'Regressão Grupo 2'!$B$7)&gt;100%,100%,_xlfn.NORM.INV(R183,C183,'Regressão Grupo 2'!$B$7)))</f>
        <v>0.39785642846963093</v>
      </c>
      <c r="F183" s="39">
        <f>IF(_xlfn.NORM.INV(S183,D183,'Regressão Grupo 2'!$B$7)&lt;=0,0,IF(_xlfn.NORM.INV(S183,D183,'Regressão Grupo 2'!$B$7)&gt;100%,100%,_xlfn.NORM.INV(S183,D183,'Regressão Grupo 2'!$B$7)))</f>
        <v>1</v>
      </c>
      <c r="G183" s="41">
        <v>2.3762469810451874E-2</v>
      </c>
      <c r="H183" s="41">
        <v>1.4853466267099328E-2</v>
      </c>
      <c r="I183" s="40">
        <f t="shared" si="22"/>
        <v>188.99899086504249</v>
      </c>
      <c r="J183" s="40">
        <f t="shared" si="22"/>
        <v>0</v>
      </c>
      <c r="K183" s="36">
        <v>0.23449930163914778</v>
      </c>
      <c r="L183" s="42">
        <f t="shared" ref="L183:M198" si="29">L182</f>
        <v>19991.322604477216</v>
      </c>
      <c r="M183" s="42">
        <f t="shared" si="29"/>
        <v>0</v>
      </c>
      <c r="N183" s="42">
        <f t="shared" si="23"/>
        <v>4687.9511895928163</v>
      </c>
      <c r="O183" s="36">
        <v>6.2305273486088781</v>
      </c>
      <c r="P183" s="42">
        <f t="shared" si="24"/>
        <v>6273.8295425215065</v>
      </c>
      <c r="Q183" s="42"/>
      <c r="R183">
        <v>0.24594866786706138</v>
      </c>
      <c r="S183">
        <v>0.73021637623218483</v>
      </c>
      <c r="T183" s="42"/>
      <c r="U183" s="42"/>
    </row>
    <row r="184" spans="1:21" x14ac:dyDescent="0.25">
      <c r="A184" s="40">
        <f t="shared" si="25"/>
        <v>64.229676878151835</v>
      </c>
      <c r="B184" s="40">
        <f t="shared" si="25"/>
        <v>32.933286051621081</v>
      </c>
      <c r="C184" s="41">
        <f t="shared" si="20"/>
        <v>0.49289226185293716</v>
      </c>
      <c r="D184" s="41">
        <f t="shared" si="21"/>
        <v>0.98069361229543572</v>
      </c>
      <c r="E184" s="39">
        <f>IF(_xlfn.NORM.INV(R184,C184,'Regressão Grupo 2'!$B$7)&lt;=0,0,IF(_xlfn.NORM.INV(R184,C184,'Regressão Grupo 2'!$B$7)&gt;100%,100%,_xlfn.NORM.INV(R184,C184,'Regressão Grupo 2'!$B$7)))</f>
        <v>0.46680672850782096</v>
      </c>
      <c r="F184" s="39">
        <f>IF(_xlfn.NORM.INV(S184,D184,'Regressão Grupo 2'!$B$7)&lt;=0,0,IF(_xlfn.NORM.INV(S184,D184,'Regressão Grupo 2'!$B$7)&gt;100%,100%,_xlfn.NORM.INV(S184,D184,'Regressão Grupo 2'!$B$7)))</f>
        <v>1</v>
      </c>
      <c r="G184" s="41">
        <v>2.1320134313233784E-2</v>
      </c>
      <c r="H184" s="41">
        <v>1.8244046232949028E-2</v>
      </c>
      <c r="I184" s="40">
        <f t="shared" si="22"/>
        <v>198.96128224584962</v>
      </c>
      <c r="J184" s="40">
        <f t="shared" si="22"/>
        <v>0</v>
      </c>
      <c r="K184" s="36">
        <v>0.27383732803499705</v>
      </c>
      <c r="L184" s="42">
        <f t="shared" si="29"/>
        <v>19991.322604477216</v>
      </c>
      <c r="M184" s="42">
        <f t="shared" si="29"/>
        <v>0</v>
      </c>
      <c r="N184" s="42">
        <f t="shared" si="23"/>
        <v>5474.3703658956792</v>
      </c>
      <c r="O184" s="36">
        <v>6.7146860462926421</v>
      </c>
      <c r="P184" s="42">
        <f t="shared" si="24"/>
        <v>5968.8859583693093</v>
      </c>
      <c r="Q184" s="42"/>
      <c r="R184">
        <v>0.4251838740195929</v>
      </c>
      <c r="S184">
        <v>0.61726737266151921</v>
      </c>
      <c r="T184" s="42"/>
      <c r="U184" s="42"/>
    </row>
    <row r="185" spans="1:21" x14ac:dyDescent="0.25">
      <c r="A185" s="40">
        <f t="shared" si="25"/>
        <v>64.229676878151835</v>
      </c>
      <c r="B185" s="40">
        <f t="shared" si="25"/>
        <v>32.933286051621081</v>
      </c>
      <c r="C185" s="41">
        <f t="shared" si="20"/>
        <v>0.49289226185293716</v>
      </c>
      <c r="D185" s="41">
        <f t="shared" si="21"/>
        <v>0.98069361229543572</v>
      </c>
      <c r="E185" s="39">
        <f>IF(_xlfn.NORM.INV(R185,C185,'Regressão Grupo 2'!$B$7)&lt;=0,0,IF(_xlfn.NORM.INV(R185,C185,'Regressão Grupo 2'!$B$7)&gt;100%,100%,_xlfn.NORM.INV(R185,C185,'Regressão Grupo 2'!$B$7)))</f>
        <v>0.5100671706046197</v>
      </c>
      <c r="F185" s="39">
        <f>IF(_xlfn.NORM.INV(S185,D185,'Regressão Grupo 2'!$B$7)&lt;=0,0,IF(_xlfn.NORM.INV(S185,D185,'Regressão Grupo 2'!$B$7)&gt;100%,100%,_xlfn.NORM.INV(S185,D185,'Regressão Grupo 2'!$B$7)))</f>
        <v>1</v>
      </c>
      <c r="G185" s="41">
        <v>8.1613665788398525E-3</v>
      </c>
      <c r="H185" s="41">
        <v>1.2371973534615863E-2</v>
      </c>
      <c r="I185" s="40">
        <f t="shared" si="22"/>
        <v>83.220780528773034</v>
      </c>
      <c r="J185" s="40">
        <f t="shared" si="22"/>
        <v>0</v>
      </c>
      <c r="K185" s="36">
        <v>0.44746329727650735</v>
      </c>
      <c r="L185" s="42">
        <f t="shared" si="29"/>
        <v>19991.322604477216</v>
      </c>
      <c r="M185" s="42">
        <f t="shared" si="29"/>
        <v>0</v>
      </c>
      <c r="N185" s="42">
        <f t="shared" si="23"/>
        <v>8945.3831295177497</v>
      </c>
      <c r="O185" s="36">
        <v>4.700124773480332</v>
      </c>
      <c r="P185" s="42">
        <f t="shared" si="24"/>
        <v>-3991.2873388387243</v>
      </c>
      <c r="Q185" s="42"/>
      <c r="R185">
        <v>0.54942472609637749</v>
      </c>
      <c r="S185">
        <v>0.70958586382641076</v>
      </c>
      <c r="T185" s="42"/>
      <c r="U185" s="42"/>
    </row>
    <row r="186" spans="1:21" x14ac:dyDescent="0.25">
      <c r="A186" s="40">
        <f t="shared" si="25"/>
        <v>64.229676878151835</v>
      </c>
      <c r="B186" s="40">
        <f t="shared" si="25"/>
        <v>32.933286051621081</v>
      </c>
      <c r="C186" s="41">
        <f t="shared" si="20"/>
        <v>0.49289226185293716</v>
      </c>
      <c r="D186" s="41">
        <f t="shared" si="21"/>
        <v>0.98069361229543572</v>
      </c>
      <c r="E186" s="39">
        <f>IF(_xlfn.NORM.INV(R186,C186,'Regressão Grupo 2'!$B$7)&lt;=0,0,IF(_xlfn.NORM.INV(R186,C186,'Regressão Grupo 2'!$B$7)&gt;100%,100%,_xlfn.NORM.INV(R186,C186,'Regressão Grupo 2'!$B$7)))</f>
        <v>0.46258373373670758</v>
      </c>
      <c r="F186" s="39">
        <f>IF(_xlfn.NORM.INV(S186,D186,'Regressão Grupo 2'!$B$7)&lt;=0,0,IF(_xlfn.NORM.INV(S186,D186,'Regressão Grupo 2'!$B$7)&gt;100%,100%,_xlfn.NORM.INV(S186,D186,'Regressão Grupo 2'!$B$7)))</f>
        <v>0.79296024141377908</v>
      </c>
      <c r="G186" s="41">
        <v>1.6477476005137374E-2</v>
      </c>
      <c r="H186" s="41">
        <v>3.7502098024806653E-3</v>
      </c>
      <c r="I186" s="40">
        <f t="shared" si="22"/>
        <v>152.3781065087498</v>
      </c>
      <c r="J186" s="40">
        <f t="shared" si="22"/>
        <v>0</v>
      </c>
      <c r="K186" s="36">
        <v>0.15062683102157501</v>
      </c>
      <c r="L186" s="42">
        <f t="shared" si="29"/>
        <v>19991.322604477216</v>
      </c>
      <c r="M186" s="42">
        <f t="shared" si="29"/>
        <v>0</v>
      </c>
      <c r="N186" s="42">
        <f t="shared" si="23"/>
        <v>3011.2295718423825</v>
      </c>
      <c r="O186" s="36">
        <v>3.6743116003252876</v>
      </c>
      <c r="P186" s="42">
        <f t="shared" si="24"/>
        <v>6216.0823281385201</v>
      </c>
      <c r="Q186" s="42"/>
      <c r="R186">
        <v>0.413251136814478</v>
      </c>
      <c r="S186">
        <v>8.7282937101351973E-2</v>
      </c>
      <c r="T186" s="42"/>
      <c r="U186" s="42"/>
    </row>
    <row r="187" spans="1:21" x14ac:dyDescent="0.25">
      <c r="A187" s="40">
        <f t="shared" si="25"/>
        <v>64.229676878151835</v>
      </c>
      <c r="B187" s="40">
        <f t="shared" si="25"/>
        <v>32.933286051621081</v>
      </c>
      <c r="C187" s="41">
        <f t="shared" si="20"/>
        <v>0.49289226185293716</v>
      </c>
      <c r="D187" s="41">
        <f t="shared" si="21"/>
        <v>0.98069361229543572</v>
      </c>
      <c r="E187" s="39">
        <f>IF(_xlfn.NORM.INV(R187,C187,'Regressão Grupo 2'!$B$7)&lt;=0,0,IF(_xlfn.NORM.INV(R187,C187,'Regressão Grupo 2'!$B$7)&gt;100%,100%,_xlfn.NORM.INV(R187,C187,'Regressão Grupo 2'!$B$7)))</f>
        <v>0.3754066753959362</v>
      </c>
      <c r="F187" s="39">
        <f>IF(_xlfn.NORM.INV(S187,D187,'Regressão Grupo 2'!$B$7)&lt;=0,0,IF(_xlfn.NORM.INV(S187,D187,'Regressão Grupo 2'!$B$7)&gt;100%,100%,_xlfn.NORM.INV(S187,D187,'Regressão Grupo 2'!$B$7)))</f>
        <v>0.9824760315969735</v>
      </c>
      <c r="G187" s="41">
        <v>3.8175085344200441E-3</v>
      </c>
      <c r="H187" s="41">
        <v>1.3800057844372469E-2</v>
      </c>
      <c r="I187" s="40">
        <f t="shared" si="22"/>
        <v>28.649928010703587</v>
      </c>
      <c r="J187" s="40">
        <f t="shared" si="22"/>
        <v>0</v>
      </c>
      <c r="K187" s="36">
        <v>0.20801823101875849</v>
      </c>
      <c r="L187" s="42">
        <f t="shared" si="29"/>
        <v>19991.322604477216</v>
      </c>
      <c r="M187" s="42">
        <f t="shared" si="29"/>
        <v>0</v>
      </c>
      <c r="N187" s="42">
        <f t="shared" si="23"/>
        <v>4158.5595639086705</v>
      </c>
      <c r="O187" s="36">
        <v>9.2869095434966713</v>
      </c>
      <c r="P187" s="42">
        <f t="shared" si="24"/>
        <v>-2584.4532350619634</v>
      </c>
      <c r="Q187" s="42"/>
      <c r="R187">
        <v>0.19775994140446182</v>
      </c>
      <c r="S187">
        <v>0.50514236884670549</v>
      </c>
      <c r="T187" s="42"/>
      <c r="U187" s="42"/>
    </row>
    <row r="188" spans="1:21" x14ac:dyDescent="0.25">
      <c r="A188" s="40">
        <f t="shared" si="25"/>
        <v>64.229676878151835</v>
      </c>
      <c r="B188" s="40">
        <f t="shared" si="25"/>
        <v>32.933286051621081</v>
      </c>
      <c r="C188" s="41">
        <f t="shared" si="20"/>
        <v>0.49289226185293716</v>
      </c>
      <c r="D188" s="41">
        <f t="shared" si="21"/>
        <v>0.98069361229543572</v>
      </c>
      <c r="E188" s="39">
        <f>IF(_xlfn.NORM.INV(R188,C188,'Regressão Grupo 2'!$B$7)&lt;=0,0,IF(_xlfn.NORM.INV(R188,C188,'Regressão Grupo 2'!$B$7)&gt;100%,100%,_xlfn.NORM.INV(R188,C188,'Regressão Grupo 2'!$B$7)))</f>
        <v>0.27406754712366083</v>
      </c>
      <c r="F188" s="39">
        <f>IF(_xlfn.NORM.INV(S188,D188,'Regressão Grupo 2'!$B$7)&lt;=0,0,IF(_xlfn.NORM.INV(S188,D188,'Regressão Grupo 2'!$B$7)&gt;100%,100%,_xlfn.NORM.INV(S188,D188,'Regressão Grupo 2'!$B$7)))</f>
        <v>0.91219229573764471</v>
      </c>
      <c r="G188" s="41">
        <v>2.244437815813706E-2</v>
      </c>
      <c r="H188" s="41">
        <v>5.1236805961991493E-3</v>
      </c>
      <c r="I188" s="40">
        <f t="shared" si="22"/>
        <v>122.97213631838446</v>
      </c>
      <c r="J188" s="40">
        <f t="shared" si="22"/>
        <v>0</v>
      </c>
      <c r="K188" s="36">
        <v>0.29287340534611589</v>
      </c>
      <c r="L188" s="42">
        <f t="shared" si="29"/>
        <v>19991.322604477216</v>
      </c>
      <c r="M188" s="42">
        <f t="shared" si="29"/>
        <v>0</v>
      </c>
      <c r="N188" s="42">
        <f t="shared" si="23"/>
        <v>5854.9267285460246</v>
      </c>
      <c r="O188" s="36">
        <v>4.4080644553697184</v>
      </c>
      <c r="P188" s="42">
        <f t="shared" si="24"/>
        <v>1501.4647490938987</v>
      </c>
      <c r="Q188" s="42"/>
      <c r="R188">
        <v>5.6764427625354781E-2</v>
      </c>
      <c r="S188">
        <v>0.31015961180455948</v>
      </c>
      <c r="T188" s="42"/>
      <c r="U188" s="42"/>
    </row>
    <row r="189" spans="1:21" x14ac:dyDescent="0.25">
      <c r="A189" s="40">
        <f t="shared" si="25"/>
        <v>64.229676878151835</v>
      </c>
      <c r="B189" s="40">
        <f t="shared" si="25"/>
        <v>32.933286051621081</v>
      </c>
      <c r="C189" s="41">
        <f t="shared" si="20"/>
        <v>0.49289226185293716</v>
      </c>
      <c r="D189" s="41">
        <f t="shared" si="21"/>
        <v>0.98069361229543572</v>
      </c>
      <c r="E189" s="39">
        <f>IF(_xlfn.NORM.INV(R189,C189,'Regressão Grupo 2'!$B$7)&lt;=0,0,IF(_xlfn.NORM.INV(R189,C189,'Regressão Grupo 2'!$B$7)&gt;100%,100%,_xlfn.NORM.INV(R189,C189,'Regressão Grupo 2'!$B$7)))</f>
        <v>0.43452266725782474</v>
      </c>
      <c r="F189" s="39">
        <f>IF(_xlfn.NORM.INV(S189,D189,'Regressão Grupo 2'!$B$7)&lt;=0,0,IF(_xlfn.NORM.INV(S189,D189,'Regressão Grupo 2'!$B$7)&gt;100%,100%,_xlfn.NORM.INV(S189,D189,'Regressão Grupo 2'!$B$7)))</f>
        <v>1</v>
      </c>
      <c r="G189" s="41">
        <v>2.1457446617313355E-2</v>
      </c>
      <c r="H189" s="41">
        <v>2.8248475194106459E-2</v>
      </c>
      <c r="I189" s="40">
        <f t="shared" si="22"/>
        <v>186.39403289402367</v>
      </c>
      <c r="J189" s="40">
        <f t="shared" si="22"/>
        <v>0</v>
      </c>
      <c r="K189" s="36">
        <v>0.27045403994860973</v>
      </c>
      <c r="L189" s="42">
        <f t="shared" si="29"/>
        <v>19991.322604477216</v>
      </c>
      <c r="M189" s="42">
        <f t="shared" si="29"/>
        <v>0</v>
      </c>
      <c r="N189" s="42">
        <f t="shared" si="23"/>
        <v>5406.7339622968257</v>
      </c>
      <c r="O189" s="36">
        <v>7.3654689300800857</v>
      </c>
      <c r="P189" s="42">
        <f t="shared" si="24"/>
        <v>5192.4150844686637</v>
      </c>
      <c r="Q189" s="42"/>
      <c r="R189">
        <v>0.33646656697286903</v>
      </c>
      <c r="S189">
        <v>0.86443678090762044</v>
      </c>
      <c r="T189" s="42"/>
      <c r="U189" s="42"/>
    </row>
    <row r="190" spans="1:21" x14ac:dyDescent="0.25">
      <c r="A190" s="40">
        <f t="shared" si="25"/>
        <v>64.229676878151835</v>
      </c>
      <c r="B190" s="40">
        <f t="shared" si="25"/>
        <v>32.933286051621081</v>
      </c>
      <c r="C190" s="41">
        <f t="shared" si="20"/>
        <v>0.49289226185293716</v>
      </c>
      <c r="D190" s="41">
        <f t="shared" si="21"/>
        <v>0.98069361229543572</v>
      </c>
      <c r="E190" s="39">
        <f>IF(_xlfn.NORM.INV(R190,C190,'Regressão Grupo 2'!$B$7)&lt;=0,0,IF(_xlfn.NORM.INV(R190,C190,'Regressão Grupo 2'!$B$7)&gt;100%,100%,_xlfn.NORM.INV(R190,C190,'Regressão Grupo 2'!$B$7)))</f>
        <v>0.27903119204239268</v>
      </c>
      <c r="F190" s="39">
        <f>IF(_xlfn.NORM.INV(S190,D190,'Regressão Grupo 2'!$B$7)&lt;=0,0,IF(_xlfn.NORM.INV(S190,D190,'Regressão Grupo 2'!$B$7)&gt;100%,100%,_xlfn.NORM.INV(S190,D190,'Regressão Grupo 2'!$B$7)))</f>
        <v>1</v>
      </c>
      <c r="G190" s="41">
        <v>1.5034403686242337E-2</v>
      </c>
      <c r="H190" s="41">
        <v>6.9467373771265875E-3</v>
      </c>
      <c r="I190" s="40">
        <f t="shared" si="22"/>
        <v>83.864949383719122</v>
      </c>
      <c r="J190" s="40">
        <f t="shared" si="22"/>
        <v>0</v>
      </c>
      <c r="K190" s="36">
        <v>0.31731485743808774</v>
      </c>
      <c r="L190" s="42">
        <f t="shared" si="29"/>
        <v>19991.322604477216</v>
      </c>
      <c r="M190" s="42">
        <f t="shared" si="29"/>
        <v>0</v>
      </c>
      <c r="N190" s="42">
        <f t="shared" si="23"/>
        <v>6343.5436822385091</v>
      </c>
      <c r="O190" s="36">
        <v>7.8679640060388412</v>
      </c>
      <c r="P190" s="42">
        <f t="shared" si="24"/>
        <v>-1616.771485039043</v>
      </c>
      <c r="Q190" s="42"/>
      <c r="R190">
        <v>6.0975981933042392E-2</v>
      </c>
      <c r="S190">
        <v>0.82683797723319197</v>
      </c>
      <c r="T190" s="42"/>
      <c r="U190" s="42"/>
    </row>
    <row r="191" spans="1:21" x14ac:dyDescent="0.25">
      <c r="A191" s="40">
        <f t="shared" si="25"/>
        <v>64.229676878151835</v>
      </c>
      <c r="B191" s="40">
        <f t="shared" si="25"/>
        <v>32.933286051621081</v>
      </c>
      <c r="C191" s="41">
        <f t="shared" si="20"/>
        <v>0.49289226185293716</v>
      </c>
      <c r="D191" s="41">
        <f t="shared" si="21"/>
        <v>0.98069361229543572</v>
      </c>
      <c r="E191" s="39">
        <f>IF(_xlfn.NORM.INV(R191,C191,'Regressão Grupo 2'!$B$7)&lt;=0,0,IF(_xlfn.NORM.INV(R191,C191,'Regressão Grupo 2'!$B$7)&gt;100%,100%,_xlfn.NORM.INV(R191,C191,'Regressão Grupo 2'!$B$7)))</f>
        <v>0.65024486185602792</v>
      </c>
      <c r="F191" s="39">
        <f>IF(_xlfn.NORM.INV(S191,D191,'Regressão Grupo 2'!$B$7)&lt;=0,0,IF(_xlfn.NORM.INV(S191,D191,'Regressão Grupo 2'!$B$7)&gt;100%,100%,_xlfn.NORM.INV(S191,D191,'Regressão Grupo 2'!$B$7)))</f>
        <v>1</v>
      </c>
      <c r="G191" s="41">
        <v>2.0109273287315335E-2</v>
      </c>
      <c r="H191" s="41">
        <v>4.9929581168259539E-3</v>
      </c>
      <c r="I191" s="40">
        <f t="shared" si="22"/>
        <v>261.40556741057276</v>
      </c>
      <c r="J191" s="40">
        <f t="shared" si="22"/>
        <v>0</v>
      </c>
      <c r="K191" s="36">
        <v>0.44143710122096652</v>
      </c>
      <c r="L191" s="42">
        <f t="shared" si="29"/>
        <v>19991.322604477216</v>
      </c>
      <c r="M191" s="42">
        <f t="shared" si="29"/>
        <v>0</v>
      </c>
      <c r="N191" s="42">
        <f t="shared" si="23"/>
        <v>8824.9115000936054</v>
      </c>
      <c r="O191" s="36">
        <v>8.5985753026327174</v>
      </c>
      <c r="P191" s="42">
        <f t="shared" si="24"/>
        <v>5717.3681729301788</v>
      </c>
      <c r="Q191" s="42"/>
      <c r="R191">
        <v>0.8724326303903317</v>
      </c>
      <c r="S191">
        <v>0.97747734000671405</v>
      </c>
      <c r="T191" s="42"/>
      <c r="U191" s="42"/>
    </row>
    <row r="192" spans="1:21" x14ac:dyDescent="0.25">
      <c r="A192" s="40">
        <f t="shared" si="25"/>
        <v>64.229676878151835</v>
      </c>
      <c r="B192" s="40">
        <f t="shared" si="25"/>
        <v>32.933286051621081</v>
      </c>
      <c r="C192" s="41">
        <f t="shared" si="20"/>
        <v>0.49289226185293716</v>
      </c>
      <c r="D192" s="41">
        <f t="shared" si="21"/>
        <v>0.98069361229543572</v>
      </c>
      <c r="E192" s="39">
        <f>IF(_xlfn.NORM.INV(R192,C192,'Regressão Grupo 2'!$B$7)&lt;=0,0,IF(_xlfn.NORM.INV(R192,C192,'Regressão Grupo 2'!$B$7)&gt;100%,100%,_xlfn.NORM.INV(R192,C192,'Regressão Grupo 2'!$B$7)))</f>
        <v>0.53650313347678158</v>
      </c>
      <c r="F192" s="39">
        <f>IF(_xlfn.NORM.INV(S192,D192,'Regressão Grupo 2'!$B$7)&lt;=0,0,IF(_xlfn.NORM.INV(S192,D192,'Regressão Grupo 2'!$B$7)&gt;100%,100%,_xlfn.NORM.INV(S192,D192,'Regressão Grupo 2'!$B$7)))</f>
        <v>0.88281099486519066</v>
      </c>
      <c r="G192" s="41">
        <v>1.1867716211792759E-2</v>
      </c>
      <c r="H192" s="41">
        <v>1.546225671599928E-3</v>
      </c>
      <c r="I192" s="40">
        <f t="shared" si="22"/>
        <v>127.28608913868666</v>
      </c>
      <c r="J192" s="40">
        <f t="shared" si="22"/>
        <v>0</v>
      </c>
      <c r="K192" s="36">
        <v>0.30376947924832104</v>
      </c>
      <c r="L192" s="42">
        <f t="shared" si="29"/>
        <v>19991.322604477216</v>
      </c>
      <c r="M192" s="42">
        <f t="shared" si="29"/>
        <v>0</v>
      </c>
      <c r="N192" s="42">
        <f t="shared" si="23"/>
        <v>6072.753657047233</v>
      </c>
      <c r="O192" s="36">
        <v>4.0998303957977971</v>
      </c>
      <c r="P192" s="42">
        <f t="shared" si="24"/>
        <v>1580.9393422012281</v>
      </c>
      <c r="Q192" s="42"/>
      <c r="R192">
        <v>0.62376781517990665</v>
      </c>
      <c r="S192">
        <v>0.23950926236762596</v>
      </c>
      <c r="T192" s="42"/>
      <c r="U192" s="42"/>
    </row>
    <row r="193" spans="1:21" x14ac:dyDescent="0.25">
      <c r="A193" s="40">
        <f t="shared" si="25"/>
        <v>64.229676878151835</v>
      </c>
      <c r="B193" s="40">
        <f t="shared" si="25"/>
        <v>32.933286051621081</v>
      </c>
      <c r="C193" s="41">
        <f t="shared" si="20"/>
        <v>0.49289226185293716</v>
      </c>
      <c r="D193" s="41">
        <f t="shared" si="21"/>
        <v>0.98069361229543572</v>
      </c>
      <c r="E193" s="39">
        <f>IF(_xlfn.NORM.INV(R193,C193,'Regressão Grupo 2'!$B$7)&lt;=0,0,IF(_xlfn.NORM.INV(R193,C193,'Regressão Grupo 2'!$B$7)&gt;100%,100%,_xlfn.NORM.INV(R193,C193,'Regressão Grupo 2'!$B$7)))</f>
        <v>0.67948876381909395</v>
      </c>
      <c r="F193" s="39">
        <f>IF(_xlfn.NORM.INV(S193,D193,'Regressão Grupo 2'!$B$7)&lt;=0,0,IF(_xlfn.NORM.INV(S193,D193,'Regressão Grupo 2'!$B$7)&gt;100%,100%,_xlfn.NORM.INV(S193,D193,'Regressão Grupo 2'!$B$7)))</f>
        <v>0.9037863865263428</v>
      </c>
      <c r="G193" s="41">
        <v>2.6546839925676573E-2</v>
      </c>
      <c r="H193" s="41">
        <v>1.4613738198925303E-2</v>
      </c>
      <c r="I193" s="40">
        <f t="shared" si="22"/>
        <v>360.60906360273731</v>
      </c>
      <c r="J193" s="40">
        <f t="shared" si="22"/>
        <v>0</v>
      </c>
      <c r="K193" s="36">
        <v>0.27534359851613743</v>
      </c>
      <c r="L193" s="42">
        <f t="shared" si="29"/>
        <v>19991.322604477216</v>
      </c>
      <c r="M193" s="42">
        <f t="shared" si="29"/>
        <v>0</v>
      </c>
      <c r="N193" s="42">
        <f t="shared" si="23"/>
        <v>5504.4827050137574</v>
      </c>
      <c r="O193" s="36">
        <v>5.9060896331194348</v>
      </c>
      <c r="P193" s="42">
        <f t="shared" si="24"/>
        <v>15527.531477369932</v>
      </c>
      <c r="Q193" s="42"/>
      <c r="R193">
        <v>0.91140476699118012</v>
      </c>
      <c r="S193">
        <v>0.28904080324716941</v>
      </c>
      <c r="T193" s="42"/>
      <c r="U193" s="42"/>
    </row>
    <row r="194" spans="1:21" x14ac:dyDescent="0.25">
      <c r="A194" s="40">
        <f t="shared" si="25"/>
        <v>64.229676878151835</v>
      </c>
      <c r="B194" s="40">
        <f t="shared" si="25"/>
        <v>32.933286051621081</v>
      </c>
      <c r="C194" s="41">
        <f t="shared" si="20"/>
        <v>0.49289226185293716</v>
      </c>
      <c r="D194" s="41">
        <f t="shared" si="21"/>
        <v>0.98069361229543572</v>
      </c>
      <c r="E194" s="39">
        <f>IF(_xlfn.NORM.INV(R194,C194,'Regressão Grupo 2'!$B$7)&lt;=0,0,IF(_xlfn.NORM.INV(R194,C194,'Regressão Grupo 2'!$B$7)&gt;100%,100%,_xlfn.NORM.INV(R194,C194,'Regressão Grupo 2'!$B$7)))</f>
        <v>0.53663656098539769</v>
      </c>
      <c r="F194" s="39">
        <f>IF(_xlfn.NORM.INV(S194,D194,'Regressão Grupo 2'!$B$7)&lt;=0,0,IF(_xlfn.NORM.INV(S194,D194,'Regressão Grupo 2'!$B$7)&gt;100%,100%,_xlfn.NORM.INV(S194,D194,'Regressão Grupo 2'!$B$7)))</f>
        <v>1</v>
      </c>
      <c r="G194" s="41">
        <v>1.2395534298065388E-2</v>
      </c>
      <c r="H194" s="41">
        <v>3.2507046889219044E-3</v>
      </c>
      <c r="I194" s="40">
        <f t="shared" si="22"/>
        <v>132.98021680545256</v>
      </c>
      <c r="J194" s="40">
        <f t="shared" si="22"/>
        <v>0</v>
      </c>
      <c r="K194" s="36">
        <v>0.45263802756318661</v>
      </c>
      <c r="L194" s="42">
        <f t="shared" si="29"/>
        <v>19991.322604477216</v>
      </c>
      <c r="M194" s="42">
        <f t="shared" si="29"/>
        <v>0</v>
      </c>
      <c r="N194" s="42">
        <f t="shared" si="23"/>
        <v>9048.8328320699129</v>
      </c>
      <c r="O194" s="36">
        <v>3.2137812785823856</v>
      </c>
      <c r="P194" s="42">
        <f t="shared" si="24"/>
        <v>-934.92580666030881</v>
      </c>
      <c r="Q194" s="42"/>
      <c r="R194">
        <v>0.6241340372936186</v>
      </c>
      <c r="S194">
        <v>0.77101962340159302</v>
      </c>
      <c r="T194" s="42"/>
      <c r="U194" s="42"/>
    </row>
    <row r="195" spans="1:21" x14ac:dyDescent="0.25">
      <c r="A195" s="40">
        <f t="shared" si="25"/>
        <v>64.229676878151835</v>
      </c>
      <c r="B195" s="40">
        <f t="shared" si="25"/>
        <v>32.933286051621081</v>
      </c>
      <c r="C195" s="41">
        <f t="shared" si="20"/>
        <v>0.49289226185293716</v>
      </c>
      <c r="D195" s="41">
        <f t="shared" si="21"/>
        <v>0.98069361229543572</v>
      </c>
      <c r="E195" s="39">
        <f>IF(_xlfn.NORM.INV(R195,C195,'Regressão Grupo 2'!$B$7)&lt;=0,0,IF(_xlfn.NORM.INV(R195,C195,'Regressão Grupo 2'!$B$7)&gt;100%,100%,_xlfn.NORM.INV(R195,C195,'Regressão Grupo 2'!$B$7)))</f>
        <v>0.56763571919683931</v>
      </c>
      <c r="F195" s="39">
        <f>IF(_xlfn.NORM.INV(S195,D195,'Regressão Grupo 2'!$B$7)&lt;=0,0,IF(_xlfn.NORM.INV(S195,D195,'Regressão Grupo 2'!$B$7)&gt;100%,100%,_xlfn.NORM.INV(S195,D195,'Regressão Grupo 2'!$B$7)))</f>
        <v>1</v>
      </c>
      <c r="G195" s="41">
        <v>2.0116621493538732E-2</v>
      </c>
      <c r="H195" s="41">
        <v>1.2457467675302035E-2</v>
      </c>
      <c r="I195" s="40">
        <f t="shared" si="22"/>
        <v>228.27917176215487</v>
      </c>
      <c r="J195" s="40">
        <f t="shared" si="22"/>
        <v>0</v>
      </c>
      <c r="K195" s="36">
        <v>0.19356837162611201</v>
      </c>
      <c r="L195" s="42">
        <f t="shared" si="29"/>
        <v>19991.322604477216</v>
      </c>
      <c r="M195" s="42">
        <f t="shared" si="29"/>
        <v>0</v>
      </c>
      <c r="N195" s="42">
        <f t="shared" si="23"/>
        <v>3869.6877632009391</v>
      </c>
      <c r="O195" s="36">
        <v>5.894892383555252</v>
      </c>
      <c r="P195" s="42">
        <f t="shared" si="24"/>
        <v>9446.9285261493642</v>
      </c>
      <c r="Q195" s="42"/>
      <c r="R195">
        <v>0.70558793908505513</v>
      </c>
      <c r="S195">
        <v>0.78151799066133609</v>
      </c>
      <c r="T195" s="42"/>
      <c r="U195" s="42"/>
    </row>
    <row r="196" spans="1:21" x14ac:dyDescent="0.25">
      <c r="A196" s="40">
        <f t="shared" si="25"/>
        <v>64.229676878151835</v>
      </c>
      <c r="B196" s="40">
        <f t="shared" si="25"/>
        <v>32.933286051621081</v>
      </c>
      <c r="C196" s="41">
        <f t="shared" si="20"/>
        <v>0.49289226185293716</v>
      </c>
      <c r="D196" s="41">
        <f t="shared" si="21"/>
        <v>0.98069361229543572</v>
      </c>
      <c r="E196" s="39">
        <f>IF(_xlfn.NORM.INV(R196,C196,'Regressão Grupo 2'!$B$7)&lt;=0,0,IF(_xlfn.NORM.INV(R196,C196,'Regressão Grupo 2'!$B$7)&gt;100%,100%,_xlfn.NORM.INV(R196,C196,'Regressão Grupo 2'!$B$7)))</f>
        <v>0.45741477396955083</v>
      </c>
      <c r="F196" s="39">
        <f>IF(_xlfn.NORM.INV(S196,D196,'Regressão Grupo 2'!$B$7)&lt;=0,0,IF(_xlfn.NORM.INV(S196,D196,'Regressão Grupo 2'!$B$7)&gt;100%,100%,_xlfn.NORM.INV(S196,D196,'Regressão Grupo 2'!$B$7)))</f>
        <v>0.76581229114654459</v>
      </c>
      <c r="G196" s="41">
        <v>1.5352071506127971E-2</v>
      </c>
      <c r="H196" s="41">
        <v>1.9553506910811137E-2</v>
      </c>
      <c r="I196" s="40">
        <f t="shared" si="22"/>
        <v>140.38435139384586</v>
      </c>
      <c r="J196" s="40">
        <f t="shared" si="22"/>
        <v>0</v>
      </c>
      <c r="K196" s="36">
        <v>0.26745300601642835</v>
      </c>
      <c r="L196" s="42">
        <f t="shared" si="29"/>
        <v>19991.322604477216</v>
      </c>
      <c r="M196" s="42">
        <f t="shared" si="29"/>
        <v>0</v>
      </c>
      <c r="N196" s="42">
        <f t="shared" si="23"/>
        <v>5346.739324811605</v>
      </c>
      <c r="O196" s="36">
        <v>8.245363762391813</v>
      </c>
      <c r="P196" s="42">
        <f t="shared" si="24"/>
        <v>2512.5821601743428</v>
      </c>
      <c r="Q196" s="42"/>
      <c r="R196">
        <v>0.39875484481337931</v>
      </c>
      <c r="S196">
        <v>6.0090945158238471E-2</v>
      </c>
      <c r="T196" s="42"/>
      <c r="U196" s="42"/>
    </row>
    <row r="197" spans="1:21" x14ac:dyDescent="0.25">
      <c r="A197" s="40">
        <f t="shared" si="25"/>
        <v>64.229676878151835</v>
      </c>
      <c r="B197" s="40">
        <f t="shared" si="25"/>
        <v>32.933286051621081</v>
      </c>
      <c r="C197" s="41">
        <f t="shared" si="20"/>
        <v>0.49289226185293716</v>
      </c>
      <c r="D197" s="41">
        <f t="shared" si="21"/>
        <v>0.98069361229543572</v>
      </c>
      <c r="E197" s="39">
        <f>IF(_xlfn.NORM.INV(R197,C197,'Regressão Grupo 2'!$B$7)&lt;=0,0,IF(_xlfn.NORM.INV(R197,C197,'Regressão Grupo 2'!$B$7)&gt;100%,100%,_xlfn.NORM.INV(R197,C197,'Regressão Grupo 2'!$B$7)))</f>
        <v>0.66385391021948503</v>
      </c>
      <c r="F197" s="39">
        <f>IF(_xlfn.NORM.INV(S197,D197,'Regressão Grupo 2'!$B$7)&lt;=0,0,IF(_xlfn.NORM.INV(S197,D197,'Regressão Grupo 2'!$B$7)&gt;100%,100%,_xlfn.NORM.INV(S197,D197,'Regressão Grupo 2'!$B$7)))</f>
        <v>0.94008545073277217</v>
      </c>
      <c r="G197" s="41">
        <v>2.1457676873970648E-2</v>
      </c>
      <c r="H197" s="41">
        <v>2.1652684577041836E-2</v>
      </c>
      <c r="I197" s="40">
        <f t="shared" si="22"/>
        <v>284.77164650018244</v>
      </c>
      <c r="J197" s="40">
        <f t="shared" si="22"/>
        <v>0</v>
      </c>
      <c r="K197" s="36">
        <v>0.31740579188696649</v>
      </c>
      <c r="L197" s="42">
        <f t="shared" si="29"/>
        <v>19991.322604477216</v>
      </c>
      <c r="M197" s="42">
        <f t="shared" si="29"/>
        <v>0</v>
      </c>
      <c r="N197" s="42">
        <f t="shared" si="23"/>
        <v>6345.3615821419044</v>
      </c>
      <c r="O197" s="36">
        <v>9.6574413346476362</v>
      </c>
      <c r="P197" s="42">
        <f t="shared" si="24"/>
        <v>9195.2637867775647</v>
      </c>
      <c r="Q197" s="42"/>
      <c r="R197">
        <v>0.89184240241706592</v>
      </c>
      <c r="S197">
        <v>0.38450270088808863</v>
      </c>
      <c r="T197" s="42"/>
      <c r="U197" s="42"/>
    </row>
    <row r="198" spans="1:21" x14ac:dyDescent="0.25">
      <c r="A198" s="40">
        <f t="shared" si="25"/>
        <v>64.229676878151835</v>
      </c>
      <c r="B198" s="40">
        <f t="shared" si="25"/>
        <v>32.933286051621081</v>
      </c>
      <c r="C198" s="41">
        <f t="shared" ref="C198:C261" si="30">-0.007*A198 + 0.9425</f>
        <v>0.49289226185293716</v>
      </c>
      <c r="D198" s="41">
        <f t="shared" ref="D198:D261" si="31">-0.0059*B198+1.175</f>
        <v>0.98069361229543572</v>
      </c>
      <c r="E198" s="39">
        <f>IF(_xlfn.NORM.INV(R198,C198,'Regressão Grupo 2'!$B$7)&lt;=0,0,IF(_xlfn.NORM.INV(R198,C198,'Regressão Grupo 2'!$B$7)&gt;100%,100%,_xlfn.NORM.INV(R198,C198,'Regressão Grupo 2'!$B$7)))</f>
        <v>0.34209268946159577</v>
      </c>
      <c r="F198" s="39">
        <f>IF(_xlfn.NORM.INV(S198,D198,'Regressão Grupo 2'!$B$7)&lt;=0,0,IF(_xlfn.NORM.INV(S198,D198,'Regressão Grupo 2'!$B$7)&gt;100%,100%,_xlfn.NORM.INV(S198,D198,'Regressão Grupo 2'!$B$7)))</f>
        <v>0.80322905678033729</v>
      </c>
      <c r="G198" s="41">
        <v>7.2358586085662022E-3</v>
      </c>
      <c r="H198" s="41">
        <v>6.2538306894687756E-3</v>
      </c>
      <c r="I198" s="40">
        <f t="shared" ref="I198:J261" si="32">IF(E198*G198*L198&gt;0,E198*G198*L198,0)</f>
        <v>49.485207184315435</v>
      </c>
      <c r="J198" s="40">
        <f t="shared" si="32"/>
        <v>0</v>
      </c>
      <c r="K198" s="36">
        <v>0.28239131565334147</v>
      </c>
      <c r="L198" s="42">
        <f t="shared" si="29"/>
        <v>19991.322604477216</v>
      </c>
      <c r="M198" s="42">
        <f t="shared" si="29"/>
        <v>0</v>
      </c>
      <c r="N198" s="42">
        <f t="shared" ref="N198:N261" si="33">(L198+M198)*K198</f>
        <v>5645.3758919287056</v>
      </c>
      <c r="O198" s="36">
        <v>7.8451070775883798</v>
      </c>
      <c r="P198" s="42">
        <f t="shared" ref="P198:P261" si="34">SUMPRODUCT(A198:B198,I198:J198)-SUM(I198:J198)*O198-N198</f>
        <v>-2855.1737733493273</v>
      </c>
      <c r="Q198" s="42"/>
      <c r="R198">
        <v>0.13773003326517533</v>
      </c>
      <c r="S198">
        <v>9.9673451948606828E-2</v>
      </c>
      <c r="T198" s="42"/>
      <c r="U198" s="42"/>
    </row>
    <row r="199" spans="1:21" x14ac:dyDescent="0.25">
      <c r="A199" s="40">
        <f t="shared" ref="A199:B262" si="35">A198</f>
        <v>64.229676878151835</v>
      </c>
      <c r="B199" s="40">
        <f t="shared" si="35"/>
        <v>32.933286051621081</v>
      </c>
      <c r="C199" s="41">
        <f t="shared" si="30"/>
        <v>0.49289226185293716</v>
      </c>
      <c r="D199" s="41">
        <f t="shared" si="31"/>
        <v>0.98069361229543572</v>
      </c>
      <c r="E199" s="39">
        <f>IF(_xlfn.NORM.INV(R199,C199,'Regressão Grupo 2'!$B$7)&lt;=0,0,IF(_xlfn.NORM.INV(R199,C199,'Regressão Grupo 2'!$B$7)&gt;100%,100%,_xlfn.NORM.INV(R199,C199,'Regressão Grupo 2'!$B$7)))</f>
        <v>0.4213485879796845</v>
      </c>
      <c r="F199" s="39">
        <f>IF(_xlfn.NORM.INV(S199,D199,'Regressão Grupo 2'!$B$7)&lt;=0,0,IF(_xlfn.NORM.INV(S199,D199,'Regressão Grupo 2'!$B$7)&gt;100%,100%,_xlfn.NORM.INV(S199,D199,'Regressão Grupo 2'!$B$7)))</f>
        <v>1</v>
      </c>
      <c r="G199" s="41">
        <v>1.855625667963778E-2</v>
      </c>
      <c r="H199" s="41">
        <v>2.0898528201837574E-2</v>
      </c>
      <c r="I199" s="40">
        <f t="shared" si="32"/>
        <v>156.30520546244645</v>
      </c>
      <c r="J199" s="40">
        <f t="shared" si="32"/>
        <v>0</v>
      </c>
      <c r="K199" s="36">
        <v>0.30935397654913077</v>
      </c>
      <c r="L199" s="42">
        <f t="shared" ref="L199:M214" si="36">L198</f>
        <v>19991.322604477216</v>
      </c>
      <c r="M199" s="42">
        <f t="shared" si="36"/>
        <v>0</v>
      </c>
      <c r="N199" s="42">
        <f t="shared" si="33"/>
        <v>6184.3951441715526</v>
      </c>
      <c r="O199" s="36">
        <v>5.5566213092797634</v>
      </c>
      <c r="P199" s="42">
        <f t="shared" si="34"/>
        <v>2986.5088616305347</v>
      </c>
      <c r="Q199" s="42"/>
      <c r="R199">
        <v>0.30243842890713218</v>
      </c>
      <c r="S199">
        <v>0.66805017242957854</v>
      </c>
      <c r="T199" s="42"/>
      <c r="U199" s="42"/>
    </row>
    <row r="200" spans="1:21" x14ac:dyDescent="0.25">
      <c r="A200" s="40">
        <f t="shared" si="35"/>
        <v>64.229676878151835</v>
      </c>
      <c r="B200" s="40">
        <f t="shared" si="35"/>
        <v>32.933286051621081</v>
      </c>
      <c r="C200" s="41">
        <f t="shared" si="30"/>
        <v>0.49289226185293716</v>
      </c>
      <c r="D200" s="41">
        <f t="shared" si="31"/>
        <v>0.98069361229543572</v>
      </c>
      <c r="E200" s="39">
        <f>IF(_xlfn.NORM.INV(R200,C200,'Regressão Grupo 2'!$B$7)&lt;=0,0,IF(_xlfn.NORM.INV(R200,C200,'Regressão Grupo 2'!$B$7)&gt;100%,100%,_xlfn.NORM.INV(R200,C200,'Regressão Grupo 2'!$B$7)))</f>
        <v>0.4686350212137948</v>
      </c>
      <c r="F200" s="39">
        <f>IF(_xlfn.NORM.INV(S200,D200,'Regressão Grupo 2'!$B$7)&lt;=0,0,IF(_xlfn.NORM.INV(S200,D200,'Regressão Grupo 2'!$B$7)&gt;100%,100%,_xlfn.NORM.INV(S200,D200,'Regressão Grupo 2'!$B$7)))</f>
        <v>1</v>
      </c>
      <c r="G200" s="41">
        <v>1.8475619205324124E-2</v>
      </c>
      <c r="H200" s="41">
        <v>1.0302092762715518E-2</v>
      </c>
      <c r="I200" s="40">
        <f t="shared" si="32"/>
        <v>173.09131227822363</v>
      </c>
      <c r="J200" s="40">
        <f t="shared" si="32"/>
        <v>0</v>
      </c>
      <c r="K200" s="36">
        <v>0.25009595662769829</v>
      </c>
      <c r="L200" s="42">
        <f t="shared" si="36"/>
        <v>19991.322604477216</v>
      </c>
      <c r="M200" s="42">
        <f t="shared" si="36"/>
        <v>0</v>
      </c>
      <c r="N200" s="42">
        <f t="shared" si="33"/>
        <v>4999.7489510196583</v>
      </c>
      <c r="O200" s="36">
        <v>2.9662782144806945</v>
      </c>
      <c r="P200" s="42">
        <f t="shared" si="34"/>
        <v>5604.4131182991505</v>
      </c>
      <c r="Q200" s="42"/>
      <c r="R200">
        <v>0.43037202063051239</v>
      </c>
      <c r="S200">
        <v>0.72374645222327338</v>
      </c>
      <c r="T200" s="42"/>
      <c r="U200" s="42"/>
    </row>
    <row r="201" spans="1:21" x14ac:dyDescent="0.25">
      <c r="A201" s="40">
        <f t="shared" si="35"/>
        <v>64.229676878151835</v>
      </c>
      <c r="B201" s="40">
        <f t="shared" si="35"/>
        <v>32.933286051621081</v>
      </c>
      <c r="C201" s="41">
        <f t="shared" si="30"/>
        <v>0.49289226185293716</v>
      </c>
      <c r="D201" s="41">
        <f t="shared" si="31"/>
        <v>0.98069361229543572</v>
      </c>
      <c r="E201" s="39">
        <f>IF(_xlfn.NORM.INV(R201,C201,'Regressão Grupo 2'!$B$7)&lt;=0,0,IF(_xlfn.NORM.INV(R201,C201,'Regressão Grupo 2'!$B$7)&gt;100%,100%,_xlfn.NORM.INV(R201,C201,'Regressão Grupo 2'!$B$7)))</f>
        <v>0.33670631809184043</v>
      </c>
      <c r="F201" s="39">
        <f>IF(_xlfn.NORM.INV(S201,D201,'Regressão Grupo 2'!$B$7)&lt;=0,0,IF(_xlfn.NORM.INV(S201,D201,'Regressão Grupo 2'!$B$7)&gt;100%,100%,_xlfn.NORM.INV(S201,D201,'Regressão Grupo 2'!$B$7)))</f>
        <v>0.97196637343376502</v>
      </c>
      <c r="G201" s="41">
        <v>1.1524991205505855E-2</v>
      </c>
      <c r="H201" s="41">
        <v>2.4466721987330589E-2</v>
      </c>
      <c r="I201" s="40">
        <f t="shared" si="32"/>
        <v>77.57707413946541</v>
      </c>
      <c r="J201" s="40">
        <f t="shared" si="32"/>
        <v>0</v>
      </c>
      <c r="K201" s="36">
        <v>0.39655224992074523</v>
      </c>
      <c r="L201" s="42">
        <f t="shared" si="36"/>
        <v>19991.322604477216</v>
      </c>
      <c r="M201" s="42">
        <f t="shared" si="36"/>
        <v>0</v>
      </c>
      <c r="N201" s="42">
        <f t="shared" si="33"/>
        <v>7927.6039576968924</v>
      </c>
      <c r="O201" s="36">
        <v>5.5387152589840811</v>
      </c>
      <c r="P201" s="42">
        <f t="shared" si="34"/>
        <v>-3374.5308768501964</v>
      </c>
      <c r="Q201" s="42"/>
      <c r="R201">
        <v>0.12933744315927609</v>
      </c>
      <c r="S201">
        <v>0.47483748893704031</v>
      </c>
      <c r="T201" s="42"/>
      <c r="U201" s="42"/>
    </row>
    <row r="202" spans="1:21" x14ac:dyDescent="0.25">
      <c r="A202" s="40">
        <f t="shared" si="35"/>
        <v>64.229676878151835</v>
      </c>
      <c r="B202" s="40">
        <f t="shared" si="35"/>
        <v>32.933286051621081</v>
      </c>
      <c r="C202" s="41">
        <f t="shared" si="30"/>
        <v>0.49289226185293716</v>
      </c>
      <c r="D202" s="41">
        <f t="shared" si="31"/>
        <v>0.98069361229543572</v>
      </c>
      <c r="E202" s="39">
        <f>IF(_xlfn.NORM.INV(R202,C202,'Regressão Grupo 2'!$B$7)&lt;=0,0,IF(_xlfn.NORM.INV(R202,C202,'Regressão Grupo 2'!$B$7)&gt;100%,100%,_xlfn.NORM.INV(R202,C202,'Regressão Grupo 2'!$B$7)))</f>
        <v>0.83318652623171863</v>
      </c>
      <c r="F202" s="39">
        <f>IF(_xlfn.NORM.INV(S202,D202,'Regressão Grupo 2'!$B$7)&lt;=0,0,IF(_xlfn.NORM.INV(S202,D202,'Regressão Grupo 2'!$B$7)&gt;100%,100%,_xlfn.NORM.INV(S202,D202,'Regressão Grupo 2'!$B$7)))</f>
        <v>0.99783654218293449</v>
      </c>
      <c r="G202" s="41">
        <v>4.3843836288747894E-3</v>
      </c>
      <c r="H202" s="41">
        <v>1.090479183559788E-2</v>
      </c>
      <c r="I202" s="40">
        <f t="shared" si="32"/>
        <v>73.028488701075958</v>
      </c>
      <c r="J202" s="40">
        <f t="shared" si="32"/>
        <v>0</v>
      </c>
      <c r="K202" s="36">
        <v>0.3135000321539122</v>
      </c>
      <c r="L202" s="42">
        <f t="shared" si="36"/>
        <v>19991.322604477216</v>
      </c>
      <c r="M202" s="42">
        <f t="shared" si="36"/>
        <v>0</v>
      </c>
      <c r="N202" s="42">
        <f t="shared" si="33"/>
        <v>6267.2802793028395</v>
      </c>
      <c r="O202" s="36">
        <v>4.1873404989675507</v>
      </c>
      <c r="P202" s="42">
        <f t="shared" si="34"/>
        <v>-1882.4791954493785</v>
      </c>
      <c r="Q202" s="42"/>
      <c r="R202">
        <v>0.99307229834894861</v>
      </c>
      <c r="S202">
        <v>0.5493331705679495</v>
      </c>
      <c r="T202" s="42"/>
      <c r="U202" s="42"/>
    </row>
    <row r="203" spans="1:21" x14ac:dyDescent="0.25">
      <c r="A203" s="40">
        <f t="shared" si="35"/>
        <v>64.229676878151835</v>
      </c>
      <c r="B203" s="40">
        <f t="shared" si="35"/>
        <v>32.933286051621081</v>
      </c>
      <c r="C203" s="41">
        <f t="shared" si="30"/>
        <v>0.49289226185293716</v>
      </c>
      <c r="D203" s="41">
        <f t="shared" si="31"/>
        <v>0.98069361229543572</v>
      </c>
      <c r="E203" s="39">
        <f>IF(_xlfn.NORM.INV(R203,C203,'Regressão Grupo 2'!$B$7)&lt;=0,0,IF(_xlfn.NORM.INV(R203,C203,'Regressão Grupo 2'!$B$7)&gt;100%,100%,_xlfn.NORM.INV(R203,C203,'Regressão Grupo 2'!$B$7)))</f>
        <v>0.57472618877313497</v>
      </c>
      <c r="F203" s="39">
        <f>IF(_xlfn.NORM.INV(S203,D203,'Regressão Grupo 2'!$B$7)&lt;=0,0,IF(_xlfn.NORM.INV(S203,D203,'Regressão Grupo 2'!$B$7)&gt;100%,100%,_xlfn.NORM.INV(S203,D203,'Regressão Grupo 2'!$B$7)))</f>
        <v>1</v>
      </c>
      <c r="G203" s="41">
        <v>1.2524229884884825E-2</v>
      </c>
      <c r="H203" s="41">
        <v>8.7310033032921477E-3</v>
      </c>
      <c r="I203" s="40">
        <f t="shared" si="32"/>
        <v>143.89759826295304</v>
      </c>
      <c r="J203" s="40">
        <f t="shared" si="32"/>
        <v>0</v>
      </c>
      <c r="K203" s="36">
        <v>0.16766013753175077</v>
      </c>
      <c r="L203" s="42">
        <f t="shared" si="36"/>
        <v>19991.322604477216</v>
      </c>
      <c r="M203" s="42">
        <f t="shared" si="36"/>
        <v>0</v>
      </c>
      <c r="N203" s="42">
        <f t="shared" si="33"/>
        <v>3351.747897308248</v>
      </c>
      <c r="O203" s="36">
        <v>8.4354844460456082</v>
      </c>
      <c r="P203" s="42">
        <f t="shared" si="34"/>
        <v>4676.9023906928687</v>
      </c>
      <c r="Q203" s="42"/>
      <c r="R203">
        <v>0.72301400799584947</v>
      </c>
      <c r="S203">
        <v>0.64860988189336832</v>
      </c>
      <c r="T203" s="42"/>
      <c r="U203" s="42"/>
    </row>
    <row r="204" spans="1:21" x14ac:dyDescent="0.25">
      <c r="A204" s="40">
        <f t="shared" si="35"/>
        <v>64.229676878151835</v>
      </c>
      <c r="B204" s="40">
        <f t="shared" si="35"/>
        <v>32.933286051621081</v>
      </c>
      <c r="C204" s="41">
        <f t="shared" si="30"/>
        <v>0.49289226185293716</v>
      </c>
      <c r="D204" s="41">
        <f t="shared" si="31"/>
        <v>0.98069361229543572</v>
      </c>
      <c r="E204" s="39">
        <f>IF(_xlfn.NORM.INV(R204,C204,'Regressão Grupo 2'!$B$7)&lt;=0,0,IF(_xlfn.NORM.INV(R204,C204,'Regressão Grupo 2'!$B$7)&gt;100%,100%,_xlfn.NORM.INV(R204,C204,'Regressão Grupo 2'!$B$7)))</f>
        <v>0.3230157319505137</v>
      </c>
      <c r="F204" s="39">
        <f>IF(_xlfn.NORM.INV(S204,D204,'Regressão Grupo 2'!$B$7)&lt;=0,0,IF(_xlfn.NORM.INV(S204,D204,'Regressão Grupo 2'!$B$7)&gt;100%,100%,_xlfn.NORM.INV(S204,D204,'Regressão Grupo 2'!$B$7)))</f>
        <v>1</v>
      </c>
      <c r="G204" s="41">
        <v>2.2803821827032864E-2</v>
      </c>
      <c r="H204" s="41">
        <v>1.3516187711258367E-2</v>
      </c>
      <c r="I204" s="40">
        <f t="shared" si="32"/>
        <v>147.25594633815894</v>
      </c>
      <c r="J204" s="40">
        <f t="shared" si="32"/>
        <v>0</v>
      </c>
      <c r="K204" s="36">
        <v>0.301831681808368</v>
      </c>
      <c r="L204" s="42">
        <f t="shared" si="36"/>
        <v>19991.322604477216</v>
      </c>
      <c r="M204" s="42">
        <f t="shared" si="36"/>
        <v>0</v>
      </c>
      <c r="N204" s="42">
        <f t="shared" si="33"/>
        <v>6034.0145232830018</v>
      </c>
      <c r="O204" s="36">
        <v>8.0769280626024837</v>
      </c>
      <c r="P204" s="42">
        <f t="shared" si="34"/>
        <v>2234.8116430396512</v>
      </c>
      <c r="Q204" s="42"/>
      <c r="R204">
        <v>0.10962248603778192</v>
      </c>
      <c r="S204">
        <v>0.77999206518753628</v>
      </c>
      <c r="T204" s="42"/>
      <c r="U204" s="42"/>
    </row>
    <row r="205" spans="1:21" x14ac:dyDescent="0.25">
      <c r="A205" s="40">
        <f t="shared" si="35"/>
        <v>64.229676878151835</v>
      </c>
      <c r="B205" s="40">
        <f t="shared" si="35"/>
        <v>32.933286051621081</v>
      </c>
      <c r="C205" s="41">
        <f t="shared" si="30"/>
        <v>0.49289226185293716</v>
      </c>
      <c r="D205" s="41">
        <f t="shared" si="31"/>
        <v>0.98069361229543572</v>
      </c>
      <c r="E205" s="39">
        <f>IF(_xlfn.NORM.INV(R205,C205,'Regressão Grupo 2'!$B$7)&lt;=0,0,IF(_xlfn.NORM.INV(R205,C205,'Regressão Grupo 2'!$B$7)&gt;100%,100%,_xlfn.NORM.INV(R205,C205,'Regressão Grupo 2'!$B$7)))</f>
        <v>0.61293232863407754</v>
      </c>
      <c r="F205" s="39">
        <f>IF(_xlfn.NORM.INV(S205,D205,'Regressão Grupo 2'!$B$7)&lt;=0,0,IF(_xlfn.NORM.INV(S205,D205,'Regressão Grupo 2'!$B$7)&gt;100%,100%,_xlfn.NORM.INV(S205,D205,'Regressão Grupo 2'!$B$7)))</f>
        <v>0.98556572620814353</v>
      </c>
      <c r="G205" s="41">
        <v>1.5869365232785478E-2</v>
      </c>
      <c r="H205" s="41">
        <v>2.3964668943103527E-2</v>
      </c>
      <c r="I205" s="40">
        <f t="shared" si="32"/>
        <v>194.45253602302967</v>
      </c>
      <c r="J205" s="40">
        <f t="shared" si="32"/>
        <v>0</v>
      </c>
      <c r="K205" s="36">
        <v>0.1555704393582483</v>
      </c>
      <c r="L205" s="42">
        <f t="shared" si="36"/>
        <v>19991.322604477216</v>
      </c>
      <c r="M205" s="42">
        <f t="shared" si="36"/>
        <v>0</v>
      </c>
      <c r="N205" s="42">
        <f t="shared" si="33"/>
        <v>3110.0588409310012</v>
      </c>
      <c r="O205" s="36">
        <v>3.7330878352882806</v>
      </c>
      <c r="P205" s="42">
        <f t="shared" si="34"/>
        <v>8653.6563191968453</v>
      </c>
      <c r="Q205" s="42"/>
      <c r="R205">
        <v>0.80733664967802976</v>
      </c>
      <c r="S205">
        <v>0.51405377361369675</v>
      </c>
      <c r="T205" s="42"/>
      <c r="U205" s="42"/>
    </row>
    <row r="206" spans="1:21" x14ac:dyDescent="0.25">
      <c r="A206" s="40">
        <f t="shared" si="35"/>
        <v>64.229676878151835</v>
      </c>
      <c r="B206" s="40">
        <f t="shared" si="35"/>
        <v>32.933286051621081</v>
      </c>
      <c r="C206" s="41">
        <f t="shared" si="30"/>
        <v>0.49289226185293716</v>
      </c>
      <c r="D206" s="41">
        <f t="shared" si="31"/>
        <v>0.98069361229543572</v>
      </c>
      <c r="E206" s="39">
        <f>IF(_xlfn.NORM.INV(R206,C206,'Regressão Grupo 2'!$B$7)&lt;=0,0,IF(_xlfn.NORM.INV(R206,C206,'Regressão Grupo 2'!$B$7)&gt;100%,100%,_xlfn.NORM.INV(R206,C206,'Regressão Grupo 2'!$B$7)))</f>
        <v>0.61751616605007409</v>
      </c>
      <c r="F206" s="39">
        <f>IF(_xlfn.NORM.INV(S206,D206,'Regressão Grupo 2'!$B$7)&lt;=0,0,IF(_xlfn.NORM.INV(S206,D206,'Regressão Grupo 2'!$B$7)&gt;100%,100%,_xlfn.NORM.INV(S206,D206,'Regressão Grupo 2'!$B$7)))</f>
        <v>1</v>
      </c>
      <c r="G206" s="41">
        <v>1.6460302412168205E-2</v>
      </c>
      <c r="H206" s="41">
        <v>1.211216752862658E-2</v>
      </c>
      <c r="I206" s="40">
        <f t="shared" si="32"/>
        <v>203.20185534032373</v>
      </c>
      <c r="J206" s="40">
        <f t="shared" si="32"/>
        <v>0</v>
      </c>
      <c r="K206" s="36">
        <v>0.3102064159726049</v>
      </c>
      <c r="L206" s="42">
        <f t="shared" si="36"/>
        <v>19991.322604477216</v>
      </c>
      <c r="M206" s="42">
        <f t="shared" si="36"/>
        <v>0</v>
      </c>
      <c r="N206" s="42">
        <f t="shared" si="33"/>
        <v>6201.4365356869985</v>
      </c>
      <c r="O206" s="36">
        <v>4.6908248694215766</v>
      </c>
      <c r="P206" s="42">
        <f t="shared" si="34"/>
        <v>5896.9686573199506</v>
      </c>
      <c r="Q206" s="42"/>
      <c r="R206">
        <v>0.81627857295449691</v>
      </c>
      <c r="S206">
        <v>0.77657399212622458</v>
      </c>
      <c r="T206" s="42"/>
      <c r="U206" s="42"/>
    </row>
    <row r="207" spans="1:21" x14ac:dyDescent="0.25">
      <c r="A207" s="40">
        <f t="shared" si="35"/>
        <v>64.229676878151835</v>
      </c>
      <c r="B207" s="40">
        <f t="shared" si="35"/>
        <v>32.933286051621081</v>
      </c>
      <c r="C207" s="41">
        <f t="shared" si="30"/>
        <v>0.49289226185293716</v>
      </c>
      <c r="D207" s="41">
        <f t="shared" si="31"/>
        <v>0.98069361229543572</v>
      </c>
      <c r="E207" s="39">
        <f>IF(_xlfn.NORM.INV(R207,C207,'Regressão Grupo 2'!$B$7)&lt;=0,0,IF(_xlfn.NORM.INV(R207,C207,'Regressão Grupo 2'!$B$7)&gt;100%,100%,_xlfn.NORM.INV(R207,C207,'Regressão Grupo 2'!$B$7)))</f>
        <v>0.45499328640102588</v>
      </c>
      <c r="F207" s="39">
        <f>IF(_xlfn.NORM.INV(S207,D207,'Regressão Grupo 2'!$B$7)&lt;=0,0,IF(_xlfn.NORM.INV(S207,D207,'Regressão Grupo 2'!$B$7)&gt;100%,100%,_xlfn.NORM.INV(S207,D207,'Regressão Grupo 2'!$B$7)))</f>
        <v>0.89394275899209175</v>
      </c>
      <c r="G207" s="41">
        <v>9.4875201771638454E-3</v>
      </c>
      <c r="H207" s="41">
        <v>1.7760337948741215E-2</v>
      </c>
      <c r="I207" s="40">
        <f t="shared" si="32"/>
        <v>86.297701487662678</v>
      </c>
      <c r="J207" s="40">
        <f t="shared" si="32"/>
        <v>0</v>
      </c>
      <c r="K207" s="36">
        <v>0.16403495382429267</v>
      </c>
      <c r="L207" s="42">
        <f t="shared" si="36"/>
        <v>19991.322604477216</v>
      </c>
      <c r="M207" s="42">
        <f t="shared" si="36"/>
        <v>0</v>
      </c>
      <c r="N207" s="42">
        <f t="shared" si="33"/>
        <v>3279.2756803119587</v>
      </c>
      <c r="O207" s="36">
        <v>4.6265584883242266</v>
      </c>
      <c r="P207" s="42">
        <f t="shared" si="34"/>
        <v>1864.3364382272016</v>
      </c>
      <c r="Q207" s="42"/>
      <c r="R207">
        <v>0.39201025421918395</v>
      </c>
      <c r="S207">
        <v>0.26520584734641561</v>
      </c>
      <c r="T207" s="42"/>
      <c r="U207" s="42"/>
    </row>
    <row r="208" spans="1:21" x14ac:dyDescent="0.25">
      <c r="A208" s="40">
        <f t="shared" si="35"/>
        <v>64.229676878151835</v>
      </c>
      <c r="B208" s="40">
        <f t="shared" si="35"/>
        <v>32.933286051621081</v>
      </c>
      <c r="C208" s="41">
        <f t="shared" si="30"/>
        <v>0.49289226185293716</v>
      </c>
      <c r="D208" s="41">
        <f t="shared" si="31"/>
        <v>0.98069361229543572</v>
      </c>
      <c r="E208" s="39">
        <f>IF(_xlfn.NORM.INV(R208,C208,'Regressão Grupo 2'!$B$7)&lt;=0,0,IF(_xlfn.NORM.INV(R208,C208,'Regressão Grupo 2'!$B$7)&gt;100%,100%,_xlfn.NORM.INV(R208,C208,'Regressão Grupo 2'!$B$7)))</f>
        <v>0.44384342501272617</v>
      </c>
      <c r="F208" s="39">
        <f>IF(_xlfn.NORM.INV(S208,D208,'Regressão Grupo 2'!$B$7)&lt;=0,0,IF(_xlfn.NORM.INV(S208,D208,'Regressão Grupo 2'!$B$7)&gt;100%,100%,_xlfn.NORM.INV(S208,D208,'Regressão Grupo 2'!$B$7)))</f>
        <v>1</v>
      </c>
      <c r="G208" s="41">
        <v>3.5905359242199503E-3</v>
      </c>
      <c r="H208" s="41">
        <v>1.6746431767740828E-2</v>
      </c>
      <c r="I208" s="40">
        <f t="shared" si="32"/>
        <v>31.858886636912157</v>
      </c>
      <c r="J208" s="40">
        <f t="shared" si="32"/>
        <v>0</v>
      </c>
      <c r="K208" s="36">
        <v>0.24368156794531484</v>
      </c>
      <c r="L208" s="42">
        <f t="shared" si="36"/>
        <v>19991.322604477216</v>
      </c>
      <c r="M208" s="42">
        <f t="shared" si="36"/>
        <v>0</v>
      </c>
      <c r="N208" s="42">
        <f t="shared" si="33"/>
        <v>4871.5168375596231</v>
      </c>
      <c r="O208" s="36">
        <v>6.3008588764009748</v>
      </c>
      <c r="P208" s="42">
        <f t="shared" si="34"/>
        <v>-3025.9691918315266</v>
      </c>
      <c r="Q208" s="42"/>
      <c r="R208">
        <v>0.36140018921475875</v>
      </c>
      <c r="S208">
        <v>0.80202642902920618</v>
      </c>
      <c r="T208" s="42"/>
      <c r="U208" s="42"/>
    </row>
    <row r="209" spans="1:21" x14ac:dyDescent="0.25">
      <c r="A209" s="40">
        <f t="shared" si="35"/>
        <v>64.229676878151835</v>
      </c>
      <c r="B209" s="40">
        <f t="shared" si="35"/>
        <v>32.933286051621081</v>
      </c>
      <c r="C209" s="41">
        <f t="shared" si="30"/>
        <v>0.49289226185293716</v>
      </c>
      <c r="D209" s="41">
        <f t="shared" si="31"/>
        <v>0.98069361229543572</v>
      </c>
      <c r="E209" s="39">
        <f>IF(_xlfn.NORM.INV(R209,C209,'Regressão Grupo 2'!$B$7)&lt;=0,0,IF(_xlfn.NORM.INV(R209,C209,'Regressão Grupo 2'!$B$7)&gt;100%,100%,_xlfn.NORM.INV(R209,C209,'Regressão Grupo 2'!$B$7)))</f>
        <v>0.3572487506070976</v>
      </c>
      <c r="F209" s="39">
        <f>IF(_xlfn.NORM.INV(S209,D209,'Regressão Grupo 2'!$B$7)&lt;=0,0,IF(_xlfn.NORM.INV(S209,D209,'Regressão Grupo 2'!$B$7)&gt;100%,100%,_xlfn.NORM.INV(S209,D209,'Regressão Grupo 2'!$B$7)))</f>
        <v>1</v>
      </c>
      <c r="G209" s="41">
        <v>2.3224140956484715E-2</v>
      </c>
      <c r="H209" s="41">
        <v>2.8264216814281731E-2</v>
      </c>
      <c r="I209" s="40">
        <f t="shared" si="32"/>
        <v>165.86391223780359</v>
      </c>
      <c r="J209" s="40">
        <f t="shared" si="32"/>
        <v>0</v>
      </c>
      <c r="K209" s="36">
        <v>0.40802323456468015</v>
      </c>
      <c r="L209" s="42">
        <f t="shared" si="36"/>
        <v>19991.322604477216</v>
      </c>
      <c r="M209" s="42">
        <f t="shared" si="36"/>
        <v>0</v>
      </c>
      <c r="N209" s="42">
        <f t="shared" si="33"/>
        <v>8156.9241123047996</v>
      </c>
      <c r="O209" s="36">
        <v>5.5590047560216416</v>
      </c>
      <c r="P209" s="42">
        <f t="shared" si="34"/>
        <v>1574.4230994931531</v>
      </c>
      <c r="Q209" s="42"/>
      <c r="R209">
        <v>0.16330454420606097</v>
      </c>
      <c r="S209">
        <v>0.91824091311380351</v>
      </c>
      <c r="T209" s="42"/>
      <c r="U209" s="42"/>
    </row>
    <row r="210" spans="1:21" x14ac:dyDescent="0.25">
      <c r="A210" s="40">
        <f t="shared" si="35"/>
        <v>64.229676878151835</v>
      </c>
      <c r="B210" s="40">
        <f t="shared" si="35"/>
        <v>32.933286051621081</v>
      </c>
      <c r="C210" s="41">
        <f t="shared" si="30"/>
        <v>0.49289226185293716</v>
      </c>
      <c r="D210" s="41">
        <f t="shared" si="31"/>
        <v>0.98069361229543572</v>
      </c>
      <c r="E210" s="39">
        <f>IF(_xlfn.NORM.INV(R210,C210,'Regressão Grupo 2'!$B$7)&lt;=0,0,IF(_xlfn.NORM.INV(R210,C210,'Regressão Grupo 2'!$B$7)&gt;100%,100%,_xlfn.NORM.INV(R210,C210,'Regressão Grupo 2'!$B$7)))</f>
        <v>0.75823166520517926</v>
      </c>
      <c r="F210" s="39">
        <f>IF(_xlfn.NORM.INV(S210,D210,'Regressão Grupo 2'!$B$7)&lt;=0,0,IF(_xlfn.NORM.INV(S210,D210,'Regressão Grupo 2'!$B$7)&gt;100%,100%,_xlfn.NORM.INV(S210,D210,'Regressão Grupo 2'!$B$7)))</f>
        <v>1</v>
      </c>
      <c r="G210" s="41">
        <v>1.0509875353864377E-2</v>
      </c>
      <c r="H210" s="41">
        <v>1.7490572774351447E-2</v>
      </c>
      <c r="I210" s="40">
        <f t="shared" si="32"/>
        <v>159.3092563399376</v>
      </c>
      <c r="J210" s="40">
        <f t="shared" si="32"/>
        <v>0</v>
      </c>
      <c r="K210" s="36">
        <v>0.36157813029122932</v>
      </c>
      <c r="L210" s="42">
        <f t="shared" si="36"/>
        <v>19991.322604477216</v>
      </c>
      <c r="M210" s="42">
        <f t="shared" si="36"/>
        <v>0</v>
      </c>
      <c r="N210" s="42">
        <f t="shared" si="33"/>
        <v>7228.4250493756608</v>
      </c>
      <c r="O210" s="36">
        <v>5.2310038861899288</v>
      </c>
      <c r="P210" s="42">
        <f t="shared" si="34"/>
        <v>2170.609670016951</v>
      </c>
      <c r="Q210" s="42"/>
      <c r="R210">
        <v>0.97250282296212653</v>
      </c>
      <c r="S210">
        <v>0.84624774925992619</v>
      </c>
      <c r="T210" s="42"/>
      <c r="U210" s="42"/>
    </row>
    <row r="211" spans="1:21" x14ac:dyDescent="0.25">
      <c r="A211" s="40">
        <f t="shared" si="35"/>
        <v>64.229676878151835</v>
      </c>
      <c r="B211" s="40">
        <f t="shared" si="35"/>
        <v>32.933286051621081</v>
      </c>
      <c r="C211" s="41">
        <f t="shared" si="30"/>
        <v>0.49289226185293716</v>
      </c>
      <c r="D211" s="41">
        <f t="shared" si="31"/>
        <v>0.98069361229543572</v>
      </c>
      <c r="E211" s="39">
        <f>IF(_xlfn.NORM.INV(R211,C211,'Regressão Grupo 2'!$B$7)&lt;=0,0,IF(_xlfn.NORM.INV(R211,C211,'Regressão Grupo 2'!$B$7)&gt;100%,100%,_xlfn.NORM.INV(R211,C211,'Regressão Grupo 2'!$B$7)))</f>
        <v>0.54037840510159363</v>
      </c>
      <c r="F211" s="39">
        <f>IF(_xlfn.NORM.INV(S211,D211,'Regressão Grupo 2'!$B$7)&lt;=0,0,IF(_xlfn.NORM.INV(S211,D211,'Regressão Grupo 2'!$B$7)&gt;100%,100%,_xlfn.NORM.INV(S211,D211,'Regressão Grupo 2'!$B$7)))</f>
        <v>1</v>
      </c>
      <c r="G211" s="41">
        <v>2.3605246741735447E-2</v>
      </c>
      <c r="H211" s="41">
        <v>1.3011618392497764E-2</v>
      </c>
      <c r="I211" s="40">
        <f t="shared" si="32"/>
        <v>255.00462490338333</v>
      </c>
      <c r="J211" s="40">
        <f t="shared" si="32"/>
        <v>0</v>
      </c>
      <c r="K211" s="36">
        <v>0.27453965538227798</v>
      </c>
      <c r="L211" s="42">
        <f t="shared" si="36"/>
        <v>19991.322604477216</v>
      </c>
      <c r="M211" s="42">
        <f t="shared" si="36"/>
        <v>0</v>
      </c>
      <c r="N211" s="42">
        <f t="shared" si="33"/>
        <v>5488.4108184691186</v>
      </c>
      <c r="O211" s="36">
        <v>4.2663606435926891</v>
      </c>
      <c r="P211" s="42">
        <f t="shared" si="34"/>
        <v>9802.5121458875947</v>
      </c>
      <c r="Q211" s="42"/>
      <c r="R211">
        <v>0.6343577379680776</v>
      </c>
      <c r="S211">
        <v>0.98477126377147739</v>
      </c>
      <c r="T211" s="42"/>
      <c r="U211" s="42"/>
    </row>
    <row r="212" spans="1:21" x14ac:dyDescent="0.25">
      <c r="A212" s="40">
        <f t="shared" si="35"/>
        <v>64.229676878151835</v>
      </c>
      <c r="B212" s="40">
        <f t="shared" si="35"/>
        <v>32.933286051621081</v>
      </c>
      <c r="C212" s="41">
        <f t="shared" si="30"/>
        <v>0.49289226185293716</v>
      </c>
      <c r="D212" s="41">
        <f t="shared" si="31"/>
        <v>0.98069361229543572</v>
      </c>
      <c r="E212" s="39">
        <f>IF(_xlfn.NORM.INV(R212,C212,'Regressão Grupo 2'!$B$7)&lt;=0,0,IF(_xlfn.NORM.INV(R212,C212,'Regressão Grupo 2'!$B$7)&gt;100%,100%,_xlfn.NORM.INV(R212,C212,'Regressão Grupo 2'!$B$7)))</f>
        <v>0.47925116910609677</v>
      </c>
      <c r="F212" s="39">
        <f>IF(_xlfn.NORM.INV(S212,D212,'Regressão Grupo 2'!$B$7)&lt;=0,0,IF(_xlfn.NORM.INV(S212,D212,'Regressão Grupo 2'!$B$7)&gt;100%,100%,_xlfn.NORM.INV(S212,D212,'Regressão Grupo 2'!$B$7)))</f>
        <v>1</v>
      </c>
      <c r="G212" s="41">
        <v>1.3982728403000307E-2</v>
      </c>
      <c r="H212" s="41">
        <v>2.3428020511864683E-2</v>
      </c>
      <c r="I212" s="40">
        <f t="shared" si="32"/>
        <v>133.96662938789171</v>
      </c>
      <c r="J212" s="40">
        <f t="shared" si="32"/>
        <v>0</v>
      </c>
      <c r="K212" s="36">
        <v>0.34178724530175658</v>
      </c>
      <c r="L212" s="42">
        <f t="shared" si="36"/>
        <v>19991.322604477216</v>
      </c>
      <c r="M212" s="42">
        <f t="shared" si="36"/>
        <v>0</v>
      </c>
      <c r="N212" s="42">
        <f t="shared" si="33"/>
        <v>6832.7790829230053</v>
      </c>
      <c r="O212" s="36">
        <v>9.1357093522179404</v>
      </c>
      <c r="P212" s="42">
        <f t="shared" si="34"/>
        <v>547.97404613232266</v>
      </c>
      <c r="Q212" s="42"/>
      <c r="R212">
        <v>0.46070741904965362</v>
      </c>
      <c r="S212">
        <v>0.93728446302682578</v>
      </c>
      <c r="T212" s="42"/>
      <c r="U212" s="42"/>
    </row>
    <row r="213" spans="1:21" x14ac:dyDescent="0.25">
      <c r="A213" s="40">
        <f t="shared" si="35"/>
        <v>64.229676878151835</v>
      </c>
      <c r="B213" s="40">
        <f t="shared" si="35"/>
        <v>32.933286051621081</v>
      </c>
      <c r="C213" s="41">
        <f t="shared" si="30"/>
        <v>0.49289226185293716</v>
      </c>
      <c r="D213" s="41">
        <f t="shared" si="31"/>
        <v>0.98069361229543572</v>
      </c>
      <c r="E213" s="39">
        <f>IF(_xlfn.NORM.INV(R213,C213,'Regressão Grupo 2'!$B$7)&lt;=0,0,IF(_xlfn.NORM.INV(R213,C213,'Regressão Grupo 2'!$B$7)&gt;100%,100%,_xlfn.NORM.INV(R213,C213,'Regressão Grupo 2'!$B$7)))</f>
        <v>0.62867275365277786</v>
      </c>
      <c r="F213" s="39">
        <f>IF(_xlfn.NORM.INV(S213,D213,'Regressão Grupo 2'!$B$7)&lt;=0,0,IF(_xlfn.NORM.INV(S213,D213,'Regressão Grupo 2'!$B$7)&gt;100%,100%,_xlfn.NORM.INV(S213,D213,'Regressão Grupo 2'!$B$7)))</f>
        <v>0.98848833474601316</v>
      </c>
      <c r="G213" s="41">
        <v>2.0492789771067031E-2</v>
      </c>
      <c r="H213" s="41">
        <v>1.0438746258005598E-2</v>
      </c>
      <c r="I213" s="40">
        <f t="shared" si="32"/>
        <v>257.55337837780269</v>
      </c>
      <c r="J213" s="40">
        <f t="shared" si="32"/>
        <v>0</v>
      </c>
      <c r="K213" s="36">
        <v>0.33525614940675758</v>
      </c>
      <c r="L213" s="42">
        <f t="shared" si="36"/>
        <v>19991.322604477216</v>
      </c>
      <c r="M213" s="42">
        <f t="shared" si="36"/>
        <v>0</v>
      </c>
      <c r="N213" s="42">
        <f t="shared" si="33"/>
        <v>6702.2138379253038</v>
      </c>
      <c r="O213" s="36">
        <v>6.8759897725928631</v>
      </c>
      <c r="P213" s="42">
        <f t="shared" si="34"/>
        <v>8069.4220385348299</v>
      </c>
      <c r="Q213" s="42"/>
      <c r="R213">
        <v>0.83693960386974697</v>
      </c>
      <c r="S213">
        <v>0.52247688222907196</v>
      </c>
      <c r="T213" s="42"/>
      <c r="U213" s="42"/>
    </row>
    <row r="214" spans="1:21" x14ac:dyDescent="0.25">
      <c r="A214" s="40">
        <f t="shared" si="35"/>
        <v>64.229676878151835</v>
      </c>
      <c r="B214" s="40">
        <f t="shared" si="35"/>
        <v>32.933286051621081</v>
      </c>
      <c r="C214" s="41">
        <f t="shared" si="30"/>
        <v>0.49289226185293716</v>
      </c>
      <c r="D214" s="41">
        <f t="shared" si="31"/>
        <v>0.98069361229543572</v>
      </c>
      <c r="E214" s="39">
        <f>IF(_xlfn.NORM.INV(R214,C214,'Regressão Grupo 2'!$B$7)&lt;=0,0,IF(_xlfn.NORM.INV(R214,C214,'Regressão Grupo 2'!$B$7)&gt;100%,100%,_xlfn.NORM.INV(R214,C214,'Regressão Grupo 2'!$B$7)))</f>
        <v>0.56326548145806454</v>
      </c>
      <c r="F214" s="39">
        <f>IF(_xlfn.NORM.INV(S214,D214,'Regressão Grupo 2'!$B$7)&lt;=0,0,IF(_xlfn.NORM.INV(S214,D214,'Regressão Grupo 2'!$B$7)&gt;100%,100%,_xlfn.NORM.INV(S214,D214,'Regressão Grupo 2'!$B$7)))</f>
        <v>1</v>
      </c>
      <c r="G214" s="41">
        <v>1.9657104279553146E-2</v>
      </c>
      <c r="H214" s="41">
        <v>7.7140008007145081E-3</v>
      </c>
      <c r="I214" s="40">
        <f t="shared" si="32"/>
        <v>221.34728853819087</v>
      </c>
      <c r="J214" s="40">
        <f t="shared" si="32"/>
        <v>0</v>
      </c>
      <c r="K214" s="36">
        <v>0.34898399483323528</v>
      </c>
      <c r="L214" s="42">
        <f t="shared" si="36"/>
        <v>19991.322604477216</v>
      </c>
      <c r="M214" s="42">
        <f t="shared" si="36"/>
        <v>0</v>
      </c>
      <c r="N214" s="42">
        <f t="shared" si="33"/>
        <v>6976.6516245104167</v>
      </c>
      <c r="O214" s="36">
        <v>3.4113528175844019</v>
      </c>
      <c r="P214" s="42">
        <f t="shared" si="34"/>
        <v>6485.3194997332002</v>
      </c>
      <c r="Q214" s="42"/>
      <c r="R214">
        <v>0.69460127567369612</v>
      </c>
      <c r="S214">
        <v>0.84493545335245823</v>
      </c>
      <c r="T214" s="42"/>
      <c r="U214" s="42"/>
    </row>
    <row r="215" spans="1:21" x14ac:dyDescent="0.25">
      <c r="A215" s="40">
        <f t="shared" si="35"/>
        <v>64.229676878151835</v>
      </c>
      <c r="B215" s="40">
        <f t="shared" si="35"/>
        <v>32.933286051621081</v>
      </c>
      <c r="C215" s="41">
        <f t="shared" si="30"/>
        <v>0.49289226185293716</v>
      </c>
      <c r="D215" s="41">
        <f t="shared" si="31"/>
        <v>0.98069361229543572</v>
      </c>
      <c r="E215" s="39">
        <f>IF(_xlfn.NORM.INV(R215,C215,'Regressão Grupo 2'!$B$7)&lt;=0,0,IF(_xlfn.NORM.INV(R215,C215,'Regressão Grupo 2'!$B$7)&gt;100%,100%,_xlfn.NORM.INV(R215,C215,'Regressão Grupo 2'!$B$7)))</f>
        <v>0.62761461323224454</v>
      </c>
      <c r="F215" s="39">
        <f>IF(_xlfn.NORM.INV(S215,D215,'Regressão Grupo 2'!$B$7)&lt;=0,0,IF(_xlfn.NORM.INV(S215,D215,'Regressão Grupo 2'!$B$7)&gt;100%,100%,_xlfn.NORM.INV(S215,D215,'Regressão Grupo 2'!$B$7)))</f>
        <v>1</v>
      </c>
      <c r="G215" s="41">
        <v>1.9704552486054832E-2</v>
      </c>
      <c r="H215" s="41">
        <v>2.0886174878367372E-2</v>
      </c>
      <c r="I215" s="40">
        <f t="shared" si="32"/>
        <v>247.2299895692546</v>
      </c>
      <c r="J215" s="40">
        <f t="shared" si="32"/>
        <v>0</v>
      </c>
      <c r="K215" s="36">
        <v>0.18953105081000149</v>
      </c>
      <c r="L215" s="42">
        <f t="shared" ref="L215:M230" si="37">L214</f>
        <v>19991.322604477216</v>
      </c>
      <c r="M215" s="42">
        <f t="shared" si="37"/>
        <v>0</v>
      </c>
      <c r="N215" s="42">
        <f t="shared" si="33"/>
        <v>3788.9763803083024</v>
      </c>
      <c r="O215" s="36">
        <v>4.24732800613784</v>
      </c>
      <c r="P215" s="42">
        <f t="shared" si="34"/>
        <v>11040.459105659107</v>
      </c>
      <c r="Q215" s="42"/>
      <c r="R215">
        <v>0.8350474562822352</v>
      </c>
      <c r="S215">
        <v>0.71861934263130589</v>
      </c>
      <c r="T215" s="42"/>
      <c r="U215" s="42"/>
    </row>
    <row r="216" spans="1:21" x14ac:dyDescent="0.25">
      <c r="A216" s="40">
        <f t="shared" si="35"/>
        <v>64.229676878151835</v>
      </c>
      <c r="B216" s="40">
        <f t="shared" si="35"/>
        <v>32.933286051621081</v>
      </c>
      <c r="C216" s="41">
        <f t="shared" si="30"/>
        <v>0.49289226185293716</v>
      </c>
      <c r="D216" s="41">
        <f t="shared" si="31"/>
        <v>0.98069361229543572</v>
      </c>
      <c r="E216" s="39">
        <f>IF(_xlfn.NORM.INV(R216,C216,'Regressão Grupo 2'!$B$7)&lt;=0,0,IF(_xlfn.NORM.INV(R216,C216,'Regressão Grupo 2'!$B$7)&gt;100%,100%,_xlfn.NORM.INV(R216,C216,'Regressão Grupo 2'!$B$7)))</f>
        <v>0.48395303360070507</v>
      </c>
      <c r="F216" s="39">
        <f>IF(_xlfn.NORM.INV(S216,D216,'Regressão Grupo 2'!$B$7)&lt;=0,0,IF(_xlfn.NORM.INV(S216,D216,'Regressão Grupo 2'!$B$7)&gt;100%,100%,_xlfn.NORM.INV(S216,D216,'Regressão Grupo 2'!$B$7)))</f>
        <v>1</v>
      </c>
      <c r="G216" s="41">
        <v>2.2611708479165681E-2</v>
      </c>
      <c r="H216" s="41">
        <v>1.5787761968763348E-2</v>
      </c>
      <c r="I216" s="40">
        <f t="shared" si="32"/>
        <v>218.76514148589911</v>
      </c>
      <c r="J216" s="40">
        <f t="shared" si="32"/>
        <v>0</v>
      </c>
      <c r="K216" s="36">
        <v>0.36348199377644574</v>
      </c>
      <c r="L216" s="42">
        <f t="shared" si="37"/>
        <v>19991.322604477216</v>
      </c>
      <c r="M216" s="42">
        <f t="shared" si="37"/>
        <v>0</v>
      </c>
      <c r="N216" s="42">
        <f t="shared" si="33"/>
        <v>7266.4857985035069</v>
      </c>
      <c r="O216" s="36">
        <v>3.2008607787164447</v>
      </c>
      <c r="P216" s="42">
        <f t="shared" si="34"/>
        <v>6084.4917902063935</v>
      </c>
      <c r="Q216" s="42"/>
      <c r="R216">
        <v>0.47422711874752038</v>
      </c>
      <c r="S216">
        <v>0.58339182714316229</v>
      </c>
      <c r="T216" s="42"/>
      <c r="U216" s="42"/>
    </row>
    <row r="217" spans="1:21" x14ac:dyDescent="0.25">
      <c r="A217" s="40">
        <f t="shared" si="35"/>
        <v>64.229676878151835</v>
      </c>
      <c r="B217" s="40">
        <f t="shared" si="35"/>
        <v>32.933286051621081</v>
      </c>
      <c r="C217" s="41">
        <f t="shared" si="30"/>
        <v>0.49289226185293716</v>
      </c>
      <c r="D217" s="41">
        <f t="shared" si="31"/>
        <v>0.98069361229543572</v>
      </c>
      <c r="E217" s="39">
        <f>IF(_xlfn.NORM.INV(R217,C217,'Regressão Grupo 2'!$B$7)&lt;=0,0,IF(_xlfn.NORM.INV(R217,C217,'Regressão Grupo 2'!$B$7)&gt;100%,100%,_xlfn.NORM.INV(R217,C217,'Regressão Grupo 2'!$B$7)))</f>
        <v>0.63177332579122714</v>
      </c>
      <c r="F217" s="39">
        <f>IF(_xlfn.NORM.INV(S217,D217,'Regressão Grupo 2'!$B$7)&lt;=0,0,IF(_xlfn.NORM.INV(S217,D217,'Regressão Grupo 2'!$B$7)&gt;100%,100%,_xlfn.NORM.INV(S217,D217,'Regressão Grupo 2'!$B$7)))</f>
        <v>1</v>
      </c>
      <c r="G217" s="41">
        <v>1.8459119890502852E-2</v>
      </c>
      <c r="H217" s="41">
        <v>3.387370010640889E-3</v>
      </c>
      <c r="I217" s="40">
        <f t="shared" si="32"/>
        <v>233.13839567878065</v>
      </c>
      <c r="J217" s="40">
        <f t="shared" si="32"/>
        <v>0</v>
      </c>
      <c r="K217" s="36">
        <v>0.29346518963899104</v>
      </c>
      <c r="L217" s="42">
        <f t="shared" si="37"/>
        <v>19991.322604477216</v>
      </c>
      <c r="M217" s="42">
        <f t="shared" si="37"/>
        <v>0</v>
      </c>
      <c r="N217" s="42">
        <f t="shared" si="33"/>
        <v>5866.7572792571546</v>
      </c>
      <c r="O217" s="36">
        <v>7.520744303930611</v>
      </c>
      <c r="P217" s="42">
        <f t="shared" si="34"/>
        <v>7354.2722817529257</v>
      </c>
      <c r="Q217" s="42"/>
      <c r="R217">
        <v>0.84240241706595054</v>
      </c>
      <c r="S217">
        <v>0.66307565538499103</v>
      </c>
      <c r="T217" s="42"/>
      <c r="U217" s="42"/>
    </row>
    <row r="218" spans="1:21" x14ac:dyDescent="0.25">
      <c r="A218" s="40">
        <f t="shared" si="35"/>
        <v>64.229676878151835</v>
      </c>
      <c r="B218" s="40">
        <f t="shared" si="35"/>
        <v>32.933286051621081</v>
      </c>
      <c r="C218" s="41">
        <f t="shared" si="30"/>
        <v>0.49289226185293716</v>
      </c>
      <c r="D218" s="41">
        <f t="shared" si="31"/>
        <v>0.98069361229543572</v>
      </c>
      <c r="E218" s="39">
        <f>IF(_xlfn.NORM.INV(R218,C218,'Regressão Grupo 2'!$B$7)&lt;=0,0,IF(_xlfn.NORM.INV(R218,C218,'Regressão Grupo 2'!$B$7)&gt;100%,100%,_xlfn.NORM.INV(R218,C218,'Regressão Grupo 2'!$B$7)))</f>
        <v>0.62879272103680184</v>
      </c>
      <c r="F218" s="39">
        <f>IF(_xlfn.NORM.INV(S218,D218,'Regressão Grupo 2'!$B$7)&lt;=0,0,IF(_xlfn.NORM.INV(S218,D218,'Regressão Grupo 2'!$B$7)&gt;100%,100%,_xlfn.NORM.INV(S218,D218,'Regressão Grupo 2'!$B$7)))</f>
        <v>1</v>
      </c>
      <c r="G218" s="41">
        <v>1.1321808204801305E-2</v>
      </c>
      <c r="H218" s="41">
        <v>5.9715100043605165E-3</v>
      </c>
      <c r="I218" s="40">
        <f t="shared" si="32"/>
        <v>142.31963677182802</v>
      </c>
      <c r="J218" s="40">
        <f t="shared" si="32"/>
        <v>0</v>
      </c>
      <c r="K218" s="36">
        <v>0.32050319009284395</v>
      </c>
      <c r="L218" s="42">
        <f t="shared" si="37"/>
        <v>19991.322604477216</v>
      </c>
      <c r="M218" s="42">
        <f t="shared" si="37"/>
        <v>0</v>
      </c>
      <c r="N218" s="42">
        <f t="shared" si="33"/>
        <v>6407.2826689101294</v>
      </c>
      <c r="O218" s="36">
        <v>8.738013485961357</v>
      </c>
      <c r="P218" s="42">
        <f t="shared" si="34"/>
        <v>1490.2707089309642</v>
      </c>
      <c r="Q218" s="42"/>
      <c r="R218">
        <v>0.83715323343607895</v>
      </c>
      <c r="S218">
        <v>0.61894589068269901</v>
      </c>
      <c r="T218" s="42"/>
      <c r="U218" s="42"/>
    </row>
    <row r="219" spans="1:21" x14ac:dyDescent="0.25">
      <c r="A219" s="40">
        <f t="shared" si="35"/>
        <v>64.229676878151835</v>
      </c>
      <c r="B219" s="40">
        <f t="shared" si="35"/>
        <v>32.933286051621081</v>
      </c>
      <c r="C219" s="41">
        <f t="shared" si="30"/>
        <v>0.49289226185293716</v>
      </c>
      <c r="D219" s="41">
        <f t="shared" si="31"/>
        <v>0.98069361229543572</v>
      </c>
      <c r="E219" s="39">
        <f>IF(_xlfn.NORM.INV(R219,C219,'Regressão Grupo 2'!$B$7)&lt;=0,0,IF(_xlfn.NORM.INV(R219,C219,'Regressão Grupo 2'!$B$7)&gt;100%,100%,_xlfn.NORM.INV(R219,C219,'Regressão Grupo 2'!$B$7)))</f>
        <v>0.38814727027003959</v>
      </c>
      <c r="F219" s="39">
        <f>IF(_xlfn.NORM.INV(S219,D219,'Regressão Grupo 2'!$B$7)&lt;=0,0,IF(_xlfn.NORM.INV(S219,D219,'Regressão Grupo 2'!$B$7)&gt;100%,100%,_xlfn.NORM.INV(S219,D219,'Regressão Grupo 2'!$B$7)))</f>
        <v>0.96929364147638752</v>
      </c>
      <c r="G219" s="41">
        <v>2.6840272269993179E-2</v>
      </c>
      <c r="H219" s="41">
        <v>2.833787563523486E-2</v>
      </c>
      <c r="I219" s="40">
        <f t="shared" si="32"/>
        <v>208.26916737879591</v>
      </c>
      <c r="J219" s="40">
        <f t="shared" si="32"/>
        <v>0</v>
      </c>
      <c r="K219" s="36">
        <v>0.31988793153080508</v>
      </c>
      <c r="L219" s="42">
        <f t="shared" si="37"/>
        <v>19991.322604477216</v>
      </c>
      <c r="M219" s="42">
        <f t="shared" si="37"/>
        <v>0</v>
      </c>
      <c r="N219" s="42">
        <f t="shared" si="33"/>
        <v>6394.9828365112435</v>
      </c>
      <c r="O219" s="36">
        <v>9.2591609271484838</v>
      </c>
      <c r="P219" s="42">
        <f t="shared" si="34"/>
        <v>5053.6807509870441</v>
      </c>
      <c r="Q219" s="42"/>
      <c r="R219">
        <v>0.22437208166753136</v>
      </c>
      <c r="S219">
        <v>0.46714682454908901</v>
      </c>
    </row>
    <row r="220" spans="1:21" x14ac:dyDescent="0.25">
      <c r="A220" s="40">
        <f t="shared" si="35"/>
        <v>64.229676878151835</v>
      </c>
      <c r="B220" s="40">
        <f t="shared" si="35"/>
        <v>32.933286051621081</v>
      </c>
      <c r="C220" s="41">
        <f t="shared" si="30"/>
        <v>0.49289226185293716</v>
      </c>
      <c r="D220" s="41">
        <f t="shared" si="31"/>
        <v>0.98069361229543572</v>
      </c>
      <c r="E220" s="39">
        <f>IF(_xlfn.NORM.INV(R220,C220,'Regressão Grupo 2'!$B$7)&lt;=0,0,IF(_xlfn.NORM.INV(R220,C220,'Regressão Grupo 2'!$B$7)&gt;100%,100%,_xlfn.NORM.INV(R220,C220,'Regressão Grupo 2'!$B$7)))</f>
        <v>0.43081251896654116</v>
      </c>
      <c r="F220" s="39">
        <f>IF(_xlfn.NORM.INV(S220,D220,'Regressão Grupo 2'!$B$7)&lt;=0,0,IF(_xlfn.NORM.INV(S220,D220,'Regressão Grupo 2'!$B$7)&gt;100%,100%,_xlfn.NORM.INV(S220,D220,'Regressão Grupo 2'!$B$7)))</f>
        <v>0.85869877562286701</v>
      </c>
      <c r="G220" s="41">
        <v>1.2576625568745026E-2</v>
      </c>
      <c r="H220" s="41">
        <v>1.6601389446478564E-2</v>
      </c>
      <c r="I220" s="40">
        <f t="shared" si="32"/>
        <v>108.3163392429004</v>
      </c>
      <c r="J220" s="40">
        <f t="shared" si="32"/>
        <v>0</v>
      </c>
      <c r="K220" s="36">
        <v>0.32122361011173217</v>
      </c>
      <c r="L220" s="42">
        <f t="shared" si="37"/>
        <v>19991.322604477216</v>
      </c>
      <c r="M220" s="42">
        <f t="shared" si="37"/>
        <v>0</v>
      </c>
      <c r="N220" s="42">
        <f t="shared" si="33"/>
        <v>6421.6848179184472</v>
      </c>
      <c r="O220" s="36">
        <v>6.4229826590900068</v>
      </c>
      <c r="P220" s="42">
        <f t="shared" si="34"/>
        <v>-160.27531637593711</v>
      </c>
      <c r="Q220" s="42"/>
      <c r="R220">
        <v>0.32673116245002592</v>
      </c>
      <c r="S220">
        <v>0.18881801812799462</v>
      </c>
    </row>
    <row r="221" spans="1:21" x14ac:dyDescent="0.25">
      <c r="A221" s="40">
        <f t="shared" si="35"/>
        <v>64.229676878151835</v>
      </c>
      <c r="B221" s="40">
        <f t="shared" si="35"/>
        <v>32.933286051621081</v>
      </c>
      <c r="C221" s="41">
        <f t="shared" si="30"/>
        <v>0.49289226185293716</v>
      </c>
      <c r="D221" s="41">
        <f t="shared" si="31"/>
        <v>0.98069361229543572</v>
      </c>
      <c r="E221" s="39">
        <f>IF(_xlfn.NORM.INV(R221,C221,'Regressão Grupo 2'!$B$7)&lt;=0,0,IF(_xlfn.NORM.INV(R221,C221,'Regressão Grupo 2'!$B$7)&gt;100%,100%,_xlfn.NORM.INV(R221,C221,'Regressão Grupo 2'!$B$7)))</f>
        <v>0.35884841471377077</v>
      </c>
      <c r="F221" s="39">
        <f>IF(_xlfn.NORM.INV(S221,D221,'Regressão Grupo 2'!$B$7)&lt;=0,0,IF(_xlfn.NORM.INV(S221,D221,'Regressão Grupo 2'!$B$7)&gt;100%,100%,_xlfn.NORM.INV(S221,D221,'Regressão Grupo 2'!$B$7)))</f>
        <v>0.9400191821349736</v>
      </c>
      <c r="G221" s="41">
        <v>1.5704074660096042E-2</v>
      </c>
      <c r="H221" s="41">
        <v>2.4533799902155606E-2</v>
      </c>
      <c r="I221" s="40">
        <f t="shared" si="32"/>
        <v>112.65874548533598</v>
      </c>
      <c r="J221" s="40">
        <f t="shared" si="32"/>
        <v>0</v>
      </c>
      <c r="K221" s="36">
        <v>0.16038414529283812</v>
      </c>
      <c r="L221" s="42">
        <f t="shared" si="37"/>
        <v>19991.322604477216</v>
      </c>
      <c r="M221" s="42">
        <f t="shared" si="37"/>
        <v>0</v>
      </c>
      <c r="N221" s="42">
        <f t="shared" si="33"/>
        <v>3206.2911891924728</v>
      </c>
      <c r="O221" s="36">
        <v>3.5330291454956182</v>
      </c>
      <c r="P221" s="42">
        <f t="shared" si="34"/>
        <v>3631.7169995339395</v>
      </c>
      <c r="Q221" s="42"/>
      <c r="R221">
        <v>0.16617328409680471</v>
      </c>
      <c r="S221">
        <v>0.38431958983123266</v>
      </c>
    </row>
    <row r="222" spans="1:21" x14ac:dyDescent="0.25">
      <c r="A222" s="40">
        <f t="shared" si="35"/>
        <v>64.229676878151835</v>
      </c>
      <c r="B222" s="40">
        <f t="shared" si="35"/>
        <v>32.933286051621081</v>
      </c>
      <c r="C222" s="41">
        <f t="shared" si="30"/>
        <v>0.49289226185293716</v>
      </c>
      <c r="D222" s="41">
        <f t="shared" si="31"/>
        <v>0.98069361229543572</v>
      </c>
      <c r="E222" s="39">
        <f>IF(_xlfn.NORM.INV(R222,C222,'Regressão Grupo 2'!$B$7)&lt;=0,0,IF(_xlfn.NORM.INV(R222,C222,'Regressão Grupo 2'!$B$7)&gt;100%,100%,_xlfn.NORM.INV(R222,C222,'Regressão Grupo 2'!$B$7)))</f>
        <v>0.40192809220832687</v>
      </c>
      <c r="F222" s="39">
        <f>IF(_xlfn.NORM.INV(S222,D222,'Regressão Grupo 2'!$B$7)&lt;=0,0,IF(_xlfn.NORM.INV(S222,D222,'Regressão Grupo 2'!$B$7)&gt;100%,100%,_xlfn.NORM.INV(S222,D222,'Regressão Grupo 2'!$B$7)))</f>
        <v>1</v>
      </c>
      <c r="G222" s="41">
        <v>1.769525692154196E-2</v>
      </c>
      <c r="H222" s="41">
        <v>2.3790888064945705E-2</v>
      </c>
      <c r="I222" s="40">
        <f t="shared" si="32"/>
        <v>142.18270155882149</v>
      </c>
      <c r="J222" s="40">
        <f t="shared" si="32"/>
        <v>0</v>
      </c>
      <c r="K222" s="36">
        <v>0.2596469429007755</v>
      </c>
      <c r="L222" s="42">
        <f t="shared" si="37"/>
        <v>19991.322604477216</v>
      </c>
      <c r="M222" s="42">
        <f t="shared" si="37"/>
        <v>0</v>
      </c>
      <c r="N222" s="42">
        <f t="shared" si="33"/>
        <v>5190.6857987956782</v>
      </c>
      <c r="O222" s="36">
        <v>4.1643743049384732</v>
      </c>
      <c r="P222" s="42">
        <f t="shared" si="34"/>
        <v>3349.5611910118305</v>
      </c>
      <c r="Q222" s="42"/>
      <c r="R222">
        <v>0.25531785027619253</v>
      </c>
      <c r="S222">
        <v>0.63789788506729328</v>
      </c>
    </row>
    <row r="223" spans="1:21" x14ac:dyDescent="0.25">
      <c r="A223" s="40">
        <f t="shared" si="35"/>
        <v>64.229676878151835</v>
      </c>
      <c r="B223" s="40">
        <f t="shared" si="35"/>
        <v>32.933286051621081</v>
      </c>
      <c r="C223" s="41">
        <f t="shared" si="30"/>
        <v>0.49289226185293716</v>
      </c>
      <c r="D223" s="41">
        <f t="shared" si="31"/>
        <v>0.98069361229543572</v>
      </c>
      <c r="E223" s="39">
        <f>IF(_xlfn.NORM.INV(R223,C223,'Regressão Grupo 2'!$B$7)&lt;=0,0,IF(_xlfn.NORM.INV(R223,C223,'Regressão Grupo 2'!$B$7)&gt;100%,100%,_xlfn.NORM.INV(R223,C223,'Regressão Grupo 2'!$B$7)))</f>
        <v>0.4156514352177359</v>
      </c>
      <c r="F223" s="39">
        <f>IF(_xlfn.NORM.INV(S223,D223,'Regressão Grupo 2'!$B$7)&lt;=0,0,IF(_xlfn.NORM.INV(S223,D223,'Regressão Grupo 2'!$B$7)&gt;100%,100%,_xlfn.NORM.INV(S223,D223,'Regressão Grupo 2'!$B$7)))</f>
        <v>0.79459545301290058</v>
      </c>
      <c r="G223" s="41">
        <v>3.6248248485475413E-3</v>
      </c>
      <c r="H223" s="41">
        <v>2.2333592904725641E-2</v>
      </c>
      <c r="I223" s="40">
        <f t="shared" si="32"/>
        <v>30.120199097816929</v>
      </c>
      <c r="J223" s="40">
        <f t="shared" si="32"/>
        <v>0</v>
      </c>
      <c r="K223" s="36">
        <v>0.21215262293271825</v>
      </c>
      <c r="L223" s="42">
        <f t="shared" si="37"/>
        <v>19991.322604477216</v>
      </c>
      <c r="M223" s="42">
        <f t="shared" si="37"/>
        <v>0</v>
      </c>
      <c r="N223" s="42">
        <f t="shared" si="33"/>
        <v>4241.2115264339818</v>
      </c>
      <c r="O223" s="36">
        <v>4.8713554107388388</v>
      </c>
      <c r="P223" s="42">
        <f t="shared" si="34"/>
        <v>-2453.3270657232815</v>
      </c>
      <c r="Q223" s="42"/>
      <c r="R223">
        <v>0.28821680349131751</v>
      </c>
      <c r="S223">
        <v>8.9175084688863801E-2</v>
      </c>
    </row>
    <row r="224" spans="1:21" x14ac:dyDescent="0.25">
      <c r="A224" s="40">
        <f t="shared" si="35"/>
        <v>64.229676878151835</v>
      </c>
      <c r="B224" s="40">
        <f t="shared" si="35"/>
        <v>32.933286051621081</v>
      </c>
      <c r="C224" s="41">
        <f t="shared" si="30"/>
        <v>0.49289226185293716</v>
      </c>
      <c r="D224" s="41">
        <f t="shared" si="31"/>
        <v>0.98069361229543572</v>
      </c>
      <c r="E224" s="39">
        <f>IF(_xlfn.NORM.INV(R224,C224,'Regressão Grupo 2'!$B$7)&lt;=0,0,IF(_xlfn.NORM.INV(R224,C224,'Regressão Grupo 2'!$B$7)&gt;100%,100%,_xlfn.NORM.INV(R224,C224,'Regressão Grupo 2'!$B$7)))</f>
        <v>0.49023176512668126</v>
      </c>
      <c r="F224" s="39">
        <f>IF(_xlfn.NORM.INV(S224,D224,'Regressão Grupo 2'!$B$7)&lt;=0,0,IF(_xlfn.NORM.INV(S224,D224,'Regressão Grupo 2'!$B$7)&gt;100%,100%,_xlfn.NORM.INV(S224,D224,'Regressão Grupo 2'!$B$7)))</f>
        <v>0.8534917255988026</v>
      </c>
      <c r="G224" s="41">
        <v>2.0605750772184822E-2</v>
      </c>
      <c r="H224" s="41">
        <v>2.2976037304988161E-2</v>
      </c>
      <c r="I224" s="40">
        <f t="shared" si="32"/>
        <v>201.94421593333115</v>
      </c>
      <c r="J224" s="40">
        <f t="shared" si="32"/>
        <v>0</v>
      </c>
      <c r="K224" s="36">
        <v>0.41145456060331698</v>
      </c>
      <c r="L224" s="42">
        <f t="shared" si="37"/>
        <v>19991.322604477216</v>
      </c>
      <c r="M224" s="42">
        <f t="shared" si="37"/>
        <v>0</v>
      </c>
      <c r="N224" s="42">
        <f t="shared" si="33"/>
        <v>8225.5208581043316</v>
      </c>
      <c r="O224" s="36">
        <v>4.573322956475236</v>
      </c>
      <c r="P224" s="42">
        <f t="shared" si="34"/>
        <v>3821.7347600499543</v>
      </c>
      <c r="Q224" s="42"/>
      <c r="R224">
        <v>0.4923245948667867</v>
      </c>
      <c r="S224">
        <v>0.17880794701986755</v>
      </c>
    </row>
    <row r="225" spans="1:19" x14ac:dyDescent="0.25">
      <c r="A225" s="40">
        <f t="shared" si="35"/>
        <v>64.229676878151835</v>
      </c>
      <c r="B225" s="40">
        <f t="shared" si="35"/>
        <v>32.933286051621081</v>
      </c>
      <c r="C225" s="41">
        <f t="shared" si="30"/>
        <v>0.49289226185293716</v>
      </c>
      <c r="D225" s="41">
        <f t="shared" si="31"/>
        <v>0.98069361229543572</v>
      </c>
      <c r="E225" s="39">
        <f>IF(_xlfn.NORM.INV(R225,C225,'Regressão Grupo 2'!$B$7)&lt;=0,0,IF(_xlfn.NORM.INV(R225,C225,'Regressão Grupo 2'!$B$7)&gt;100%,100%,_xlfn.NORM.INV(R225,C225,'Regressão Grupo 2'!$B$7)))</f>
        <v>0.81388710471096593</v>
      </c>
      <c r="F225" s="39">
        <f>IF(_xlfn.NORM.INV(S225,D225,'Regressão Grupo 2'!$B$7)&lt;=0,0,IF(_xlfn.NORM.INV(S225,D225,'Regressão Grupo 2'!$B$7)&gt;100%,100%,_xlfn.NORM.INV(S225,D225,'Regressão Grupo 2'!$B$7)))</f>
        <v>1</v>
      </c>
      <c r="G225" s="41">
        <v>2.3944883300242623E-2</v>
      </c>
      <c r="H225" s="41">
        <v>1.9523599575876623E-2</v>
      </c>
      <c r="I225" s="40">
        <f t="shared" si="32"/>
        <v>389.59952600718549</v>
      </c>
      <c r="J225" s="40">
        <f t="shared" si="32"/>
        <v>0</v>
      </c>
      <c r="K225" s="36">
        <v>0.25786290638468312</v>
      </c>
      <c r="L225" s="42">
        <f t="shared" si="37"/>
        <v>19991.322604477216</v>
      </c>
      <c r="M225" s="42">
        <f t="shared" si="37"/>
        <v>0</v>
      </c>
      <c r="N225" s="42">
        <f t="shared" si="33"/>
        <v>5155.0205492643081</v>
      </c>
      <c r="O225" s="36">
        <v>5.4971296691033951</v>
      </c>
      <c r="P225" s="42">
        <f t="shared" si="34"/>
        <v>17727.152004575611</v>
      </c>
      <c r="Q225" s="42"/>
      <c r="R225">
        <v>0.98986785485396889</v>
      </c>
      <c r="S225">
        <v>0.77080599383526105</v>
      </c>
    </row>
    <row r="226" spans="1:19" x14ac:dyDescent="0.25">
      <c r="A226" s="40">
        <f t="shared" si="35"/>
        <v>64.229676878151835</v>
      </c>
      <c r="B226" s="40">
        <f t="shared" si="35"/>
        <v>32.933286051621081</v>
      </c>
      <c r="C226" s="41">
        <f t="shared" si="30"/>
        <v>0.49289226185293716</v>
      </c>
      <c r="D226" s="41">
        <f t="shared" si="31"/>
        <v>0.98069361229543572</v>
      </c>
      <c r="E226" s="39">
        <f>IF(_xlfn.NORM.INV(R226,C226,'Regressão Grupo 2'!$B$7)&lt;=0,0,IF(_xlfn.NORM.INV(R226,C226,'Regressão Grupo 2'!$B$7)&gt;100%,100%,_xlfn.NORM.INV(R226,C226,'Regressão Grupo 2'!$B$7)))</f>
        <v>0.61373613161768859</v>
      </c>
      <c r="F226" s="39">
        <f>IF(_xlfn.NORM.INV(S226,D226,'Regressão Grupo 2'!$B$7)&lt;=0,0,IF(_xlfn.NORM.INV(S226,D226,'Regressão Grupo 2'!$B$7)&gt;100%,100%,_xlfn.NORM.INV(S226,D226,'Regressão Grupo 2'!$B$7)))</f>
        <v>1</v>
      </c>
      <c r="G226" s="41">
        <v>1.6004074397471216E-2</v>
      </c>
      <c r="H226" s="41">
        <v>1.3244133190248015E-2</v>
      </c>
      <c r="I226" s="40">
        <f t="shared" si="32"/>
        <v>196.36034241920464</v>
      </c>
      <c r="J226" s="40">
        <f t="shared" si="32"/>
        <v>0</v>
      </c>
      <c r="K226" s="36">
        <v>0.22335758761173435</v>
      </c>
      <c r="L226" s="42">
        <f t="shared" si="37"/>
        <v>19991.322604477216</v>
      </c>
      <c r="M226" s="42">
        <f t="shared" si="37"/>
        <v>0</v>
      </c>
      <c r="N226" s="42">
        <f t="shared" si="33"/>
        <v>4465.2135901039655</v>
      </c>
      <c r="O226" s="36">
        <v>6.3240759161486615</v>
      </c>
      <c r="P226" s="42">
        <f t="shared" si="34"/>
        <v>6905.1500427848041</v>
      </c>
      <c r="Q226" s="42"/>
      <c r="R226">
        <v>0.80892361217078157</v>
      </c>
      <c r="S226">
        <v>0.98278756065553763</v>
      </c>
    </row>
    <row r="227" spans="1:19" x14ac:dyDescent="0.25">
      <c r="A227" s="40">
        <f t="shared" si="35"/>
        <v>64.229676878151835</v>
      </c>
      <c r="B227" s="40">
        <f t="shared" si="35"/>
        <v>32.933286051621081</v>
      </c>
      <c r="C227" s="41">
        <f t="shared" si="30"/>
        <v>0.49289226185293716</v>
      </c>
      <c r="D227" s="41">
        <f t="shared" si="31"/>
        <v>0.98069361229543572</v>
      </c>
      <c r="E227" s="39">
        <f>IF(_xlfn.NORM.INV(R227,C227,'Regressão Grupo 2'!$B$7)&lt;=0,0,IF(_xlfn.NORM.INV(R227,C227,'Regressão Grupo 2'!$B$7)&gt;100%,100%,_xlfn.NORM.INV(R227,C227,'Regressão Grupo 2'!$B$7)))</f>
        <v>0.61080333290715161</v>
      </c>
      <c r="F227" s="39">
        <f>IF(_xlfn.NORM.INV(S227,D227,'Regressão Grupo 2'!$B$7)&lt;=0,0,IF(_xlfn.NORM.INV(S227,D227,'Regressão Grupo 2'!$B$7)&gt;100%,100%,_xlfn.NORM.INV(S227,D227,'Regressão Grupo 2'!$B$7)))</f>
        <v>0.86269122067600867</v>
      </c>
      <c r="G227" s="41">
        <v>9.0051103229532043E-3</v>
      </c>
      <c r="H227" s="41">
        <v>7.6993228899504274E-3</v>
      </c>
      <c r="I227" s="40">
        <f t="shared" si="32"/>
        <v>109.95929924452956</v>
      </c>
      <c r="J227" s="40">
        <f t="shared" si="32"/>
        <v>0</v>
      </c>
      <c r="K227" s="36">
        <v>0.28396173487708476</v>
      </c>
      <c r="L227" s="42">
        <f t="shared" si="37"/>
        <v>19991.322604477216</v>
      </c>
      <c r="M227" s="42">
        <f t="shared" si="37"/>
        <v>0</v>
      </c>
      <c r="N227" s="42">
        <f t="shared" si="33"/>
        <v>5676.7706492548305</v>
      </c>
      <c r="O227" s="36">
        <v>5.9813907980330585</v>
      </c>
      <c r="P227" s="42">
        <f t="shared" si="34"/>
        <v>728.1700703099159</v>
      </c>
      <c r="Q227" s="42"/>
      <c r="R227">
        <v>0.80309457686086616</v>
      </c>
      <c r="S227">
        <v>0.19672231208227789</v>
      </c>
    </row>
    <row r="228" spans="1:19" x14ac:dyDescent="0.25">
      <c r="A228" s="40">
        <f t="shared" si="35"/>
        <v>64.229676878151835</v>
      </c>
      <c r="B228" s="40">
        <f t="shared" si="35"/>
        <v>32.933286051621081</v>
      </c>
      <c r="C228" s="41">
        <f t="shared" si="30"/>
        <v>0.49289226185293716</v>
      </c>
      <c r="D228" s="41">
        <f t="shared" si="31"/>
        <v>0.98069361229543572</v>
      </c>
      <c r="E228" s="39">
        <f>IF(_xlfn.NORM.INV(R228,C228,'Regressão Grupo 2'!$B$7)&lt;=0,0,IF(_xlfn.NORM.INV(R228,C228,'Regressão Grupo 2'!$B$7)&gt;100%,100%,_xlfn.NORM.INV(R228,C228,'Regressão Grupo 2'!$B$7)))</f>
        <v>0.42471364837980446</v>
      </c>
      <c r="F228" s="39">
        <f>IF(_xlfn.NORM.INV(S228,D228,'Regressão Grupo 2'!$B$7)&lt;=0,0,IF(_xlfn.NORM.INV(S228,D228,'Regressão Grupo 2'!$B$7)&gt;100%,100%,_xlfn.NORM.INV(S228,D228,'Regressão Grupo 2'!$B$7)))</f>
        <v>0.6334247277456555</v>
      </c>
      <c r="G228" s="41">
        <v>1.3331292065689528E-2</v>
      </c>
      <c r="H228" s="41">
        <v>2.1565343488237337E-2</v>
      </c>
      <c r="I228" s="40">
        <f t="shared" si="32"/>
        <v>113.19050256214065</v>
      </c>
      <c r="J228" s="40">
        <f t="shared" si="32"/>
        <v>0</v>
      </c>
      <c r="K228" s="36">
        <v>0.32265443508723968</v>
      </c>
      <c r="L228" s="42">
        <f t="shared" si="37"/>
        <v>19991.322604477216</v>
      </c>
      <c r="M228" s="42">
        <f t="shared" si="37"/>
        <v>0</v>
      </c>
      <c r="N228" s="42">
        <f t="shared" si="33"/>
        <v>6450.2889015943611</v>
      </c>
      <c r="O228" s="36">
        <v>3.5465737829839306</v>
      </c>
      <c r="P228" s="42">
        <f t="shared" si="34"/>
        <v>418.4620347778864</v>
      </c>
      <c r="Q228" s="42"/>
      <c r="R228">
        <v>0.31098361156041138</v>
      </c>
      <c r="S228">
        <v>6.0121463667714469E-3</v>
      </c>
    </row>
    <row r="229" spans="1:19" x14ac:dyDescent="0.25">
      <c r="A229" s="40">
        <f t="shared" si="35"/>
        <v>64.229676878151835</v>
      </c>
      <c r="B229" s="40">
        <f t="shared" si="35"/>
        <v>32.933286051621081</v>
      </c>
      <c r="C229" s="41">
        <f t="shared" si="30"/>
        <v>0.49289226185293716</v>
      </c>
      <c r="D229" s="41">
        <f t="shared" si="31"/>
        <v>0.98069361229543572</v>
      </c>
      <c r="E229" s="39">
        <f>IF(_xlfn.NORM.INV(R229,C229,'Regressão Grupo 2'!$B$7)&lt;=0,0,IF(_xlfn.NORM.INV(R229,C229,'Regressão Grupo 2'!$B$7)&gt;100%,100%,_xlfn.NORM.INV(R229,C229,'Regressão Grupo 2'!$B$7)))</f>
        <v>0.50586385584056448</v>
      </c>
      <c r="F229" s="39">
        <f>IF(_xlfn.NORM.INV(S229,D229,'Regressão Grupo 2'!$B$7)&lt;=0,0,IF(_xlfn.NORM.INV(S229,D229,'Regressão Grupo 2'!$B$7)&gt;100%,100%,_xlfn.NORM.INV(S229,D229,'Regressão Grupo 2'!$B$7)))</f>
        <v>0.94715854791163923</v>
      </c>
      <c r="G229" s="41">
        <v>1.4442495200281994E-2</v>
      </c>
      <c r="H229" s="41">
        <v>2.1036015969404277E-2</v>
      </c>
      <c r="I229" s="40">
        <f t="shared" si="32"/>
        <v>146.05532970044399</v>
      </c>
      <c r="J229" s="40">
        <f t="shared" si="32"/>
        <v>0</v>
      </c>
      <c r="K229" s="36">
        <v>0.3179081702450629</v>
      </c>
      <c r="L229" s="42">
        <f t="shared" si="37"/>
        <v>19991.322604477216</v>
      </c>
      <c r="M229" s="42">
        <f t="shared" si="37"/>
        <v>0</v>
      </c>
      <c r="N229" s="42">
        <f t="shared" si="33"/>
        <v>6355.4047899681173</v>
      </c>
      <c r="O229" s="36">
        <v>7.4747394617469638</v>
      </c>
      <c r="P229" s="42">
        <f t="shared" si="34"/>
        <v>1933.9563065129605</v>
      </c>
      <c r="Q229" s="42"/>
      <c r="R229">
        <v>0.53736991485335861</v>
      </c>
      <c r="S229">
        <v>0.40418713950010682</v>
      </c>
    </row>
    <row r="230" spans="1:19" x14ac:dyDescent="0.25">
      <c r="A230" s="40">
        <f t="shared" si="35"/>
        <v>64.229676878151835</v>
      </c>
      <c r="B230" s="40">
        <f t="shared" si="35"/>
        <v>32.933286051621081</v>
      </c>
      <c r="C230" s="41">
        <f t="shared" si="30"/>
        <v>0.49289226185293716</v>
      </c>
      <c r="D230" s="41">
        <f t="shared" si="31"/>
        <v>0.98069361229543572</v>
      </c>
      <c r="E230" s="39">
        <f>IF(_xlfn.NORM.INV(R230,C230,'Regressão Grupo 2'!$B$7)&lt;=0,0,IF(_xlfn.NORM.INV(R230,C230,'Regressão Grupo 2'!$B$7)&gt;100%,100%,_xlfn.NORM.INV(R230,C230,'Regressão Grupo 2'!$B$7)))</f>
        <v>0.81998204142180908</v>
      </c>
      <c r="F230" s="39">
        <f>IF(_xlfn.NORM.INV(S230,D230,'Regressão Grupo 2'!$B$7)&lt;=0,0,IF(_xlfn.NORM.INV(S230,D230,'Regressão Grupo 2'!$B$7)&gt;100%,100%,_xlfn.NORM.INV(S230,D230,'Regressão Grupo 2'!$B$7)))</f>
        <v>0.96658474431316743</v>
      </c>
      <c r="G230" s="41">
        <v>2.8361065236606139E-2</v>
      </c>
      <c r="H230" s="41">
        <v>1.1003390071571997E-2</v>
      </c>
      <c r="I230" s="40">
        <f t="shared" si="32"/>
        <v>464.90948566378296</v>
      </c>
      <c r="J230" s="40">
        <f t="shared" si="32"/>
        <v>0</v>
      </c>
      <c r="K230" s="36">
        <v>0.31111168175827153</v>
      </c>
      <c r="L230" s="42">
        <f t="shared" si="37"/>
        <v>19991.322604477216</v>
      </c>
      <c r="M230" s="42">
        <f t="shared" si="37"/>
        <v>0</v>
      </c>
      <c r="N230" s="42">
        <f t="shared" si="33"/>
        <v>6219.5339960510555</v>
      </c>
      <c r="O230" s="36">
        <v>8.4344028023705651</v>
      </c>
      <c r="P230" s="42">
        <f t="shared" si="34"/>
        <v>19720.218176990216</v>
      </c>
      <c r="Q230" s="42"/>
      <c r="R230">
        <v>0.99099703970458086</v>
      </c>
      <c r="S230">
        <v>0.45936460463270973</v>
      </c>
    </row>
    <row r="231" spans="1:19" x14ac:dyDescent="0.25">
      <c r="A231" s="40">
        <f t="shared" si="35"/>
        <v>64.229676878151835</v>
      </c>
      <c r="B231" s="40">
        <f t="shared" si="35"/>
        <v>32.933286051621081</v>
      </c>
      <c r="C231" s="41">
        <f t="shared" si="30"/>
        <v>0.49289226185293716</v>
      </c>
      <c r="D231" s="41">
        <f t="shared" si="31"/>
        <v>0.98069361229543572</v>
      </c>
      <c r="E231" s="39">
        <f>IF(_xlfn.NORM.INV(R231,C231,'Regressão Grupo 2'!$B$7)&lt;=0,0,IF(_xlfn.NORM.INV(R231,C231,'Regressão Grupo 2'!$B$7)&gt;100%,100%,_xlfn.NORM.INV(R231,C231,'Regressão Grupo 2'!$B$7)))</f>
        <v>0.49160703297465086</v>
      </c>
      <c r="F231" s="39">
        <f>IF(_xlfn.NORM.INV(S231,D231,'Regressão Grupo 2'!$B$7)&lt;=0,0,IF(_xlfn.NORM.INV(S231,D231,'Regressão Grupo 2'!$B$7)&gt;100%,100%,_xlfn.NORM.INV(S231,D231,'Regressão Grupo 2'!$B$7)))</f>
        <v>0.851033027459556</v>
      </c>
      <c r="G231" s="41">
        <v>1.1997167193309222E-2</v>
      </c>
      <c r="H231" s="41">
        <v>2.1610028297667547E-2</v>
      </c>
      <c r="I231" s="40">
        <f t="shared" si="32"/>
        <v>117.9066570204498</v>
      </c>
      <c r="J231" s="40">
        <f t="shared" si="32"/>
        <v>0</v>
      </c>
      <c r="K231" s="36">
        <v>0.17219891742729487</v>
      </c>
      <c r="L231" s="42">
        <f t="shared" ref="L231:M246" si="38">L230</f>
        <v>19991.322604477216</v>
      </c>
      <c r="M231" s="42">
        <f t="shared" si="38"/>
        <v>0</v>
      </c>
      <c r="N231" s="42">
        <f t="shared" si="33"/>
        <v>3442.4841104307857</v>
      </c>
      <c r="O231" s="36">
        <v>5.1488126969268686</v>
      </c>
      <c r="P231" s="42">
        <f t="shared" si="34"/>
        <v>3523.5430790566847</v>
      </c>
      <c r="Q231" s="42"/>
      <c r="R231">
        <v>0.49629200109866634</v>
      </c>
      <c r="S231">
        <v>0.17419965208899196</v>
      </c>
    </row>
    <row r="232" spans="1:19" x14ac:dyDescent="0.25">
      <c r="A232" s="40">
        <f t="shared" si="35"/>
        <v>64.229676878151835</v>
      </c>
      <c r="B232" s="40">
        <f t="shared" si="35"/>
        <v>32.933286051621081</v>
      </c>
      <c r="C232" s="41">
        <f t="shared" si="30"/>
        <v>0.49289226185293716</v>
      </c>
      <c r="D232" s="41">
        <f t="shared" si="31"/>
        <v>0.98069361229543572</v>
      </c>
      <c r="E232" s="39">
        <f>IF(_xlfn.NORM.INV(R232,C232,'Regressão Grupo 2'!$B$7)&lt;=0,0,IF(_xlfn.NORM.INV(R232,C232,'Regressão Grupo 2'!$B$7)&gt;100%,100%,_xlfn.NORM.INV(R232,C232,'Regressão Grupo 2'!$B$7)))</f>
        <v>0.69701087813956997</v>
      </c>
      <c r="F232" s="39">
        <f>IF(_xlfn.NORM.INV(S232,D232,'Regressão Grupo 2'!$B$7)&lt;=0,0,IF(_xlfn.NORM.INV(S232,D232,'Regressão Grupo 2'!$B$7)&gt;100%,100%,_xlfn.NORM.INV(S232,D232,'Regressão Grupo 2'!$B$7)))</f>
        <v>0.9184500330080545</v>
      </c>
      <c r="G232" s="41">
        <v>1.168279396005659E-2</v>
      </c>
      <c r="H232" s="41">
        <v>2.7158948858517988E-2</v>
      </c>
      <c r="I232" s="40">
        <f t="shared" si="32"/>
        <v>162.79002921353964</v>
      </c>
      <c r="J232" s="40">
        <f t="shared" si="32"/>
        <v>0</v>
      </c>
      <c r="K232" s="36">
        <v>0.3825849986612968</v>
      </c>
      <c r="L232" s="42">
        <f t="shared" si="38"/>
        <v>19991.322604477216</v>
      </c>
      <c r="M232" s="42">
        <f t="shared" si="38"/>
        <v>0</v>
      </c>
      <c r="N232" s="42">
        <f t="shared" si="33"/>
        <v>7648.3801318714686</v>
      </c>
      <c r="O232" s="36">
        <v>4.5327770077703118</v>
      </c>
      <c r="P232" s="42">
        <f t="shared" si="34"/>
        <v>2069.6799419856889</v>
      </c>
      <c r="Q232" s="42"/>
      <c r="R232">
        <v>0.93005157628101442</v>
      </c>
      <c r="S232">
        <v>0.32630390331736198</v>
      </c>
    </row>
    <row r="233" spans="1:19" x14ac:dyDescent="0.25">
      <c r="A233" s="40">
        <f t="shared" si="35"/>
        <v>64.229676878151835</v>
      </c>
      <c r="B233" s="40">
        <f t="shared" si="35"/>
        <v>32.933286051621081</v>
      </c>
      <c r="C233" s="41">
        <f t="shared" si="30"/>
        <v>0.49289226185293716</v>
      </c>
      <c r="D233" s="41">
        <f t="shared" si="31"/>
        <v>0.98069361229543572</v>
      </c>
      <c r="E233" s="39">
        <f>IF(_xlfn.NORM.INV(R233,C233,'Regressão Grupo 2'!$B$7)&lt;=0,0,IF(_xlfn.NORM.INV(R233,C233,'Regressão Grupo 2'!$B$7)&gt;100%,100%,_xlfn.NORM.INV(R233,C233,'Regressão Grupo 2'!$B$7)))</f>
        <v>0.50960889380489494</v>
      </c>
      <c r="F233" s="39">
        <f>IF(_xlfn.NORM.INV(S233,D233,'Regressão Grupo 2'!$B$7)&lt;=0,0,IF(_xlfn.NORM.INV(S233,D233,'Regressão Grupo 2'!$B$7)&gt;100%,100%,_xlfn.NORM.INV(S233,D233,'Regressão Grupo 2'!$B$7)))</f>
        <v>1</v>
      </c>
      <c r="G233" s="41">
        <v>1.2663668118642252E-2</v>
      </c>
      <c r="H233" s="41">
        <v>2.7903703331008164E-2</v>
      </c>
      <c r="I233" s="40">
        <f t="shared" si="32"/>
        <v>129.01435830172758</v>
      </c>
      <c r="J233" s="40">
        <f t="shared" si="32"/>
        <v>0</v>
      </c>
      <c r="K233" s="36">
        <v>0.21472007683776667</v>
      </c>
      <c r="L233" s="42">
        <f t="shared" si="38"/>
        <v>19991.322604477216</v>
      </c>
      <c r="M233" s="42">
        <f t="shared" si="38"/>
        <v>0</v>
      </c>
      <c r="N233" s="42">
        <f t="shared" si="33"/>
        <v>4292.5383257219301</v>
      </c>
      <c r="O233" s="36">
        <v>4.5112381470867149</v>
      </c>
      <c r="P233" s="42">
        <f t="shared" si="34"/>
        <v>3411.9977259474717</v>
      </c>
      <c r="Q233" s="42"/>
      <c r="R233">
        <v>0.54811243018890954</v>
      </c>
      <c r="S233">
        <v>0.94543290505691702</v>
      </c>
    </row>
    <row r="234" spans="1:19" x14ac:dyDescent="0.25">
      <c r="A234" s="40">
        <f t="shared" si="35"/>
        <v>64.229676878151835</v>
      </c>
      <c r="B234" s="40">
        <f t="shared" si="35"/>
        <v>32.933286051621081</v>
      </c>
      <c r="C234" s="41">
        <f t="shared" si="30"/>
        <v>0.49289226185293716</v>
      </c>
      <c r="D234" s="41">
        <f t="shared" si="31"/>
        <v>0.98069361229543572</v>
      </c>
      <c r="E234" s="39">
        <f>IF(_xlfn.NORM.INV(R234,C234,'Regressão Grupo 2'!$B$7)&lt;=0,0,IF(_xlfn.NORM.INV(R234,C234,'Regressão Grupo 2'!$B$7)&gt;100%,100%,_xlfn.NORM.INV(R234,C234,'Regressão Grupo 2'!$B$7)))</f>
        <v>0.36739258797975705</v>
      </c>
      <c r="F234" s="39">
        <f>IF(_xlfn.NORM.INV(S234,D234,'Regressão Grupo 2'!$B$7)&lt;=0,0,IF(_xlfn.NORM.INV(S234,D234,'Regressão Grupo 2'!$B$7)&gt;100%,100%,_xlfn.NORM.INV(S234,D234,'Regressão Grupo 2'!$B$7)))</f>
        <v>1</v>
      </c>
      <c r="G234" s="41">
        <v>2.4320352882413375E-2</v>
      </c>
      <c r="H234" s="41">
        <v>5.2203134718856658E-3</v>
      </c>
      <c r="I234" s="40">
        <f t="shared" si="32"/>
        <v>178.62481417341459</v>
      </c>
      <c r="J234" s="40">
        <f t="shared" si="32"/>
        <v>0</v>
      </c>
      <c r="K234" s="36">
        <v>0.44604087879260257</v>
      </c>
      <c r="L234" s="42">
        <f t="shared" si="38"/>
        <v>19991.322604477216</v>
      </c>
      <c r="M234" s="42">
        <f t="shared" si="38"/>
        <v>0</v>
      </c>
      <c r="N234" s="42">
        <f t="shared" si="33"/>
        <v>8916.9471027274376</v>
      </c>
      <c r="O234" s="36">
        <v>8.9433515499948548</v>
      </c>
      <c r="P234" s="42">
        <f t="shared" si="34"/>
        <v>958.56248534554834</v>
      </c>
      <c r="Q234" s="42"/>
      <c r="R234">
        <v>0.18204290902432324</v>
      </c>
      <c r="S234">
        <v>0.83639027069917904</v>
      </c>
    </row>
    <row r="235" spans="1:19" x14ac:dyDescent="0.25">
      <c r="A235" s="40">
        <f t="shared" si="35"/>
        <v>64.229676878151835</v>
      </c>
      <c r="B235" s="40">
        <f t="shared" si="35"/>
        <v>32.933286051621081</v>
      </c>
      <c r="C235" s="41">
        <f t="shared" si="30"/>
        <v>0.49289226185293716</v>
      </c>
      <c r="D235" s="41">
        <f t="shared" si="31"/>
        <v>0.98069361229543572</v>
      </c>
      <c r="E235" s="39">
        <f>IF(_xlfn.NORM.INV(R235,C235,'Regressão Grupo 2'!$B$7)&lt;=0,0,IF(_xlfn.NORM.INV(R235,C235,'Regressão Grupo 2'!$B$7)&gt;100%,100%,_xlfn.NORM.INV(R235,C235,'Regressão Grupo 2'!$B$7)))</f>
        <v>0.43245778311006067</v>
      </c>
      <c r="F235" s="39">
        <f>IF(_xlfn.NORM.INV(S235,D235,'Regressão Grupo 2'!$B$7)&lt;=0,0,IF(_xlfn.NORM.INV(S235,D235,'Regressão Grupo 2'!$B$7)&gt;100%,100%,_xlfn.NORM.INV(S235,D235,'Regressão Grupo 2'!$B$7)))</f>
        <v>0.9173007119616513</v>
      </c>
      <c r="G235" s="41">
        <v>2.5570623580310606E-2</v>
      </c>
      <c r="H235" s="41">
        <v>2.6247304454665648E-2</v>
      </c>
      <c r="I235" s="40">
        <f t="shared" si="32"/>
        <v>221.06834721871189</v>
      </c>
      <c r="J235" s="40">
        <f t="shared" si="32"/>
        <v>0</v>
      </c>
      <c r="K235" s="36">
        <v>0.40269638864567886</v>
      </c>
      <c r="L235" s="42">
        <f t="shared" si="38"/>
        <v>19991.322604477216</v>
      </c>
      <c r="M235" s="42">
        <f t="shared" si="38"/>
        <v>0</v>
      </c>
      <c r="N235" s="42">
        <f t="shared" si="33"/>
        <v>8050.433417073702</v>
      </c>
      <c r="O235" s="36">
        <v>4.5547138527727125</v>
      </c>
      <c r="P235" s="42">
        <f t="shared" si="34"/>
        <v>5141.8120292846033</v>
      </c>
      <c r="Q235" s="42"/>
      <c r="R235">
        <v>0.33103427228614152</v>
      </c>
      <c r="S235">
        <v>0.32331308938871428</v>
      </c>
    </row>
    <row r="236" spans="1:19" x14ac:dyDescent="0.25">
      <c r="A236" s="40">
        <f t="shared" si="35"/>
        <v>64.229676878151835</v>
      </c>
      <c r="B236" s="40">
        <f t="shared" si="35"/>
        <v>32.933286051621081</v>
      </c>
      <c r="C236" s="41">
        <f t="shared" si="30"/>
        <v>0.49289226185293716</v>
      </c>
      <c r="D236" s="41">
        <f t="shared" si="31"/>
        <v>0.98069361229543572</v>
      </c>
      <c r="E236" s="39">
        <f>IF(_xlfn.NORM.INV(R236,C236,'Regressão Grupo 2'!$B$7)&lt;=0,0,IF(_xlfn.NORM.INV(R236,C236,'Regressão Grupo 2'!$B$7)&gt;100%,100%,_xlfn.NORM.INV(R236,C236,'Regressão Grupo 2'!$B$7)))</f>
        <v>0.64889816717770232</v>
      </c>
      <c r="F236" s="39">
        <f>IF(_xlfn.NORM.INV(S236,D236,'Regressão Grupo 2'!$B$7)&lt;=0,0,IF(_xlfn.NORM.INV(S236,D236,'Regressão Grupo 2'!$B$7)&gt;100%,100%,_xlfn.NORM.INV(S236,D236,'Regressão Grupo 2'!$B$7)))</f>
        <v>0.90803506138650436</v>
      </c>
      <c r="G236" s="41">
        <v>1.4456132730485818E-2</v>
      </c>
      <c r="H236" s="41">
        <v>2.4287004520693815E-2</v>
      </c>
      <c r="I236" s="40">
        <f t="shared" si="32"/>
        <v>187.52976185351753</v>
      </c>
      <c r="J236" s="40">
        <f t="shared" si="32"/>
        <v>0</v>
      </c>
      <c r="K236" s="36">
        <v>0.3273265864415168</v>
      </c>
      <c r="L236" s="42">
        <f t="shared" si="38"/>
        <v>19991.322604477216</v>
      </c>
      <c r="M236" s="42">
        <f t="shared" si="38"/>
        <v>0</v>
      </c>
      <c r="N236" s="42">
        <f t="shared" si="33"/>
        <v>6543.6913865746601</v>
      </c>
      <c r="O236" s="36">
        <v>7.9762436790895084</v>
      </c>
      <c r="P236" s="42">
        <f t="shared" si="34"/>
        <v>4005.5015446882544</v>
      </c>
      <c r="Q236" s="42"/>
      <c r="R236">
        <v>0.87038789025543994</v>
      </c>
      <c r="S236">
        <v>0.29963072603534041</v>
      </c>
    </row>
    <row r="237" spans="1:19" x14ac:dyDescent="0.25">
      <c r="A237" s="40">
        <f t="shared" si="35"/>
        <v>64.229676878151835</v>
      </c>
      <c r="B237" s="40">
        <f t="shared" si="35"/>
        <v>32.933286051621081</v>
      </c>
      <c r="C237" s="41">
        <f t="shared" si="30"/>
        <v>0.49289226185293716</v>
      </c>
      <c r="D237" s="41">
        <f t="shared" si="31"/>
        <v>0.98069361229543572</v>
      </c>
      <c r="E237" s="39">
        <f>IF(_xlfn.NORM.INV(R237,C237,'Regressão Grupo 2'!$B$7)&lt;=0,0,IF(_xlfn.NORM.INV(R237,C237,'Regressão Grupo 2'!$B$7)&gt;100%,100%,_xlfn.NORM.INV(R237,C237,'Regressão Grupo 2'!$B$7)))</f>
        <v>0.44858043946052023</v>
      </c>
      <c r="F237" s="39">
        <f>IF(_xlfn.NORM.INV(S237,D237,'Regressão Grupo 2'!$B$7)&lt;=0,0,IF(_xlfn.NORM.INV(S237,D237,'Regressão Grupo 2'!$B$7)&gt;100%,100%,_xlfn.NORM.INV(S237,D237,'Regressão Grupo 2'!$B$7)))</f>
        <v>1</v>
      </c>
      <c r="G237" s="41">
        <v>1.9480925767860421E-2</v>
      </c>
      <c r="H237" s="41">
        <v>1.1146877037927235E-2</v>
      </c>
      <c r="I237" s="40">
        <f t="shared" si="32"/>
        <v>174.69941514453822</v>
      </c>
      <c r="J237" s="40">
        <f t="shared" si="32"/>
        <v>0</v>
      </c>
      <c r="K237" s="36">
        <v>0.28868954024928706</v>
      </c>
      <c r="L237" s="42">
        <f t="shared" si="38"/>
        <v>19991.322604477216</v>
      </c>
      <c r="M237" s="42">
        <f t="shared" si="38"/>
        <v>0</v>
      </c>
      <c r="N237" s="42">
        <f t="shared" si="33"/>
        <v>5771.2857316617074</v>
      </c>
      <c r="O237" s="36">
        <v>4.8503648097806273</v>
      </c>
      <c r="P237" s="42">
        <f t="shared" si="34"/>
        <v>4602.2453583677625</v>
      </c>
      <c r="Q237" s="42"/>
      <c r="R237">
        <v>0.37430951872310558</v>
      </c>
      <c r="S237">
        <v>0.84173100985747851</v>
      </c>
    </row>
    <row r="238" spans="1:19" x14ac:dyDescent="0.25">
      <c r="A238" s="40">
        <f t="shared" si="35"/>
        <v>64.229676878151835</v>
      </c>
      <c r="B238" s="40">
        <f t="shared" si="35"/>
        <v>32.933286051621081</v>
      </c>
      <c r="C238" s="41">
        <f t="shared" si="30"/>
        <v>0.49289226185293716</v>
      </c>
      <c r="D238" s="41">
        <f t="shared" si="31"/>
        <v>0.98069361229543572</v>
      </c>
      <c r="E238" s="39">
        <f>IF(_xlfn.NORM.INV(R238,C238,'Regressão Grupo 2'!$B$7)&lt;=0,0,IF(_xlfn.NORM.INV(R238,C238,'Regressão Grupo 2'!$B$7)&gt;100%,100%,_xlfn.NORM.INV(R238,C238,'Regressão Grupo 2'!$B$7)))</f>
        <v>0.5028811567786633</v>
      </c>
      <c r="F238" s="39">
        <f>IF(_xlfn.NORM.INV(S238,D238,'Regressão Grupo 2'!$B$7)&lt;=0,0,IF(_xlfn.NORM.INV(S238,D238,'Regressão Grupo 2'!$B$7)&gt;100%,100%,_xlfn.NORM.INV(S238,D238,'Regressão Grupo 2'!$B$7)))</f>
        <v>0.86864179553781473</v>
      </c>
      <c r="G238" s="41">
        <v>1.5314710807797347E-2</v>
      </c>
      <c r="H238" s="41">
        <v>1.3353744123243857E-2</v>
      </c>
      <c r="I238" s="40">
        <f t="shared" si="32"/>
        <v>153.96276095149935</v>
      </c>
      <c r="J238" s="40">
        <f t="shared" si="32"/>
        <v>0</v>
      </c>
      <c r="K238" s="36">
        <v>0.36143892658367505</v>
      </c>
      <c r="L238" s="42">
        <f t="shared" si="38"/>
        <v>19991.322604477216</v>
      </c>
      <c r="M238" s="42">
        <f t="shared" si="38"/>
        <v>0</v>
      </c>
      <c r="N238" s="42">
        <f t="shared" si="33"/>
        <v>7225.6421831502039</v>
      </c>
      <c r="O238" s="36">
        <v>3.3040088098965597</v>
      </c>
      <c r="P238" s="42">
        <f t="shared" si="34"/>
        <v>2154.6418854529811</v>
      </c>
      <c r="Q238" s="42"/>
      <c r="R238">
        <v>0.52879421369060331</v>
      </c>
      <c r="S238">
        <v>0.20886867885372479</v>
      </c>
    </row>
    <row r="239" spans="1:19" x14ac:dyDescent="0.25">
      <c r="A239" s="40">
        <f t="shared" si="35"/>
        <v>64.229676878151835</v>
      </c>
      <c r="B239" s="40">
        <f t="shared" si="35"/>
        <v>32.933286051621081</v>
      </c>
      <c r="C239" s="41">
        <f t="shared" si="30"/>
        <v>0.49289226185293716</v>
      </c>
      <c r="D239" s="41">
        <f t="shared" si="31"/>
        <v>0.98069361229543572</v>
      </c>
      <c r="E239" s="39">
        <f>IF(_xlfn.NORM.INV(R239,C239,'Regressão Grupo 2'!$B$7)&lt;=0,0,IF(_xlfn.NORM.INV(R239,C239,'Regressão Grupo 2'!$B$7)&gt;100%,100%,_xlfn.NORM.INV(R239,C239,'Regressão Grupo 2'!$B$7)))</f>
        <v>0.46381773720684966</v>
      </c>
      <c r="F239" s="39">
        <f>IF(_xlfn.NORM.INV(S239,D239,'Regressão Grupo 2'!$B$7)&lt;=0,0,IF(_xlfn.NORM.INV(S239,D239,'Regressão Grupo 2'!$B$7)&gt;100%,100%,_xlfn.NORM.INV(S239,D239,'Regressão Grupo 2'!$B$7)))</f>
        <v>0.82641462194965709</v>
      </c>
      <c r="G239" s="41">
        <v>2.269777104753767E-2</v>
      </c>
      <c r="H239" s="41">
        <v>1.9890373006634342E-2</v>
      </c>
      <c r="I239" s="40">
        <f t="shared" si="32"/>
        <v>210.46122373908676</v>
      </c>
      <c r="J239" s="40">
        <f t="shared" si="32"/>
        <v>0</v>
      </c>
      <c r="K239" s="36">
        <v>0.36318906567642961</v>
      </c>
      <c r="L239" s="42">
        <f t="shared" si="38"/>
        <v>19991.322604477216</v>
      </c>
      <c r="M239" s="42">
        <f t="shared" si="38"/>
        <v>0</v>
      </c>
      <c r="N239" s="42">
        <f t="shared" si="33"/>
        <v>7260.6297783561677</v>
      </c>
      <c r="O239" s="36">
        <v>5.4885958106398691</v>
      </c>
      <c r="P239" s="42">
        <f t="shared" si="34"/>
        <v>5102.0900268693003</v>
      </c>
      <c r="Q239" s="42"/>
      <c r="R239">
        <v>0.41673024689474164</v>
      </c>
      <c r="S239">
        <v>0.13226722006897182</v>
      </c>
    </row>
    <row r="240" spans="1:19" x14ac:dyDescent="0.25">
      <c r="A240" s="40">
        <f t="shared" si="35"/>
        <v>64.229676878151835</v>
      </c>
      <c r="B240" s="40">
        <f t="shared" si="35"/>
        <v>32.933286051621081</v>
      </c>
      <c r="C240" s="41">
        <f t="shared" si="30"/>
        <v>0.49289226185293716</v>
      </c>
      <c r="D240" s="41">
        <f t="shared" si="31"/>
        <v>0.98069361229543572</v>
      </c>
      <c r="E240" s="39">
        <f>IF(_xlfn.NORM.INV(R240,C240,'Regressão Grupo 2'!$B$7)&lt;=0,0,IF(_xlfn.NORM.INV(R240,C240,'Regressão Grupo 2'!$B$7)&gt;100%,100%,_xlfn.NORM.INV(R240,C240,'Regressão Grupo 2'!$B$7)))</f>
        <v>0.38513460565142971</v>
      </c>
      <c r="F240" s="39">
        <f>IF(_xlfn.NORM.INV(S240,D240,'Regressão Grupo 2'!$B$7)&lt;=0,0,IF(_xlfn.NORM.INV(S240,D240,'Regressão Grupo 2'!$B$7)&gt;100%,100%,_xlfn.NORM.INV(S240,D240,'Regressão Grupo 2'!$B$7)))</f>
        <v>0.68318952870472938</v>
      </c>
      <c r="G240" s="41">
        <v>2.640977534840298E-2</v>
      </c>
      <c r="H240" s="41">
        <v>1.4036998514268687E-2</v>
      </c>
      <c r="I240" s="40">
        <f t="shared" si="32"/>
        <v>203.33810773013286</v>
      </c>
      <c r="J240" s="40">
        <f t="shared" si="32"/>
        <v>0</v>
      </c>
      <c r="K240" s="36">
        <v>0.26173035216061813</v>
      </c>
      <c r="L240" s="42">
        <f t="shared" si="38"/>
        <v>19991.322604477216</v>
      </c>
      <c r="M240" s="42">
        <f t="shared" si="38"/>
        <v>0</v>
      </c>
      <c r="N240" s="42">
        <f t="shared" si="33"/>
        <v>5232.3359054263474</v>
      </c>
      <c r="O240" s="36">
        <v>4.492087036308221</v>
      </c>
      <c r="P240" s="42">
        <f t="shared" si="34"/>
        <v>6914.59257337294</v>
      </c>
      <c r="Q240" s="42"/>
      <c r="R240">
        <v>0.21790215765861995</v>
      </c>
      <c r="S240">
        <v>1.5717032380138555E-2</v>
      </c>
    </row>
    <row r="241" spans="1:19" x14ac:dyDescent="0.25">
      <c r="A241" s="40">
        <f t="shared" si="35"/>
        <v>64.229676878151835</v>
      </c>
      <c r="B241" s="40">
        <f t="shared" si="35"/>
        <v>32.933286051621081</v>
      </c>
      <c r="C241" s="41">
        <f t="shared" si="30"/>
        <v>0.49289226185293716</v>
      </c>
      <c r="D241" s="41">
        <f t="shared" si="31"/>
        <v>0.98069361229543572</v>
      </c>
      <c r="E241" s="39">
        <f>IF(_xlfn.NORM.INV(R241,C241,'Regressão Grupo 2'!$B$7)&lt;=0,0,IF(_xlfn.NORM.INV(R241,C241,'Regressão Grupo 2'!$B$7)&gt;100%,100%,_xlfn.NORM.INV(R241,C241,'Regressão Grupo 2'!$B$7)))</f>
        <v>0.56690226076163863</v>
      </c>
      <c r="F241" s="39">
        <f>IF(_xlfn.NORM.INV(S241,D241,'Regressão Grupo 2'!$B$7)&lt;=0,0,IF(_xlfn.NORM.INV(S241,D241,'Regressão Grupo 2'!$B$7)&gt;100%,100%,_xlfn.NORM.INV(S241,D241,'Regressão Grupo 2'!$B$7)))</f>
        <v>0.84233704969653755</v>
      </c>
      <c r="G241" s="41">
        <v>2.0648405682228314E-2</v>
      </c>
      <c r="H241" s="41">
        <v>1.0890769311723203E-2</v>
      </c>
      <c r="I241" s="40">
        <f t="shared" si="32"/>
        <v>234.01098288476953</v>
      </c>
      <c r="J241" s="40">
        <f t="shared" si="32"/>
        <v>0</v>
      </c>
      <c r="K241" s="36">
        <v>0.31336737029129969</v>
      </c>
      <c r="L241" s="42">
        <f t="shared" si="38"/>
        <v>19991.322604477216</v>
      </c>
      <c r="M241" s="42">
        <f t="shared" si="38"/>
        <v>0</v>
      </c>
      <c r="N241" s="42">
        <f t="shared" si="33"/>
        <v>6264.6281932100419</v>
      </c>
      <c r="O241" s="36">
        <v>4.0651448804218111</v>
      </c>
      <c r="P241" s="42">
        <f t="shared" si="34"/>
        <v>7814.5330743809272</v>
      </c>
      <c r="Q241" s="42"/>
      <c r="R241">
        <v>0.70375682851649524</v>
      </c>
      <c r="S241">
        <v>0.15851313821832941</v>
      </c>
    </row>
    <row r="242" spans="1:19" x14ac:dyDescent="0.25">
      <c r="A242" s="40">
        <f t="shared" si="35"/>
        <v>64.229676878151835</v>
      </c>
      <c r="B242" s="40">
        <f t="shared" si="35"/>
        <v>32.933286051621081</v>
      </c>
      <c r="C242" s="41">
        <f t="shared" si="30"/>
        <v>0.49289226185293716</v>
      </c>
      <c r="D242" s="41">
        <f t="shared" si="31"/>
        <v>0.98069361229543572</v>
      </c>
      <c r="E242" s="39">
        <f>IF(_xlfn.NORM.INV(R242,C242,'Regressão Grupo 2'!$B$7)&lt;=0,0,IF(_xlfn.NORM.INV(R242,C242,'Regressão Grupo 2'!$B$7)&gt;100%,100%,_xlfn.NORM.INV(R242,C242,'Regressão Grupo 2'!$B$7)))</f>
        <v>0.47483223401120167</v>
      </c>
      <c r="F242" s="39">
        <f>IF(_xlfn.NORM.INV(S242,D242,'Regressão Grupo 2'!$B$7)&lt;=0,0,IF(_xlfn.NORM.INV(S242,D242,'Regressão Grupo 2'!$B$7)&gt;100%,100%,_xlfn.NORM.INV(S242,D242,'Regressão Grupo 2'!$B$7)))</f>
        <v>0.9760225974972625</v>
      </c>
      <c r="G242" s="41">
        <v>1.238542643494003E-2</v>
      </c>
      <c r="H242" s="41">
        <v>2.0295899371116199E-2</v>
      </c>
      <c r="I242" s="40">
        <f t="shared" si="32"/>
        <v>117.56896230518457</v>
      </c>
      <c r="J242" s="40">
        <f t="shared" si="32"/>
        <v>0</v>
      </c>
      <c r="K242" s="36">
        <v>0.20416768391430384</v>
      </c>
      <c r="L242" s="42">
        <f t="shared" si="38"/>
        <v>19991.322604477216</v>
      </c>
      <c r="M242" s="42">
        <f t="shared" si="38"/>
        <v>0</v>
      </c>
      <c r="N242" s="42">
        <f t="shared" si="33"/>
        <v>4081.5820345397819</v>
      </c>
      <c r="O242" s="36">
        <v>3.632962616951021</v>
      </c>
      <c r="P242" s="42">
        <f t="shared" si="34"/>
        <v>3042.7107802533769</v>
      </c>
      <c r="Q242" s="42"/>
      <c r="R242">
        <v>0.44804223761711476</v>
      </c>
      <c r="S242">
        <v>0.48652607806634723</v>
      </c>
    </row>
    <row r="243" spans="1:19" x14ac:dyDescent="0.25">
      <c r="A243" s="40">
        <f t="shared" si="35"/>
        <v>64.229676878151835</v>
      </c>
      <c r="B243" s="40">
        <f t="shared" si="35"/>
        <v>32.933286051621081</v>
      </c>
      <c r="C243" s="41">
        <f t="shared" si="30"/>
        <v>0.49289226185293716</v>
      </c>
      <c r="D243" s="41">
        <f t="shared" si="31"/>
        <v>0.98069361229543572</v>
      </c>
      <c r="E243" s="39">
        <f>IF(_xlfn.NORM.INV(R243,C243,'Regressão Grupo 2'!$B$7)&lt;=0,0,IF(_xlfn.NORM.INV(R243,C243,'Regressão Grupo 2'!$B$7)&gt;100%,100%,_xlfn.NORM.INV(R243,C243,'Regressão Grupo 2'!$B$7)))</f>
        <v>0.50819257200980772</v>
      </c>
      <c r="F243" s="39">
        <f>IF(_xlfn.NORM.INV(S243,D243,'Regressão Grupo 2'!$B$7)&lt;=0,0,IF(_xlfn.NORM.INV(S243,D243,'Regressão Grupo 2'!$B$7)&gt;100%,100%,_xlfn.NORM.INV(S243,D243,'Regressão Grupo 2'!$B$7)))</f>
        <v>1</v>
      </c>
      <c r="G243" s="41">
        <v>7.8815332287711874E-3</v>
      </c>
      <c r="H243" s="41">
        <v>1.854638068320557E-2</v>
      </c>
      <c r="I243" s="40">
        <f t="shared" si="32"/>
        <v>80.071976967947464</v>
      </c>
      <c r="J243" s="40">
        <f t="shared" si="32"/>
        <v>0</v>
      </c>
      <c r="K243" s="36">
        <v>0.30949344249807853</v>
      </c>
      <c r="L243" s="42">
        <f t="shared" si="38"/>
        <v>19991.322604477216</v>
      </c>
      <c r="M243" s="42">
        <f t="shared" si="38"/>
        <v>0</v>
      </c>
      <c r="N243" s="42">
        <f t="shared" si="33"/>
        <v>6187.1832529493067</v>
      </c>
      <c r="O243" s="36">
        <v>7.5562531272223907</v>
      </c>
      <c r="P243" s="42">
        <f t="shared" si="34"/>
        <v>-1649.2301716701577</v>
      </c>
      <c r="Q243" s="42"/>
      <c r="R243">
        <v>0.54405346842860192</v>
      </c>
      <c r="S243">
        <v>0.67055269020661035</v>
      </c>
    </row>
    <row r="244" spans="1:19" x14ac:dyDescent="0.25">
      <c r="A244" s="40">
        <f t="shared" si="35"/>
        <v>64.229676878151835</v>
      </c>
      <c r="B244" s="40">
        <f t="shared" si="35"/>
        <v>32.933286051621081</v>
      </c>
      <c r="C244" s="41">
        <f t="shared" si="30"/>
        <v>0.49289226185293716</v>
      </c>
      <c r="D244" s="41">
        <f t="shared" si="31"/>
        <v>0.98069361229543572</v>
      </c>
      <c r="E244" s="39">
        <f>IF(_xlfn.NORM.INV(R244,C244,'Regressão Grupo 2'!$B$7)&lt;=0,0,IF(_xlfn.NORM.INV(R244,C244,'Regressão Grupo 2'!$B$7)&gt;100%,100%,_xlfn.NORM.INV(R244,C244,'Regressão Grupo 2'!$B$7)))</f>
        <v>0.47206530299919353</v>
      </c>
      <c r="F244" s="39">
        <f>IF(_xlfn.NORM.INV(S244,D244,'Regressão Grupo 2'!$B$7)&lt;=0,0,IF(_xlfn.NORM.INV(S244,D244,'Regressão Grupo 2'!$B$7)&gt;100%,100%,_xlfn.NORM.INV(S244,D244,'Regressão Grupo 2'!$B$7)))</f>
        <v>0.74610530117992857</v>
      </c>
      <c r="G244" s="41">
        <v>2.7778776446206341E-2</v>
      </c>
      <c r="H244" s="41">
        <v>2.0100481786313365E-2</v>
      </c>
      <c r="I244" s="40">
        <f t="shared" si="32"/>
        <v>262.15414027225376</v>
      </c>
      <c r="J244" s="40">
        <f t="shared" si="32"/>
        <v>0</v>
      </c>
      <c r="K244" s="36">
        <v>0.25956088426954582</v>
      </c>
      <c r="L244" s="42">
        <f t="shared" si="38"/>
        <v>19991.322604477216</v>
      </c>
      <c r="M244" s="42">
        <f t="shared" si="38"/>
        <v>0</v>
      </c>
      <c r="N244" s="42">
        <f t="shared" si="33"/>
        <v>5188.9653729358661</v>
      </c>
      <c r="O244" s="36">
        <v>8.145963681081188</v>
      </c>
      <c r="P244" s="42">
        <f t="shared" si="34"/>
        <v>9513.6122435178404</v>
      </c>
      <c r="Q244" s="42"/>
      <c r="R244">
        <v>0.44013794366283149</v>
      </c>
      <c r="S244">
        <v>4.4892727439191871E-2</v>
      </c>
    </row>
    <row r="245" spans="1:19" x14ac:dyDescent="0.25">
      <c r="A245" s="40">
        <f t="shared" si="35"/>
        <v>64.229676878151835</v>
      </c>
      <c r="B245" s="40">
        <f t="shared" si="35"/>
        <v>32.933286051621081</v>
      </c>
      <c r="C245" s="41">
        <f t="shared" si="30"/>
        <v>0.49289226185293716</v>
      </c>
      <c r="D245" s="41">
        <f t="shared" si="31"/>
        <v>0.98069361229543572</v>
      </c>
      <c r="E245" s="39">
        <f>IF(_xlfn.NORM.INV(R245,C245,'Regressão Grupo 2'!$B$7)&lt;=0,0,IF(_xlfn.NORM.INV(R245,C245,'Regressão Grupo 2'!$B$7)&gt;100%,100%,_xlfn.NORM.INV(R245,C245,'Regressão Grupo 2'!$B$7)))</f>
        <v>0.67617710969815947</v>
      </c>
      <c r="F245" s="39">
        <f>IF(_xlfn.NORM.INV(S245,D245,'Regressão Grupo 2'!$B$7)&lt;=0,0,IF(_xlfn.NORM.INV(S245,D245,'Regressão Grupo 2'!$B$7)&gt;100%,100%,_xlfn.NORM.INV(S245,D245,'Regressão Grupo 2'!$B$7)))</f>
        <v>0.99342086268236074</v>
      </c>
      <c r="G245" s="41">
        <v>1.4113379939769204E-2</v>
      </c>
      <c r="H245" s="41">
        <v>1.3366940681680347E-2</v>
      </c>
      <c r="I245" s="40">
        <f t="shared" si="32"/>
        <v>190.78007947592891</v>
      </c>
      <c r="J245" s="40">
        <f t="shared" si="32"/>
        <v>0</v>
      </c>
      <c r="K245" s="36">
        <v>0.26881428659645434</v>
      </c>
      <c r="L245" s="42">
        <f t="shared" si="38"/>
        <v>19991.322604477216</v>
      </c>
      <c r="M245" s="42">
        <f t="shared" si="38"/>
        <v>0</v>
      </c>
      <c r="N245" s="42">
        <f t="shared" si="33"/>
        <v>5373.9531240421147</v>
      </c>
      <c r="O245" s="36">
        <v>4.9704923837163113</v>
      </c>
      <c r="P245" s="42">
        <f t="shared" si="34"/>
        <v>5931.5188034850289</v>
      </c>
      <c r="Q245" s="42"/>
      <c r="R245">
        <v>0.90749839777825247</v>
      </c>
      <c r="S245">
        <v>0.53666798913541058</v>
      </c>
    </row>
    <row r="246" spans="1:19" x14ac:dyDescent="0.25">
      <c r="A246" s="40">
        <f t="shared" si="35"/>
        <v>64.229676878151835</v>
      </c>
      <c r="B246" s="40">
        <f t="shared" si="35"/>
        <v>32.933286051621081</v>
      </c>
      <c r="C246" s="41">
        <f t="shared" si="30"/>
        <v>0.49289226185293716</v>
      </c>
      <c r="D246" s="41">
        <f t="shared" si="31"/>
        <v>0.98069361229543572</v>
      </c>
      <c r="E246" s="39">
        <f>IF(_xlfn.NORM.INV(R246,C246,'Regressão Grupo 2'!$B$7)&lt;=0,0,IF(_xlfn.NORM.INV(R246,C246,'Regressão Grupo 2'!$B$7)&gt;100%,100%,_xlfn.NORM.INV(R246,C246,'Regressão Grupo 2'!$B$7)))</f>
        <v>0.58866622667852342</v>
      </c>
      <c r="F246" s="39">
        <f>IF(_xlfn.NORM.INV(S246,D246,'Regressão Grupo 2'!$B$7)&lt;=0,0,IF(_xlfn.NORM.INV(S246,D246,'Regressão Grupo 2'!$B$7)&gt;100%,100%,_xlfn.NORM.INV(S246,D246,'Regressão Grupo 2'!$B$7)))</f>
        <v>0.63884827433325919</v>
      </c>
      <c r="G246" s="41">
        <v>2.1132513379004101E-2</v>
      </c>
      <c r="H246" s="41">
        <v>1.8423532270670308E-2</v>
      </c>
      <c r="I246" s="40">
        <f t="shared" si="32"/>
        <v>248.69199144753574</v>
      </c>
      <c r="J246" s="40">
        <f t="shared" si="32"/>
        <v>0</v>
      </c>
      <c r="K246" s="36">
        <v>0.14920508785457423</v>
      </c>
      <c r="L246" s="42">
        <f t="shared" si="38"/>
        <v>19991.322604477216</v>
      </c>
      <c r="M246" s="42">
        <f t="shared" si="38"/>
        <v>0</v>
      </c>
      <c r="N246" s="42">
        <f t="shared" si="33"/>
        <v>2982.8070455301586</v>
      </c>
      <c r="O246" s="36">
        <v>6.9302053359932598</v>
      </c>
      <c r="P246" s="42">
        <f t="shared" si="34"/>
        <v>11267.11264118066</v>
      </c>
      <c r="Q246" s="42"/>
      <c r="R246">
        <v>0.75572985015411842</v>
      </c>
      <c r="S246">
        <v>6.7140720847193823E-3</v>
      </c>
    </row>
    <row r="247" spans="1:19" x14ac:dyDescent="0.25">
      <c r="A247" s="40">
        <f t="shared" si="35"/>
        <v>64.229676878151835</v>
      </c>
      <c r="B247" s="40">
        <f t="shared" si="35"/>
        <v>32.933286051621081</v>
      </c>
      <c r="C247" s="41">
        <f t="shared" si="30"/>
        <v>0.49289226185293716</v>
      </c>
      <c r="D247" s="41">
        <f t="shared" si="31"/>
        <v>0.98069361229543572</v>
      </c>
      <c r="E247" s="39">
        <f>IF(_xlfn.NORM.INV(R247,C247,'Regressão Grupo 2'!$B$7)&lt;=0,0,IF(_xlfn.NORM.INV(R247,C247,'Regressão Grupo 2'!$B$7)&gt;100%,100%,_xlfn.NORM.INV(R247,C247,'Regressão Grupo 2'!$B$7)))</f>
        <v>0.43775631051666969</v>
      </c>
      <c r="F247" s="39">
        <f>IF(_xlfn.NORM.INV(S247,D247,'Regressão Grupo 2'!$B$7)&lt;=0,0,IF(_xlfn.NORM.INV(S247,D247,'Regressão Grupo 2'!$B$7)&gt;100%,100%,_xlfn.NORM.INV(S247,D247,'Regressão Grupo 2'!$B$7)))</f>
        <v>0.80982279275299807</v>
      </c>
      <c r="G247" s="41">
        <v>1.963769243511513E-2</v>
      </c>
      <c r="H247" s="41">
        <v>1.5318744320442333E-2</v>
      </c>
      <c r="I247" s="40">
        <f t="shared" si="32"/>
        <v>171.85588031211748</v>
      </c>
      <c r="J247" s="40">
        <f t="shared" si="32"/>
        <v>0</v>
      </c>
      <c r="K247" s="36">
        <v>0.33249873432239063</v>
      </c>
      <c r="L247" s="42">
        <f t="shared" ref="L247:M262" si="39">L246</f>
        <v>19991.322604477216</v>
      </c>
      <c r="M247" s="42">
        <f t="shared" si="39"/>
        <v>0</v>
      </c>
      <c r="N247" s="42">
        <f t="shared" si="33"/>
        <v>6647.0894634192728</v>
      </c>
      <c r="O247" s="36">
        <v>9.3566059048210342</v>
      </c>
      <c r="P247" s="42">
        <f t="shared" si="34"/>
        <v>2783.1704541317931</v>
      </c>
      <c r="Q247" s="42"/>
      <c r="R247">
        <v>0.34504226813562427</v>
      </c>
      <c r="S247">
        <v>0.10827967162083804</v>
      </c>
    </row>
    <row r="248" spans="1:19" x14ac:dyDescent="0.25">
      <c r="A248" s="40">
        <f t="shared" si="35"/>
        <v>64.229676878151835</v>
      </c>
      <c r="B248" s="40">
        <f t="shared" si="35"/>
        <v>32.933286051621081</v>
      </c>
      <c r="C248" s="41">
        <f t="shared" si="30"/>
        <v>0.49289226185293716</v>
      </c>
      <c r="D248" s="41">
        <f t="shared" si="31"/>
        <v>0.98069361229543572</v>
      </c>
      <c r="E248" s="39">
        <f>IF(_xlfn.NORM.INV(R248,C248,'Regressão Grupo 2'!$B$7)&lt;=0,0,IF(_xlfn.NORM.INV(R248,C248,'Regressão Grupo 2'!$B$7)&gt;100%,100%,_xlfn.NORM.INV(R248,C248,'Regressão Grupo 2'!$B$7)))</f>
        <v>0.62339257675483295</v>
      </c>
      <c r="F248" s="39">
        <f>IF(_xlfn.NORM.INV(S248,D248,'Regressão Grupo 2'!$B$7)&lt;=0,0,IF(_xlfn.NORM.INV(S248,D248,'Regressão Grupo 2'!$B$7)&gt;100%,100%,_xlfn.NORM.INV(S248,D248,'Regressão Grupo 2'!$B$7)))</f>
        <v>0.8139237656218048</v>
      </c>
      <c r="G248" s="41">
        <v>2.2140043958903344E-2</v>
      </c>
      <c r="H248" s="41">
        <v>4.5635741027687041E-3</v>
      </c>
      <c r="I248" s="40">
        <f t="shared" si="32"/>
        <v>275.91901617597625</v>
      </c>
      <c r="J248" s="40">
        <f t="shared" si="32"/>
        <v>0</v>
      </c>
      <c r="K248" s="36">
        <v>0.32062228161681849</v>
      </c>
      <c r="L248" s="42">
        <f t="shared" si="39"/>
        <v>19991.322604477216</v>
      </c>
      <c r="M248" s="42">
        <f t="shared" si="39"/>
        <v>0</v>
      </c>
      <c r="N248" s="42">
        <f t="shared" si="33"/>
        <v>6409.6634659853635</v>
      </c>
      <c r="O248" s="36">
        <v>10.832085196708119</v>
      </c>
      <c r="P248" s="42">
        <f t="shared" si="34"/>
        <v>8323.7474969250798</v>
      </c>
      <c r="Q248" s="42"/>
      <c r="R248">
        <v>0.82735679189428391</v>
      </c>
      <c r="S248">
        <v>0.11389507736442152</v>
      </c>
    </row>
    <row r="249" spans="1:19" x14ac:dyDescent="0.25">
      <c r="A249" s="40">
        <f t="shared" si="35"/>
        <v>64.229676878151835</v>
      </c>
      <c r="B249" s="40">
        <f t="shared" si="35"/>
        <v>32.933286051621081</v>
      </c>
      <c r="C249" s="41">
        <f t="shared" si="30"/>
        <v>0.49289226185293716</v>
      </c>
      <c r="D249" s="41">
        <f t="shared" si="31"/>
        <v>0.98069361229543572</v>
      </c>
      <c r="E249" s="39">
        <f>IF(_xlfn.NORM.INV(R249,C249,'Regressão Grupo 2'!$B$7)&lt;=0,0,IF(_xlfn.NORM.INV(R249,C249,'Regressão Grupo 2'!$B$7)&gt;100%,100%,_xlfn.NORM.INV(R249,C249,'Regressão Grupo 2'!$B$7)))</f>
        <v>0.18262319861748733</v>
      </c>
      <c r="F249" s="39">
        <f>IF(_xlfn.NORM.INV(S249,D249,'Regressão Grupo 2'!$B$7)&lt;=0,0,IF(_xlfn.NORM.INV(S249,D249,'Regressão Grupo 2'!$B$7)&gt;100%,100%,_xlfn.NORM.INV(S249,D249,'Regressão Grupo 2'!$B$7)))</f>
        <v>0.8977353575924405</v>
      </c>
      <c r="G249" s="41">
        <v>1.5284243612245322E-2</v>
      </c>
      <c r="H249" s="41">
        <v>8.3588644567006327E-3</v>
      </c>
      <c r="I249" s="40">
        <f t="shared" si="32"/>
        <v>55.800928293383194</v>
      </c>
      <c r="J249" s="40">
        <f t="shared" si="32"/>
        <v>0</v>
      </c>
      <c r="K249" s="36">
        <v>0.3551740362230047</v>
      </c>
      <c r="L249" s="42">
        <f t="shared" si="39"/>
        <v>19991.322604477216</v>
      </c>
      <c r="M249" s="42">
        <f t="shared" si="39"/>
        <v>0</v>
      </c>
      <c r="N249" s="42">
        <f t="shared" si="33"/>
        <v>7100.3987388683636</v>
      </c>
      <c r="O249" s="36">
        <v>5.6347764455864828</v>
      </c>
      <c r="P249" s="42">
        <f t="shared" si="34"/>
        <v>-3830.7489014728562</v>
      </c>
      <c r="Q249" s="42"/>
      <c r="R249">
        <v>1.2421033356730858E-2</v>
      </c>
      <c r="S249">
        <v>0.27426984466078674</v>
      </c>
    </row>
    <row r="250" spans="1:19" x14ac:dyDescent="0.25">
      <c r="A250" s="40">
        <f t="shared" si="35"/>
        <v>64.229676878151835</v>
      </c>
      <c r="B250" s="40">
        <f t="shared" si="35"/>
        <v>32.933286051621081</v>
      </c>
      <c r="C250" s="41">
        <f t="shared" si="30"/>
        <v>0.49289226185293716</v>
      </c>
      <c r="D250" s="41">
        <f t="shared" si="31"/>
        <v>0.98069361229543572</v>
      </c>
      <c r="E250" s="39">
        <f>IF(_xlfn.NORM.INV(R250,C250,'Regressão Grupo 2'!$B$7)&lt;=0,0,IF(_xlfn.NORM.INV(R250,C250,'Regressão Grupo 2'!$B$7)&gt;100%,100%,_xlfn.NORM.INV(R250,C250,'Regressão Grupo 2'!$B$7)))</f>
        <v>0.46520053569018749</v>
      </c>
      <c r="F250" s="39">
        <f>IF(_xlfn.NORM.INV(S250,D250,'Regressão Grupo 2'!$B$7)&lt;=0,0,IF(_xlfn.NORM.INV(S250,D250,'Regressão Grupo 2'!$B$7)&gt;100%,100%,_xlfn.NORM.INV(S250,D250,'Regressão Grupo 2'!$B$7)))</f>
        <v>0.89729170340327824</v>
      </c>
      <c r="G250" s="41">
        <v>5.5244648583625692E-3</v>
      </c>
      <c r="H250" s="41">
        <v>9.7245988817037683E-3</v>
      </c>
      <c r="I250" s="40">
        <f t="shared" si="32"/>
        <v>51.377379462482544</v>
      </c>
      <c r="J250" s="40">
        <f t="shared" si="32"/>
        <v>0</v>
      </c>
      <c r="K250" s="36">
        <v>0.29033195609124995</v>
      </c>
      <c r="L250" s="42">
        <f t="shared" si="39"/>
        <v>19991.322604477216</v>
      </c>
      <c r="M250" s="42">
        <f t="shared" si="39"/>
        <v>0</v>
      </c>
      <c r="N250" s="42">
        <f t="shared" si="33"/>
        <v>5804.1197966090922</v>
      </c>
      <c r="O250" s="36">
        <v>8.4065141008009157</v>
      </c>
      <c r="P250" s="42">
        <f t="shared" si="34"/>
        <v>-2936.0719798012033</v>
      </c>
      <c r="Q250" s="42"/>
      <c r="R250">
        <v>0.42063661610766928</v>
      </c>
      <c r="S250">
        <v>0.27320169682912687</v>
      </c>
    </row>
    <row r="251" spans="1:19" x14ac:dyDescent="0.25">
      <c r="A251" s="40">
        <f t="shared" si="35"/>
        <v>64.229676878151835</v>
      </c>
      <c r="B251" s="40">
        <f t="shared" si="35"/>
        <v>32.933286051621081</v>
      </c>
      <c r="C251" s="41">
        <f t="shared" si="30"/>
        <v>0.49289226185293716</v>
      </c>
      <c r="D251" s="41">
        <f t="shared" si="31"/>
        <v>0.98069361229543572</v>
      </c>
      <c r="E251" s="39">
        <f>IF(_xlfn.NORM.INV(R251,C251,'Regressão Grupo 2'!$B$7)&lt;=0,0,IF(_xlfn.NORM.INV(R251,C251,'Regressão Grupo 2'!$B$7)&gt;100%,100%,_xlfn.NORM.INV(R251,C251,'Regressão Grupo 2'!$B$7)))</f>
        <v>0.29707907841262438</v>
      </c>
      <c r="F251" s="39">
        <f>IF(_xlfn.NORM.INV(S251,D251,'Regressão Grupo 2'!$B$7)&lt;=0,0,IF(_xlfn.NORM.INV(S251,D251,'Regressão Grupo 2'!$B$7)&gt;100%,100%,_xlfn.NORM.INV(S251,D251,'Regressão Grupo 2'!$B$7)))</f>
        <v>0.93146449813639443</v>
      </c>
      <c r="G251" s="41">
        <v>2.7268563896252002E-2</v>
      </c>
      <c r="H251" s="41">
        <v>6.6592173879473386E-3</v>
      </c>
      <c r="I251" s="40">
        <f t="shared" si="32"/>
        <v>161.94810175320606</v>
      </c>
      <c r="J251" s="40">
        <f t="shared" si="32"/>
        <v>0</v>
      </c>
      <c r="K251" s="36">
        <v>0.27082275109738885</v>
      </c>
      <c r="L251" s="42">
        <f t="shared" si="39"/>
        <v>19991.322604477216</v>
      </c>
      <c r="M251" s="42">
        <f t="shared" si="39"/>
        <v>0</v>
      </c>
      <c r="N251" s="42">
        <f t="shared" si="33"/>
        <v>5414.1049858199367</v>
      </c>
      <c r="O251" s="36">
        <v>6.3501581341959978</v>
      </c>
      <c r="P251" s="42">
        <f t="shared" si="34"/>
        <v>3959.3732051528204</v>
      </c>
      <c r="Q251" s="42"/>
      <c r="R251">
        <v>7.8371532334360797E-2</v>
      </c>
      <c r="S251">
        <v>0.36091189306314281</v>
      </c>
    </row>
    <row r="252" spans="1:19" x14ac:dyDescent="0.25">
      <c r="A252" s="40">
        <f t="shared" si="35"/>
        <v>64.229676878151835</v>
      </c>
      <c r="B252" s="40">
        <f t="shared" si="35"/>
        <v>32.933286051621081</v>
      </c>
      <c r="C252" s="41">
        <f t="shared" si="30"/>
        <v>0.49289226185293716</v>
      </c>
      <c r="D252" s="41">
        <f t="shared" si="31"/>
        <v>0.98069361229543572</v>
      </c>
      <c r="E252" s="39">
        <f>IF(_xlfn.NORM.INV(R252,C252,'Regressão Grupo 2'!$B$7)&lt;=0,0,IF(_xlfn.NORM.INV(R252,C252,'Regressão Grupo 2'!$B$7)&gt;100%,100%,_xlfn.NORM.INV(R252,C252,'Regressão Grupo 2'!$B$7)))</f>
        <v>0.51347318730826552</v>
      </c>
      <c r="F252" s="39">
        <f>IF(_xlfn.NORM.INV(S252,D252,'Regressão Grupo 2'!$B$7)&lt;=0,0,IF(_xlfn.NORM.INV(S252,D252,'Regressão Grupo 2'!$B$7)&gt;100%,100%,_xlfn.NORM.INV(S252,D252,'Regressão Grupo 2'!$B$7)))</f>
        <v>1</v>
      </c>
      <c r="G252" s="41">
        <v>2.3094723351487011E-2</v>
      </c>
      <c r="H252" s="41">
        <v>1.2314224180533117E-2</v>
      </c>
      <c r="I252" s="40">
        <f t="shared" si="32"/>
        <v>237.06752310696493</v>
      </c>
      <c r="J252" s="40">
        <f t="shared" si="32"/>
        <v>0</v>
      </c>
      <c r="K252" s="36">
        <v>0.29866724606670569</v>
      </c>
      <c r="L252" s="42">
        <f t="shared" si="39"/>
        <v>19991.322604477216</v>
      </c>
      <c r="M252" s="42">
        <f t="shared" si="39"/>
        <v>0</v>
      </c>
      <c r="N252" s="42">
        <f t="shared" si="33"/>
        <v>5970.753267510293</v>
      </c>
      <c r="O252" s="36">
        <v>6.5357005533702068</v>
      </c>
      <c r="P252" s="42">
        <f t="shared" si="34"/>
        <v>7706.614797997564</v>
      </c>
      <c r="Q252" s="42"/>
      <c r="R252">
        <v>0.55916013061922054</v>
      </c>
      <c r="S252">
        <v>0.90658284249397258</v>
      </c>
    </row>
    <row r="253" spans="1:19" x14ac:dyDescent="0.25">
      <c r="A253" s="40">
        <f t="shared" si="35"/>
        <v>64.229676878151835</v>
      </c>
      <c r="B253" s="40">
        <f t="shared" si="35"/>
        <v>32.933286051621081</v>
      </c>
      <c r="C253" s="41">
        <f t="shared" si="30"/>
        <v>0.49289226185293716</v>
      </c>
      <c r="D253" s="41">
        <f t="shared" si="31"/>
        <v>0.98069361229543572</v>
      </c>
      <c r="E253" s="39">
        <f>IF(_xlfn.NORM.INV(R253,C253,'Regressão Grupo 2'!$B$7)&lt;=0,0,IF(_xlfn.NORM.INV(R253,C253,'Regressão Grupo 2'!$B$7)&gt;100%,100%,_xlfn.NORM.INV(R253,C253,'Regressão Grupo 2'!$B$7)))</f>
        <v>0.42000287735353548</v>
      </c>
      <c r="F253" s="39">
        <f>IF(_xlfn.NORM.INV(S253,D253,'Regressão Grupo 2'!$B$7)&lt;=0,0,IF(_xlfn.NORM.INV(S253,D253,'Regressão Grupo 2'!$B$7)&gt;100%,100%,_xlfn.NORM.INV(S253,D253,'Regressão Grupo 2'!$B$7)))</f>
        <v>0.99245449404325614</v>
      </c>
      <c r="G253" s="41">
        <v>1.3729186344084389E-2</v>
      </c>
      <c r="H253" s="41">
        <v>1.2929520620323652E-2</v>
      </c>
      <c r="I253" s="40">
        <f t="shared" si="32"/>
        <v>115.27591891832905</v>
      </c>
      <c r="J253" s="40">
        <f t="shared" si="32"/>
        <v>0</v>
      </c>
      <c r="K253" s="36">
        <v>0.3153473310186764</v>
      </c>
      <c r="L253" s="42">
        <f t="shared" si="39"/>
        <v>19991.322604477216</v>
      </c>
      <c r="M253" s="42">
        <f t="shared" si="39"/>
        <v>0</v>
      </c>
      <c r="N253" s="42">
        <f t="shared" si="33"/>
        <v>6304.2102268552244</v>
      </c>
      <c r="O253" s="36">
        <v>6.8881920738837668</v>
      </c>
      <c r="P253" s="42">
        <f t="shared" si="34"/>
        <v>305.88212609817856</v>
      </c>
      <c r="Q253" s="42"/>
      <c r="R253">
        <v>0.29905087435529648</v>
      </c>
      <c r="S253">
        <v>0.53389080477309492</v>
      </c>
    </row>
    <row r="254" spans="1:19" x14ac:dyDescent="0.25">
      <c r="A254" s="40">
        <f t="shared" si="35"/>
        <v>64.229676878151835</v>
      </c>
      <c r="B254" s="40">
        <f t="shared" si="35"/>
        <v>32.933286051621081</v>
      </c>
      <c r="C254" s="41">
        <f t="shared" si="30"/>
        <v>0.49289226185293716</v>
      </c>
      <c r="D254" s="41">
        <f t="shared" si="31"/>
        <v>0.98069361229543572</v>
      </c>
      <c r="E254" s="39">
        <f>IF(_xlfn.NORM.INV(R254,C254,'Regressão Grupo 2'!$B$7)&lt;=0,0,IF(_xlfn.NORM.INV(R254,C254,'Regressão Grupo 2'!$B$7)&gt;100%,100%,_xlfn.NORM.INV(R254,C254,'Regressão Grupo 2'!$B$7)))</f>
        <v>0.71208777919614841</v>
      </c>
      <c r="F254" s="39">
        <f>IF(_xlfn.NORM.INV(S254,D254,'Regressão Grupo 2'!$B$7)&lt;=0,0,IF(_xlfn.NORM.INV(S254,D254,'Regressão Grupo 2'!$B$7)&gt;100%,100%,_xlfn.NORM.INV(S254,D254,'Regressão Grupo 2'!$B$7)))</f>
        <v>1</v>
      </c>
      <c r="G254" s="41">
        <v>1.1392898583838622E-2</v>
      </c>
      <c r="H254" s="41">
        <v>2.392676947190428E-2</v>
      </c>
      <c r="I254" s="40">
        <f t="shared" si="32"/>
        <v>162.18447953628009</v>
      </c>
      <c r="J254" s="40">
        <f t="shared" si="32"/>
        <v>0</v>
      </c>
      <c r="K254" s="36">
        <v>0.17627503281214085</v>
      </c>
      <c r="L254" s="42">
        <f t="shared" si="39"/>
        <v>19991.322604477216</v>
      </c>
      <c r="M254" s="42">
        <f t="shared" si="39"/>
        <v>0</v>
      </c>
      <c r="N254" s="42">
        <f t="shared" si="33"/>
        <v>3523.9710480623144</v>
      </c>
      <c r="O254" s="36">
        <v>8.0064875894105754</v>
      </c>
      <c r="P254" s="42">
        <f t="shared" si="34"/>
        <v>5594.557644601944</v>
      </c>
      <c r="Q254" s="42"/>
      <c r="R254">
        <v>0.94354075746940524</v>
      </c>
      <c r="S254">
        <v>0.8189031647694327</v>
      </c>
    </row>
    <row r="255" spans="1:19" x14ac:dyDescent="0.25">
      <c r="A255" s="40">
        <f t="shared" si="35"/>
        <v>64.229676878151835</v>
      </c>
      <c r="B255" s="40">
        <f t="shared" si="35"/>
        <v>32.933286051621081</v>
      </c>
      <c r="C255" s="41">
        <f t="shared" si="30"/>
        <v>0.49289226185293716</v>
      </c>
      <c r="D255" s="41">
        <f t="shared" si="31"/>
        <v>0.98069361229543572</v>
      </c>
      <c r="E255" s="39">
        <f>IF(_xlfn.NORM.INV(R255,C255,'Regressão Grupo 2'!$B$7)&lt;=0,0,IF(_xlfn.NORM.INV(R255,C255,'Regressão Grupo 2'!$B$7)&gt;100%,100%,_xlfn.NORM.INV(R255,C255,'Regressão Grupo 2'!$B$7)))</f>
        <v>0.25004395922120448</v>
      </c>
      <c r="F255" s="39">
        <f>IF(_xlfn.NORM.INV(S255,D255,'Regressão Grupo 2'!$B$7)&lt;=0,0,IF(_xlfn.NORM.INV(S255,D255,'Regressão Grupo 2'!$B$7)&gt;100%,100%,_xlfn.NORM.INV(S255,D255,'Regressão Grupo 2'!$B$7)))</f>
        <v>1</v>
      </c>
      <c r="G255" s="41">
        <v>2.7230847942877955E-2</v>
      </c>
      <c r="H255" s="41">
        <v>2.1602295308701301E-2</v>
      </c>
      <c r="I255" s="40">
        <f t="shared" si="32"/>
        <v>136.1190970550015</v>
      </c>
      <c r="J255" s="40">
        <f t="shared" si="32"/>
        <v>0</v>
      </c>
      <c r="K255" s="36">
        <v>0.29219680391446817</v>
      </c>
      <c r="L255" s="42">
        <f t="shared" si="39"/>
        <v>19991.322604477216</v>
      </c>
      <c r="M255" s="42">
        <f t="shared" si="39"/>
        <v>0</v>
      </c>
      <c r="N255" s="42">
        <f t="shared" si="33"/>
        <v>5841.4005710513047</v>
      </c>
      <c r="O255" s="36">
        <v>10.502838203140291</v>
      </c>
      <c r="P255" s="42">
        <f t="shared" si="34"/>
        <v>1471.8481970110006</v>
      </c>
      <c r="Q255" s="42"/>
      <c r="R255">
        <v>3.9521469771416365E-2</v>
      </c>
      <c r="S255">
        <v>0.85854670857875304</v>
      </c>
    </row>
    <row r="256" spans="1:19" x14ac:dyDescent="0.25">
      <c r="A256" s="40">
        <f t="shared" si="35"/>
        <v>64.229676878151835</v>
      </c>
      <c r="B256" s="40">
        <f t="shared" si="35"/>
        <v>32.933286051621081</v>
      </c>
      <c r="C256" s="41">
        <f t="shared" si="30"/>
        <v>0.49289226185293716</v>
      </c>
      <c r="D256" s="41">
        <f t="shared" si="31"/>
        <v>0.98069361229543572</v>
      </c>
      <c r="E256" s="39">
        <f>IF(_xlfn.NORM.INV(R256,C256,'Regressão Grupo 2'!$B$7)&lt;=0,0,IF(_xlfn.NORM.INV(R256,C256,'Regressão Grupo 2'!$B$7)&gt;100%,100%,_xlfn.NORM.INV(R256,C256,'Regressão Grupo 2'!$B$7)))</f>
        <v>0.45637523930769908</v>
      </c>
      <c r="F256" s="39">
        <f>IF(_xlfn.NORM.INV(S256,D256,'Regressão Grupo 2'!$B$7)&lt;=0,0,IF(_xlfn.NORM.INV(S256,D256,'Regressão Grupo 2'!$B$7)&gt;100%,100%,_xlfn.NORM.INV(S256,D256,'Regressão Grupo 2'!$B$7)))</f>
        <v>1</v>
      </c>
      <c r="G256" s="41">
        <v>1.1660694512446664E-2</v>
      </c>
      <c r="H256" s="41">
        <v>2.6417353825326902E-2</v>
      </c>
      <c r="I256" s="40">
        <f t="shared" si="32"/>
        <v>106.38686689084048</v>
      </c>
      <c r="J256" s="40">
        <f t="shared" si="32"/>
        <v>0</v>
      </c>
      <c r="K256" s="36">
        <v>0.25492767800193672</v>
      </c>
      <c r="L256" s="42">
        <f t="shared" si="39"/>
        <v>19991.322604477216</v>
      </c>
      <c r="M256" s="42">
        <f t="shared" si="39"/>
        <v>0</v>
      </c>
      <c r="N256" s="42">
        <f t="shared" si="33"/>
        <v>5096.3414517470064</v>
      </c>
      <c r="O256" s="36">
        <v>4.1387131360398</v>
      </c>
      <c r="P256" s="42">
        <f t="shared" si="34"/>
        <v>1296.5479092273881</v>
      </c>
      <c r="Q256" s="42"/>
      <c r="R256">
        <v>0.3958555864131596</v>
      </c>
      <c r="S256">
        <v>0.98968474379711291</v>
      </c>
    </row>
    <row r="257" spans="1:19" x14ac:dyDescent="0.25">
      <c r="A257" s="40">
        <f t="shared" si="35"/>
        <v>64.229676878151835</v>
      </c>
      <c r="B257" s="40">
        <f t="shared" si="35"/>
        <v>32.933286051621081</v>
      </c>
      <c r="C257" s="41">
        <f t="shared" si="30"/>
        <v>0.49289226185293716</v>
      </c>
      <c r="D257" s="41">
        <f t="shared" si="31"/>
        <v>0.98069361229543572</v>
      </c>
      <c r="E257" s="39">
        <f>IF(_xlfn.NORM.INV(R257,C257,'Regressão Grupo 2'!$B$7)&lt;=0,0,IF(_xlfn.NORM.INV(R257,C257,'Regressão Grupo 2'!$B$7)&gt;100%,100%,_xlfn.NORM.INV(R257,C257,'Regressão Grupo 2'!$B$7)))</f>
        <v>0.50121677696377431</v>
      </c>
      <c r="F257" s="39">
        <f>IF(_xlfn.NORM.INV(S257,D257,'Regressão Grupo 2'!$B$7)&lt;=0,0,IF(_xlfn.NORM.INV(S257,D257,'Regressão Grupo 2'!$B$7)&gt;100%,100%,_xlfn.NORM.INV(S257,D257,'Regressão Grupo 2'!$B$7)))</f>
        <v>1</v>
      </c>
      <c r="G257" s="41">
        <v>2.0481077568228378E-2</v>
      </c>
      <c r="H257" s="41">
        <v>1.3100377556405057E-2</v>
      </c>
      <c r="I257" s="40">
        <f t="shared" si="32"/>
        <v>205.22011629591813</v>
      </c>
      <c r="J257" s="40">
        <f t="shared" si="32"/>
        <v>0</v>
      </c>
      <c r="K257" s="36">
        <v>0.29467303765771302</v>
      </c>
      <c r="L257" s="42">
        <f t="shared" si="39"/>
        <v>19991.322604477216</v>
      </c>
      <c r="M257" s="42">
        <f t="shared" si="39"/>
        <v>0</v>
      </c>
      <c r="N257" s="42">
        <f t="shared" si="33"/>
        <v>5890.9037586566046</v>
      </c>
      <c r="O257" s="36">
        <v>6.4300160452750852</v>
      </c>
      <c r="P257" s="42">
        <f t="shared" si="34"/>
        <v>5970.7493593309864</v>
      </c>
      <c r="Q257" s="42"/>
      <c r="R257">
        <v>0.52400280770287178</v>
      </c>
      <c r="S257">
        <v>0.67442854091006199</v>
      </c>
    </row>
    <row r="258" spans="1:19" x14ac:dyDescent="0.25">
      <c r="A258" s="40">
        <f t="shared" si="35"/>
        <v>64.229676878151835</v>
      </c>
      <c r="B258" s="40">
        <f t="shared" si="35"/>
        <v>32.933286051621081</v>
      </c>
      <c r="C258" s="41">
        <f t="shared" si="30"/>
        <v>0.49289226185293716</v>
      </c>
      <c r="D258" s="41">
        <f t="shared" si="31"/>
        <v>0.98069361229543572</v>
      </c>
      <c r="E258" s="39">
        <f>IF(_xlfn.NORM.INV(R258,C258,'Regressão Grupo 2'!$B$7)&lt;=0,0,IF(_xlfn.NORM.INV(R258,C258,'Regressão Grupo 2'!$B$7)&gt;100%,100%,_xlfn.NORM.INV(R258,C258,'Regressão Grupo 2'!$B$7)))</f>
        <v>0.44364060715053366</v>
      </c>
      <c r="F258" s="39">
        <f>IF(_xlfn.NORM.INV(S258,D258,'Regressão Grupo 2'!$B$7)&lt;=0,0,IF(_xlfn.NORM.INV(S258,D258,'Regressão Grupo 2'!$B$7)&gt;100%,100%,_xlfn.NORM.INV(S258,D258,'Regressão Grupo 2'!$B$7)))</f>
        <v>0.86163730799436777</v>
      </c>
      <c r="G258" s="41">
        <v>1.3219663656056467E-2</v>
      </c>
      <c r="H258" s="41">
        <v>9.3884486058198723E-3</v>
      </c>
      <c r="I258" s="40">
        <f t="shared" si="32"/>
        <v>117.24470120163872</v>
      </c>
      <c r="J258" s="40">
        <f t="shared" si="32"/>
        <v>0</v>
      </c>
      <c r="K258" s="36">
        <v>0.21811756574861718</v>
      </c>
      <c r="L258" s="42">
        <f t="shared" si="39"/>
        <v>19991.322604477216</v>
      </c>
      <c r="M258" s="42">
        <f t="shared" si="39"/>
        <v>0</v>
      </c>
      <c r="N258" s="42">
        <f t="shared" si="33"/>
        <v>4360.4586225838757</v>
      </c>
      <c r="O258" s="36">
        <v>4.5554961228428024</v>
      </c>
      <c r="P258" s="42">
        <f t="shared" si="34"/>
        <v>2636.0228695249116</v>
      </c>
      <c r="Q258" s="42"/>
      <c r="R258">
        <v>0.36085085604419082</v>
      </c>
      <c r="S258">
        <v>0.19461653492843409</v>
      </c>
    </row>
    <row r="259" spans="1:19" x14ac:dyDescent="0.25">
      <c r="A259" s="40">
        <f t="shared" si="35"/>
        <v>64.229676878151835</v>
      </c>
      <c r="B259" s="40">
        <f t="shared" si="35"/>
        <v>32.933286051621081</v>
      </c>
      <c r="C259" s="41">
        <f t="shared" si="30"/>
        <v>0.49289226185293716</v>
      </c>
      <c r="D259" s="41">
        <f t="shared" si="31"/>
        <v>0.98069361229543572</v>
      </c>
      <c r="E259" s="39">
        <f>IF(_xlfn.NORM.INV(R259,C259,'Regressão Grupo 2'!$B$7)&lt;=0,0,IF(_xlfn.NORM.INV(R259,C259,'Regressão Grupo 2'!$B$7)&gt;100%,100%,_xlfn.NORM.INV(R259,C259,'Regressão Grupo 2'!$B$7)))</f>
        <v>0.52639464647485879</v>
      </c>
      <c r="F259" s="39">
        <f>IF(_xlfn.NORM.INV(S259,D259,'Regressão Grupo 2'!$B$7)&lt;=0,0,IF(_xlfn.NORM.INV(S259,D259,'Regressão Grupo 2'!$B$7)&gt;100%,100%,_xlfn.NORM.INV(S259,D259,'Regressão Grupo 2'!$B$7)))</f>
        <v>0.96005920688800939</v>
      </c>
      <c r="G259" s="41">
        <v>9.4613202094014272E-3</v>
      </c>
      <c r="H259" s="41">
        <v>1.4198269609004617E-2</v>
      </c>
      <c r="I259" s="40">
        <f t="shared" si="32"/>
        <v>99.564549337070758</v>
      </c>
      <c r="J259" s="40">
        <f t="shared" si="32"/>
        <v>0</v>
      </c>
      <c r="K259" s="36">
        <v>0.33055958170714606</v>
      </c>
      <c r="L259" s="42">
        <f t="shared" si="39"/>
        <v>19991.322604477216</v>
      </c>
      <c r="M259" s="42">
        <f t="shared" si="39"/>
        <v>0</v>
      </c>
      <c r="N259" s="42">
        <f t="shared" si="33"/>
        <v>6608.3232379086021</v>
      </c>
      <c r="O259" s="36">
        <v>5.1861461554849013</v>
      </c>
      <c r="P259" s="42">
        <f t="shared" si="34"/>
        <v>-729.68071023677658</v>
      </c>
      <c r="Q259" s="42"/>
      <c r="R259">
        <v>0.59572130497146525</v>
      </c>
      <c r="S259">
        <v>0.44068727683339948</v>
      </c>
    </row>
    <row r="260" spans="1:19" x14ac:dyDescent="0.25">
      <c r="A260" s="40">
        <f t="shared" si="35"/>
        <v>64.229676878151835</v>
      </c>
      <c r="B260" s="40">
        <f t="shared" si="35"/>
        <v>32.933286051621081</v>
      </c>
      <c r="C260" s="41">
        <f t="shared" si="30"/>
        <v>0.49289226185293716</v>
      </c>
      <c r="D260" s="41">
        <f t="shared" si="31"/>
        <v>0.98069361229543572</v>
      </c>
      <c r="E260" s="39">
        <f>IF(_xlfn.NORM.INV(R260,C260,'Regressão Grupo 2'!$B$7)&lt;=0,0,IF(_xlfn.NORM.INV(R260,C260,'Regressão Grupo 2'!$B$7)&gt;100%,100%,_xlfn.NORM.INV(R260,C260,'Regressão Grupo 2'!$B$7)))</f>
        <v>0.84757928250422787</v>
      </c>
      <c r="F260" s="39">
        <f>IF(_xlfn.NORM.INV(S260,D260,'Regressão Grupo 2'!$B$7)&lt;=0,0,IF(_xlfn.NORM.INV(S260,D260,'Regressão Grupo 2'!$B$7)&gt;100%,100%,_xlfn.NORM.INV(S260,D260,'Regressão Grupo 2'!$B$7)))</f>
        <v>1</v>
      </c>
      <c r="G260" s="41">
        <v>1.7304556611472406E-2</v>
      </c>
      <c r="H260" s="41">
        <v>8.8179558443022502E-3</v>
      </c>
      <c r="I260" s="40">
        <f t="shared" si="32"/>
        <v>293.21240231762164</v>
      </c>
      <c r="J260" s="40">
        <f t="shared" si="32"/>
        <v>0</v>
      </c>
      <c r="K260" s="36">
        <v>0.37206168400400863</v>
      </c>
      <c r="L260" s="42">
        <f t="shared" si="39"/>
        <v>19991.322604477216</v>
      </c>
      <c r="M260" s="42">
        <f t="shared" si="39"/>
        <v>0</v>
      </c>
      <c r="N260" s="42">
        <f t="shared" si="33"/>
        <v>7438.005153689197</v>
      </c>
      <c r="O260" s="36">
        <v>4.1222044844854207</v>
      </c>
      <c r="P260" s="42">
        <f t="shared" si="34"/>
        <v>10186.251224097856</v>
      </c>
      <c r="Q260" s="42"/>
      <c r="R260">
        <v>0.99484237189855651</v>
      </c>
      <c r="S260">
        <v>0.86376537369914852</v>
      </c>
    </row>
    <row r="261" spans="1:19" x14ac:dyDescent="0.25">
      <c r="A261" s="40">
        <f t="shared" si="35"/>
        <v>64.229676878151835</v>
      </c>
      <c r="B261" s="40">
        <f t="shared" si="35"/>
        <v>32.933286051621081</v>
      </c>
      <c r="C261" s="41">
        <f t="shared" si="30"/>
        <v>0.49289226185293716</v>
      </c>
      <c r="D261" s="41">
        <f t="shared" si="31"/>
        <v>0.98069361229543572</v>
      </c>
      <c r="E261" s="39">
        <f>IF(_xlfn.NORM.INV(R261,C261,'Regressão Grupo 2'!$B$7)&lt;=0,0,IF(_xlfn.NORM.INV(R261,C261,'Regressão Grupo 2'!$B$7)&gt;100%,100%,_xlfn.NORM.INV(R261,C261,'Regressão Grupo 2'!$B$7)))</f>
        <v>0.59406425375064553</v>
      </c>
      <c r="F261" s="39">
        <f>IF(_xlfn.NORM.INV(S261,D261,'Regressão Grupo 2'!$B$7)&lt;=0,0,IF(_xlfn.NORM.INV(S261,D261,'Regressão Grupo 2'!$B$7)&gt;100%,100%,_xlfn.NORM.INV(S261,D261,'Regressão Grupo 2'!$B$7)))</f>
        <v>1</v>
      </c>
      <c r="G261" s="41">
        <v>1.4661417588967263E-2</v>
      </c>
      <c r="H261" s="41">
        <v>2.2965676025955298E-2</v>
      </c>
      <c r="I261" s="40">
        <f t="shared" si="32"/>
        <v>174.12090338968832</v>
      </c>
      <c r="J261" s="40">
        <f t="shared" si="32"/>
        <v>0</v>
      </c>
      <c r="K261" s="36">
        <v>0.32285193934370293</v>
      </c>
      <c r="L261" s="42">
        <f t="shared" si="39"/>
        <v>19991.322604477216</v>
      </c>
      <c r="M261" s="42">
        <f t="shared" si="39"/>
        <v>0</v>
      </c>
      <c r="N261" s="42">
        <f t="shared" si="33"/>
        <v>6454.2372729010758</v>
      </c>
      <c r="O261" s="36">
        <v>3.5320688316019231</v>
      </c>
      <c r="P261" s="42">
        <f t="shared" si="34"/>
        <v>4114.4850737574097</v>
      </c>
      <c r="Q261" s="42"/>
      <c r="R261">
        <v>0.76781517990661341</v>
      </c>
      <c r="S261">
        <v>0.7082735679189428</v>
      </c>
    </row>
    <row r="262" spans="1:19" x14ac:dyDescent="0.25">
      <c r="A262" s="40">
        <f t="shared" si="35"/>
        <v>64.229676878151835</v>
      </c>
      <c r="B262" s="40">
        <f t="shared" si="35"/>
        <v>32.933286051621081</v>
      </c>
      <c r="C262" s="41">
        <f t="shared" ref="C262:C325" si="40">-0.007*A262 + 0.9425</f>
        <v>0.49289226185293716</v>
      </c>
      <c r="D262" s="41">
        <f t="shared" ref="D262:D325" si="41">-0.0059*B262+1.175</f>
        <v>0.98069361229543572</v>
      </c>
      <c r="E262" s="39">
        <f>IF(_xlfn.NORM.INV(R262,C262,'Regressão Grupo 2'!$B$7)&lt;=0,0,IF(_xlfn.NORM.INV(R262,C262,'Regressão Grupo 2'!$B$7)&gt;100%,100%,_xlfn.NORM.INV(R262,C262,'Regressão Grupo 2'!$B$7)))</f>
        <v>0.65113743969854565</v>
      </c>
      <c r="F262" s="39">
        <f>IF(_xlfn.NORM.INV(S262,D262,'Regressão Grupo 2'!$B$7)&lt;=0,0,IF(_xlfn.NORM.INV(S262,D262,'Regressão Grupo 2'!$B$7)&gt;100%,100%,_xlfn.NORM.INV(S262,D262,'Regressão Grupo 2'!$B$7)))</f>
        <v>0.78828059727133148</v>
      </c>
      <c r="G262" s="41">
        <v>1.8985286737848089E-2</v>
      </c>
      <c r="H262" s="41">
        <v>5.1187364403401849E-3</v>
      </c>
      <c r="I262" s="40">
        <f t="shared" ref="I262:J325" si="42">IF(E262*G262*L262&gt;0,E262*G262*L262,0)</f>
        <v>247.1333497360649</v>
      </c>
      <c r="J262" s="40">
        <f t="shared" si="42"/>
        <v>0</v>
      </c>
      <c r="K262" s="36">
        <v>0.25974171653130007</v>
      </c>
      <c r="L262" s="42">
        <f t="shared" si="39"/>
        <v>19991.322604477216</v>
      </c>
      <c r="M262" s="42">
        <f t="shared" si="39"/>
        <v>0</v>
      </c>
      <c r="N262" s="42">
        <f t="shared" ref="N262:N325" si="43">(L262+M262)*K262</f>
        <v>5192.5804490178925</v>
      </c>
      <c r="O262" s="36">
        <v>5.7633392997361277</v>
      </c>
      <c r="P262" s="42">
        <f t="shared" ref="P262:P325" si="44">SUMPRODUCT(A262:B262,I262:J262)-SUM(I262:J262)*O262-N262</f>
        <v>9256.4014035355503</v>
      </c>
      <c r="Q262" s="42"/>
      <c r="R262">
        <v>0.87377544480727565</v>
      </c>
      <c r="S262">
        <v>8.2033753471480453E-2</v>
      </c>
    </row>
    <row r="263" spans="1:19" x14ac:dyDescent="0.25">
      <c r="A263" s="40">
        <f t="shared" ref="A263:B326" si="45">A262</f>
        <v>64.229676878151835</v>
      </c>
      <c r="B263" s="40">
        <f t="shared" si="45"/>
        <v>32.933286051621081</v>
      </c>
      <c r="C263" s="41">
        <f t="shared" si="40"/>
        <v>0.49289226185293716</v>
      </c>
      <c r="D263" s="41">
        <f t="shared" si="41"/>
        <v>0.98069361229543572</v>
      </c>
      <c r="E263" s="39">
        <f>IF(_xlfn.NORM.INV(R263,C263,'Regressão Grupo 2'!$B$7)&lt;=0,0,IF(_xlfn.NORM.INV(R263,C263,'Regressão Grupo 2'!$B$7)&gt;100%,100%,_xlfn.NORM.INV(R263,C263,'Regressão Grupo 2'!$B$7)))</f>
        <v>0.63408745844005499</v>
      </c>
      <c r="F263" s="39">
        <f>IF(_xlfn.NORM.INV(S263,D263,'Regressão Grupo 2'!$B$7)&lt;=0,0,IF(_xlfn.NORM.INV(S263,D263,'Regressão Grupo 2'!$B$7)&gt;100%,100%,_xlfn.NORM.INV(S263,D263,'Regressão Grupo 2'!$B$7)))</f>
        <v>0.93684921580192426</v>
      </c>
      <c r="G263" s="41">
        <v>2.2002551202463951E-2</v>
      </c>
      <c r="H263" s="41">
        <v>2.1903992441193149E-2</v>
      </c>
      <c r="I263" s="40">
        <f t="shared" si="42"/>
        <v>278.90977237724979</v>
      </c>
      <c r="J263" s="40">
        <f t="shared" si="42"/>
        <v>0</v>
      </c>
      <c r="K263" s="36">
        <v>0.31050307318127113</v>
      </c>
      <c r="L263" s="42">
        <f t="shared" ref="L263:M278" si="46">L262</f>
        <v>19991.322604477216</v>
      </c>
      <c r="M263" s="42">
        <f t="shared" si="46"/>
        <v>0</v>
      </c>
      <c r="N263" s="42">
        <f t="shared" si="43"/>
        <v>6207.367105648389</v>
      </c>
      <c r="O263" s="36">
        <v>6.7726798322408674</v>
      </c>
      <c r="P263" s="42">
        <f t="shared" si="44"/>
        <v>9817.9508619069511</v>
      </c>
      <c r="Q263" s="42"/>
      <c r="R263">
        <v>0.84640034180730617</v>
      </c>
      <c r="S263">
        <v>0.37559129612109743</v>
      </c>
    </row>
    <row r="264" spans="1:19" x14ac:dyDescent="0.25">
      <c r="A264" s="40">
        <f t="shared" si="45"/>
        <v>64.229676878151835</v>
      </c>
      <c r="B264" s="40">
        <f t="shared" si="45"/>
        <v>32.933286051621081</v>
      </c>
      <c r="C264" s="41">
        <f t="shared" si="40"/>
        <v>0.49289226185293716</v>
      </c>
      <c r="D264" s="41">
        <f t="shared" si="41"/>
        <v>0.98069361229543572</v>
      </c>
      <c r="E264" s="39">
        <f>IF(_xlfn.NORM.INV(R264,C264,'Regressão Grupo 2'!$B$7)&lt;=0,0,IF(_xlfn.NORM.INV(R264,C264,'Regressão Grupo 2'!$B$7)&gt;100%,100%,_xlfn.NORM.INV(R264,C264,'Regressão Grupo 2'!$B$7)))</f>
        <v>0.63736975161218234</v>
      </c>
      <c r="F264" s="39">
        <f>IF(_xlfn.NORM.INV(S264,D264,'Regressão Grupo 2'!$B$7)&lt;=0,0,IF(_xlfn.NORM.INV(S264,D264,'Regressão Grupo 2'!$B$7)&gt;100%,100%,_xlfn.NORM.INV(S264,D264,'Regressão Grupo 2'!$B$7)))</f>
        <v>0.83054421336565332</v>
      </c>
      <c r="G264" s="41">
        <v>2.093338336391555E-2</v>
      </c>
      <c r="H264" s="41">
        <v>1.5249878257515666E-2</v>
      </c>
      <c r="I264" s="40">
        <f t="shared" si="42"/>
        <v>266.73033064047729</v>
      </c>
      <c r="J264" s="40">
        <f t="shared" si="42"/>
        <v>0</v>
      </c>
      <c r="K264" s="36">
        <v>0.3913021230096041</v>
      </c>
      <c r="L264" s="42">
        <f t="shared" si="46"/>
        <v>19991.322604477216</v>
      </c>
      <c r="M264" s="42">
        <f t="shared" si="46"/>
        <v>0</v>
      </c>
      <c r="N264" s="42">
        <f t="shared" si="43"/>
        <v>7822.6469769018231</v>
      </c>
      <c r="O264" s="36">
        <v>7.715466861194594</v>
      </c>
      <c r="P264" s="42">
        <f t="shared" si="44"/>
        <v>7251.4069468065545</v>
      </c>
      <c r="Q264" s="42"/>
      <c r="R264">
        <v>0.85195471053193761</v>
      </c>
      <c r="S264">
        <v>0.13876766258735923</v>
      </c>
    </row>
    <row r="265" spans="1:19" x14ac:dyDescent="0.25">
      <c r="A265" s="40">
        <f t="shared" si="45"/>
        <v>64.229676878151835</v>
      </c>
      <c r="B265" s="40">
        <f t="shared" si="45"/>
        <v>32.933286051621081</v>
      </c>
      <c r="C265" s="41">
        <f t="shared" si="40"/>
        <v>0.49289226185293716</v>
      </c>
      <c r="D265" s="41">
        <f t="shared" si="41"/>
        <v>0.98069361229543572</v>
      </c>
      <c r="E265" s="39">
        <f>IF(_xlfn.NORM.INV(R265,C265,'Regressão Grupo 2'!$B$7)&lt;=0,0,IF(_xlfn.NORM.INV(R265,C265,'Regressão Grupo 2'!$B$7)&gt;100%,100%,_xlfn.NORM.INV(R265,C265,'Regressão Grupo 2'!$B$7)))</f>
        <v>0.67615164927560123</v>
      </c>
      <c r="F265" s="39">
        <f>IF(_xlfn.NORM.INV(S265,D265,'Regressão Grupo 2'!$B$7)&lt;=0,0,IF(_xlfn.NORM.INV(S265,D265,'Regressão Grupo 2'!$B$7)&gt;100%,100%,_xlfn.NORM.INV(S265,D265,'Regressão Grupo 2'!$B$7)))</f>
        <v>1</v>
      </c>
      <c r="G265" s="41">
        <v>1.6559815099209143E-2</v>
      </c>
      <c r="H265" s="41">
        <v>1.0546203591910521E-2</v>
      </c>
      <c r="I265" s="40">
        <f t="shared" si="42"/>
        <v>223.84176548897068</v>
      </c>
      <c r="J265" s="40">
        <f t="shared" si="42"/>
        <v>0</v>
      </c>
      <c r="K265" s="36">
        <v>0.36624576325754155</v>
      </c>
      <c r="L265" s="42">
        <f t="shared" si="46"/>
        <v>19991.322604477216</v>
      </c>
      <c r="M265" s="42">
        <f t="shared" si="46"/>
        <v>0</v>
      </c>
      <c r="N265" s="42">
        <f t="shared" si="43"/>
        <v>7321.7372058045012</v>
      </c>
      <c r="O265" s="36">
        <v>7.1807452771075635</v>
      </c>
      <c r="P265" s="42">
        <f t="shared" si="44"/>
        <v>5448.1963630327782</v>
      </c>
      <c r="Q265" s="42"/>
      <c r="R265">
        <v>0.90746787926877648</v>
      </c>
      <c r="S265">
        <v>0.88329721976378672</v>
      </c>
    </row>
    <row r="266" spans="1:19" x14ac:dyDescent="0.25">
      <c r="A266" s="40">
        <f t="shared" si="45"/>
        <v>64.229676878151835</v>
      </c>
      <c r="B266" s="40">
        <f t="shared" si="45"/>
        <v>32.933286051621081</v>
      </c>
      <c r="C266" s="41">
        <f t="shared" si="40"/>
        <v>0.49289226185293716</v>
      </c>
      <c r="D266" s="41">
        <f t="shared" si="41"/>
        <v>0.98069361229543572</v>
      </c>
      <c r="E266" s="39">
        <f>IF(_xlfn.NORM.INV(R266,C266,'Regressão Grupo 2'!$B$7)&lt;=0,0,IF(_xlfn.NORM.INV(R266,C266,'Regressão Grupo 2'!$B$7)&gt;100%,100%,_xlfn.NORM.INV(R266,C266,'Regressão Grupo 2'!$B$7)))</f>
        <v>0.31722048957198767</v>
      </c>
      <c r="F266" s="39">
        <f>IF(_xlfn.NORM.INV(S266,D266,'Regressão Grupo 2'!$B$7)&lt;=0,0,IF(_xlfn.NORM.INV(S266,D266,'Regressão Grupo 2'!$B$7)&gt;100%,100%,_xlfn.NORM.INV(S266,D266,'Regressão Grupo 2'!$B$7)))</f>
        <v>0.99186009404528863</v>
      </c>
      <c r="G266" s="41">
        <v>2.2003186219640907E-2</v>
      </c>
      <c r="H266" s="41">
        <v>1.4884518503045533E-2</v>
      </c>
      <c r="I266" s="40">
        <f t="shared" si="42"/>
        <v>139.53666307579115</v>
      </c>
      <c r="J266" s="40">
        <f t="shared" si="42"/>
        <v>0</v>
      </c>
      <c r="K266" s="36">
        <v>0.25662168925836093</v>
      </c>
      <c r="L266" s="42">
        <f t="shared" si="46"/>
        <v>19991.322604477216</v>
      </c>
      <c r="M266" s="42">
        <f t="shared" si="46"/>
        <v>0</v>
      </c>
      <c r="N266" s="42">
        <f t="shared" si="43"/>
        <v>5130.2069772697987</v>
      </c>
      <c r="O266" s="36">
        <v>3.1196421353356727</v>
      </c>
      <c r="P266" s="42">
        <f t="shared" si="44"/>
        <v>3396.8833511884322</v>
      </c>
      <c r="Q266" s="42"/>
      <c r="R266">
        <v>0.10196234015930662</v>
      </c>
      <c r="S266">
        <v>0.53218176824243901</v>
      </c>
    </row>
    <row r="267" spans="1:19" x14ac:dyDescent="0.25">
      <c r="A267" s="40">
        <f t="shared" si="45"/>
        <v>64.229676878151835</v>
      </c>
      <c r="B267" s="40">
        <f t="shared" si="45"/>
        <v>32.933286051621081</v>
      </c>
      <c r="C267" s="41">
        <f t="shared" si="40"/>
        <v>0.49289226185293716</v>
      </c>
      <c r="D267" s="41">
        <f t="shared" si="41"/>
        <v>0.98069361229543572</v>
      </c>
      <c r="E267" s="39">
        <f>IF(_xlfn.NORM.INV(R267,C267,'Regressão Grupo 2'!$B$7)&lt;=0,0,IF(_xlfn.NORM.INV(R267,C267,'Regressão Grupo 2'!$B$7)&gt;100%,100%,_xlfn.NORM.INV(R267,C267,'Regressão Grupo 2'!$B$7)))</f>
        <v>0.67668762860814824</v>
      </c>
      <c r="F267" s="39">
        <f>IF(_xlfn.NORM.INV(S267,D267,'Regressão Grupo 2'!$B$7)&lt;=0,0,IF(_xlfn.NORM.INV(S267,D267,'Regressão Grupo 2'!$B$7)&gt;100%,100%,_xlfn.NORM.INV(S267,D267,'Regressão Grupo 2'!$B$7)))</f>
        <v>0.98242313801606074</v>
      </c>
      <c r="G267" s="41">
        <v>1.5760526363833988E-2</v>
      </c>
      <c r="H267" s="41">
        <v>2.5385713123231415E-2</v>
      </c>
      <c r="I267" s="40">
        <f t="shared" si="42"/>
        <v>213.20652019793872</v>
      </c>
      <c r="J267" s="40">
        <f t="shared" si="42"/>
        <v>0</v>
      </c>
      <c r="K267" s="36">
        <v>0.17339326865697749</v>
      </c>
      <c r="L267" s="42">
        <f t="shared" si="46"/>
        <v>19991.322604477216</v>
      </c>
      <c r="M267" s="42">
        <f t="shared" si="46"/>
        <v>0</v>
      </c>
      <c r="N267" s="42">
        <f t="shared" si="43"/>
        <v>3466.3607711664249</v>
      </c>
      <c r="O267" s="36">
        <v>4.9755144151355433</v>
      </c>
      <c r="P267" s="42">
        <f t="shared" si="44"/>
        <v>9167.0130148166008</v>
      </c>
      <c r="Q267" s="42"/>
      <c r="R267">
        <v>0.9081087679677724</v>
      </c>
      <c r="S267">
        <v>0.50498977629932551</v>
      </c>
    </row>
    <row r="268" spans="1:19" x14ac:dyDescent="0.25">
      <c r="A268" s="40">
        <f t="shared" si="45"/>
        <v>64.229676878151835</v>
      </c>
      <c r="B268" s="40">
        <f t="shared" si="45"/>
        <v>32.933286051621081</v>
      </c>
      <c r="C268" s="41">
        <f t="shared" si="40"/>
        <v>0.49289226185293716</v>
      </c>
      <c r="D268" s="41">
        <f t="shared" si="41"/>
        <v>0.98069361229543572</v>
      </c>
      <c r="E268" s="39">
        <f>IF(_xlfn.NORM.INV(R268,C268,'Regressão Grupo 2'!$B$7)&lt;=0,0,IF(_xlfn.NORM.INV(R268,C268,'Regressão Grupo 2'!$B$7)&gt;100%,100%,_xlfn.NORM.INV(R268,C268,'Regressão Grupo 2'!$B$7)))</f>
        <v>0.64734878221834902</v>
      </c>
      <c r="F268" s="39">
        <f>IF(_xlfn.NORM.INV(S268,D268,'Regressão Grupo 2'!$B$7)&lt;=0,0,IF(_xlfn.NORM.INV(S268,D268,'Regressão Grupo 2'!$B$7)&gt;100%,100%,_xlfn.NORM.INV(S268,D268,'Regressão Grupo 2'!$B$7)))</f>
        <v>1</v>
      </c>
      <c r="G268" s="41">
        <v>1.8641319012572672E-2</v>
      </c>
      <c r="H268" s="41">
        <v>1.663711403356773E-2</v>
      </c>
      <c r="I268" s="40">
        <f t="shared" si="42"/>
        <v>241.24398932680961</v>
      </c>
      <c r="J268" s="40">
        <f t="shared" si="42"/>
        <v>0</v>
      </c>
      <c r="K268" s="36">
        <v>0.32520880213100534</v>
      </c>
      <c r="L268" s="42">
        <f t="shared" si="46"/>
        <v>19991.322604477216</v>
      </c>
      <c r="M268" s="42">
        <f t="shared" si="46"/>
        <v>0</v>
      </c>
      <c r="N268" s="42">
        <f t="shared" si="43"/>
        <v>6501.3540772165252</v>
      </c>
      <c r="O268" s="36">
        <v>4.6222727436370805</v>
      </c>
      <c r="P268" s="42">
        <f t="shared" si="44"/>
        <v>7878.5738896091789</v>
      </c>
      <c r="Q268" s="42"/>
      <c r="R268">
        <v>0.86800744651631212</v>
      </c>
      <c r="S268">
        <v>0.8350779747917112</v>
      </c>
    </row>
    <row r="269" spans="1:19" x14ac:dyDescent="0.25">
      <c r="A269" s="40">
        <f t="shared" si="45"/>
        <v>64.229676878151835</v>
      </c>
      <c r="B269" s="40">
        <f t="shared" si="45"/>
        <v>32.933286051621081</v>
      </c>
      <c r="C269" s="41">
        <f t="shared" si="40"/>
        <v>0.49289226185293716</v>
      </c>
      <c r="D269" s="41">
        <f t="shared" si="41"/>
        <v>0.98069361229543572</v>
      </c>
      <c r="E269" s="39">
        <f>IF(_xlfn.NORM.INV(R269,C269,'Regressão Grupo 2'!$B$7)&lt;=0,0,IF(_xlfn.NORM.INV(R269,C269,'Regressão Grupo 2'!$B$7)&gt;100%,100%,_xlfn.NORM.INV(R269,C269,'Regressão Grupo 2'!$B$7)))</f>
        <v>0.57109936441853348</v>
      </c>
      <c r="F269" s="39">
        <f>IF(_xlfn.NORM.INV(S269,D269,'Regressão Grupo 2'!$B$7)&lt;=0,0,IF(_xlfn.NORM.INV(S269,D269,'Regressão Grupo 2'!$B$7)&gt;100%,100%,_xlfn.NORM.INV(S269,D269,'Regressão Grupo 2'!$B$7)))</f>
        <v>0.94200325539031249</v>
      </c>
      <c r="G269" s="41">
        <v>1.7562275162204519E-2</v>
      </c>
      <c r="H269" s="41">
        <v>1.5933094537746492E-2</v>
      </c>
      <c r="I269" s="40">
        <f t="shared" si="42"/>
        <v>200.50905107965704</v>
      </c>
      <c r="J269" s="40">
        <f t="shared" si="42"/>
        <v>0</v>
      </c>
      <c r="K269" s="36">
        <v>0.36030793131335237</v>
      </c>
      <c r="L269" s="42">
        <f t="shared" si="46"/>
        <v>19991.322604477216</v>
      </c>
      <c r="M269" s="42">
        <f t="shared" si="46"/>
        <v>0</v>
      </c>
      <c r="N269" s="42">
        <f t="shared" si="43"/>
        <v>7203.0320918370453</v>
      </c>
      <c r="O269" s="36">
        <v>2.3703093419966459</v>
      </c>
      <c r="P269" s="42">
        <f t="shared" si="44"/>
        <v>5200.3309932251741</v>
      </c>
      <c r="Q269" s="42"/>
      <c r="R269">
        <v>0.71416364024781032</v>
      </c>
      <c r="S269">
        <v>0.38981292153691216</v>
      </c>
    </row>
    <row r="270" spans="1:19" x14ac:dyDescent="0.25">
      <c r="A270" s="40">
        <f t="shared" si="45"/>
        <v>64.229676878151835</v>
      </c>
      <c r="B270" s="40">
        <f t="shared" si="45"/>
        <v>32.933286051621081</v>
      </c>
      <c r="C270" s="41">
        <f t="shared" si="40"/>
        <v>0.49289226185293716</v>
      </c>
      <c r="D270" s="41">
        <f t="shared" si="41"/>
        <v>0.98069361229543572</v>
      </c>
      <c r="E270" s="39">
        <f>IF(_xlfn.NORM.INV(R270,C270,'Regressão Grupo 2'!$B$7)&lt;=0,0,IF(_xlfn.NORM.INV(R270,C270,'Regressão Grupo 2'!$B$7)&gt;100%,100%,_xlfn.NORM.INV(R270,C270,'Regressão Grupo 2'!$B$7)))</f>
        <v>0.7394882393059814</v>
      </c>
      <c r="F270" s="39">
        <f>IF(_xlfn.NORM.INV(S270,D270,'Regressão Grupo 2'!$B$7)&lt;=0,0,IF(_xlfn.NORM.INV(S270,D270,'Regressão Grupo 2'!$B$7)&gt;100%,100%,_xlfn.NORM.INV(S270,D270,'Regressão Grupo 2'!$B$7)))</f>
        <v>0.91930336953659453</v>
      </c>
      <c r="G270" s="41">
        <v>2.1939352026451038E-2</v>
      </c>
      <c r="H270" s="41">
        <v>1.111474428116954E-2</v>
      </c>
      <c r="I270" s="40">
        <f t="shared" si="42"/>
        <v>324.33707489632951</v>
      </c>
      <c r="J270" s="40">
        <f t="shared" si="42"/>
        <v>0</v>
      </c>
      <c r="K270" s="36">
        <v>0.2506211770233373</v>
      </c>
      <c r="L270" s="42">
        <f t="shared" si="46"/>
        <v>19991.322604477216</v>
      </c>
      <c r="M270" s="42">
        <f t="shared" si="46"/>
        <v>0</v>
      </c>
      <c r="N270" s="42">
        <f t="shared" si="43"/>
        <v>5010.248801387329</v>
      </c>
      <c r="O270" s="36">
        <v>6.9666258176265972</v>
      </c>
      <c r="P270" s="42">
        <f t="shared" si="44"/>
        <v>13562.281679222586</v>
      </c>
      <c r="Q270" s="42"/>
      <c r="R270">
        <v>0.96273689992980738</v>
      </c>
      <c r="S270">
        <v>0.32853175450910976</v>
      </c>
    </row>
    <row r="271" spans="1:19" x14ac:dyDescent="0.25">
      <c r="A271" s="40">
        <f t="shared" si="45"/>
        <v>64.229676878151835</v>
      </c>
      <c r="B271" s="40">
        <f t="shared" si="45"/>
        <v>32.933286051621081</v>
      </c>
      <c r="C271" s="41">
        <f t="shared" si="40"/>
        <v>0.49289226185293716</v>
      </c>
      <c r="D271" s="41">
        <f t="shared" si="41"/>
        <v>0.98069361229543572</v>
      </c>
      <c r="E271" s="39">
        <f>IF(_xlfn.NORM.INV(R271,C271,'Regressão Grupo 2'!$B$7)&lt;=0,0,IF(_xlfn.NORM.INV(R271,C271,'Regressão Grupo 2'!$B$7)&gt;100%,100%,_xlfn.NORM.INV(R271,C271,'Regressão Grupo 2'!$B$7)))</f>
        <v>0.62201203095641866</v>
      </c>
      <c r="F271" s="39">
        <f>IF(_xlfn.NORM.INV(S271,D271,'Regressão Grupo 2'!$B$7)&lt;=0,0,IF(_xlfn.NORM.INV(S271,D271,'Regressão Grupo 2'!$B$7)&gt;100%,100%,_xlfn.NORM.INV(S271,D271,'Regressão Grupo 2'!$B$7)))</f>
        <v>0.98533287551586179</v>
      </c>
      <c r="G271" s="41">
        <v>2.8475823214984968E-2</v>
      </c>
      <c r="H271" s="41">
        <v>1.3245539958225283E-2</v>
      </c>
      <c r="I271" s="40">
        <f t="shared" si="42"/>
        <v>354.09239594927055</v>
      </c>
      <c r="J271" s="40">
        <f t="shared" si="42"/>
        <v>0</v>
      </c>
      <c r="K271" s="36">
        <v>0.32171001378835207</v>
      </c>
      <c r="L271" s="42">
        <f t="shared" si="46"/>
        <v>19991.322604477216</v>
      </c>
      <c r="M271" s="42">
        <f t="shared" si="46"/>
        <v>0</v>
      </c>
      <c r="N271" s="42">
        <f t="shared" si="43"/>
        <v>6431.4086707337592</v>
      </c>
      <c r="O271" s="36">
        <v>9.6427501320901357</v>
      </c>
      <c r="P271" s="42">
        <f t="shared" si="44"/>
        <v>12897.407008286547</v>
      </c>
      <c r="Q271" s="42"/>
      <c r="R271">
        <v>0.8247932370983001</v>
      </c>
      <c r="S271">
        <v>0.51338236640522472</v>
      </c>
    </row>
    <row r="272" spans="1:19" x14ac:dyDescent="0.25">
      <c r="A272" s="40">
        <f t="shared" si="45"/>
        <v>64.229676878151835</v>
      </c>
      <c r="B272" s="40">
        <f t="shared" si="45"/>
        <v>32.933286051621081</v>
      </c>
      <c r="C272" s="41">
        <f t="shared" si="40"/>
        <v>0.49289226185293716</v>
      </c>
      <c r="D272" s="41">
        <f t="shared" si="41"/>
        <v>0.98069361229543572</v>
      </c>
      <c r="E272" s="39">
        <f>IF(_xlfn.NORM.INV(R272,C272,'Regressão Grupo 2'!$B$7)&lt;=0,0,IF(_xlfn.NORM.INV(R272,C272,'Regressão Grupo 2'!$B$7)&gt;100%,100%,_xlfn.NORM.INV(R272,C272,'Regressão Grupo 2'!$B$7)))</f>
        <v>0.50680974802656364</v>
      </c>
      <c r="F272" s="39">
        <f>IF(_xlfn.NORM.INV(S272,D272,'Regressão Grupo 2'!$B$7)&lt;=0,0,IF(_xlfn.NORM.INV(S272,D272,'Regressão Grupo 2'!$B$7)&gt;100%,100%,_xlfn.NORM.INV(S272,D272,'Regressão Grupo 2'!$B$7)))</f>
        <v>1</v>
      </c>
      <c r="G272" s="41">
        <v>1.6283446517064211E-2</v>
      </c>
      <c r="H272" s="41">
        <v>1.5638779858144547E-2</v>
      </c>
      <c r="I272" s="40">
        <f t="shared" si="42"/>
        <v>164.98057737025957</v>
      </c>
      <c r="J272" s="40">
        <f t="shared" si="42"/>
        <v>0</v>
      </c>
      <c r="K272" s="36">
        <v>0.45894550530418132</v>
      </c>
      <c r="L272" s="42">
        <f t="shared" si="46"/>
        <v>19991.322604477216</v>
      </c>
      <c r="M272" s="42">
        <f t="shared" si="46"/>
        <v>0</v>
      </c>
      <c r="N272" s="42">
        <f t="shared" si="43"/>
        <v>9174.9276544106979</v>
      </c>
      <c r="O272" s="36">
        <v>5.8274422603527727</v>
      </c>
      <c r="P272" s="42">
        <f t="shared" si="44"/>
        <v>460.30673254715111</v>
      </c>
      <c r="Q272" s="42"/>
      <c r="R272">
        <v>0.54008606219672228</v>
      </c>
      <c r="S272">
        <v>0.80895413068025757</v>
      </c>
    </row>
    <row r="273" spans="1:19" x14ac:dyDescent="0.25">
      <c r="A273" s="40">
        <f t="shared" si="45"/>
        <v>64.229676878151835</v>
      </c>
      <c r="B273" s="40">
        <f t="shared" si="45"/>
        <v>32.933286051621081</v>
      </c>
      <c r="C273" s="41">
        <f t="shared" si="40"/>
        <v>0.49289226185293716</v>
      </c>
      <c r="D273" s="41">
        <f t="shared" si="41"/>
        <v>0.98069361229543572</v>
      </c>
      <c r="E273" s="39">
        <f>IF(_xlfn.NORM.INV(R273,C273,'Regressão Grupo 2'!$B$7)&lt;=0,0,IF(_xlfn.NORM.INV(R273,C273,'Regressão Grupo 2'!$B$7)&gt;100%,100%,_xlfn.NORM.INV(R273,C273,'Regressão Grupo 2'!$B$7)))</f>
        <v>0.51935476464438934</v>
      </c>
      <c r="F273" s="39">
        <f>IF(_xlfn.NORM.INV(S273,D273,'Regressão Grupo 2'!$B$7)&lt;=0,0,IF(_xlfn.NORM.INV(S273,D273,'Regressão Grupo 2'!$B$7)&gt;100%,100%,_xlfn.NORM.INV(S273,D273,'Regressão Grupo 2'!$B$7)))</f>
        <v>0.86069979497508653</v>
      </c>
      <c r="G273" s="41">
        <v>1.2725340557974736E-2</v>
      </c>
      <c r="H273" s="41">
        <v>1.8646054151140318E-2</v>
      </c>
      <c r="I273" s="40">
        <f t="shared" si="42"/>
        <v>132.12197639598105</v>
      </c>
      <c r="J273" s="40">
        <f t="shared" si="42"/>
        <v>0</v>
      </c>
      <c r="K273" s="36">
        <v>0.36660118717453055</v>
      </c>
      <c r="L273" s="42">
        <f t="shared" si="46"/>
        <v>19991.322604477216</v>
      </c>
      <c r="M273" s="42">
        <f t="shared" si="46"/>
        <v>0</v>
      </c>
      <c r="N273" s="42">
        <f t="shared" si="43"/>
        <v>7328.8425999903757</v>
      </c>
      <c r="O273" s="36">
        <v>3.5115617182589425</v>
      </c>
      <c r="P273" s="42">
        <f t="shared" si="44"/>
        <v>693.35477797345175</v>
      </c>
      <c r="Q273" s="42"/>
      <c r="R273">
        <v>0.57588427381206697</v>
      </c>
      <c r="S273">
        <v>0.19275490585039826</v>
      </c>
    </row>
    <row r="274" spans="1:19" x14ac:dyDescent="0.25">
      <c r="A274" s="40">
        <f t="shared" si="45"/>
        <v>64.229676878151835</v>
      </c>
      <c r="B274" s="40">
        <f t="shared" si="45"/>
        <v>32.933286051621081</v>
      </c>
      <c r="C274" s="41">
        <f t="shared" si="40"/>
        <v>0.49289226185293716</v>
      </c>
      <c r="D274" s="41">
        <f t="shared" si="41"/>
        <v>0.98069361229543572</v>
      </c>
      <c r="E274" s="39">
        <f>IF(_xlfn.NORM.INV(R274,C274,'Regressão Grupo 2'!$B$7)&lt;=0,0,IF(_xlfn.NORM.INV(R274,C274,'Regressão Grupo 2'!$B$7)&gt;100%,100%,_xlfn.NORM.INV(R274,C274,'Regressão Grupo 2'!$B$7)))</f>
        <v>0.36341216898979922</v>
      </c>
      <c r="F274" s="39">
        <f>IF(_xlfn.NORM.INV(S274,D274,'Regressão Grupo 2'!$B$7)&lt;=0,0,IF(_xlfn.NORM.INV(S274,D274,'Regressão Grupo 2'!$B$7)&gt;100%,100%,_xlfn.NORM.INV(S274,D274,'Regressão Grupo 2'!$B$7)))</f>
        <v>0.9721889402285504</v>
      </c>
      <c r="G274" s="41">
        <v>1.6598321575890067E-2</v>
      </c>
      <c r="H274" s="41">
        <v>8.8161975327151129E-3</v>
      </c>
      <c r="I274" s="40">
        <f t="shared" si="42"/>
        <v>120.58829858182307</v>
      </c>
      <c r="J274" s="40">
        <f t="shared" si="42"/>
        <v>0</v>
      </c>
      <c r="K274" s="36">
        <v>0.1835499301035764</v>
      </c>
      <c r="L274" s="42">
        <f t="shared" si="46"/>
        <v>19991.322604477216</v>
      </c>
      <c r="M274" s="42">
        <f t="shared" si="46"/>
        <v>0</v>
      </c>
      <c r="N274" s="42">
        <f t="shared" si="43"/>
        <v>3669.40586672984</v>
      </c>
      <c r="O274" s="36">
        <v>2.9418481130122691</v>
      </c>
      <c r="P274" s="42">
        <f t="shared" si="44"/>
        <v>3721.1891278324551</v>
      </c>
      <c r="Q274" s="42"/>
      <c r="R274">
        <v>0.17453535569322795</v>
      </c>
      <c r="S274">
        <v>0.47547837763603623</v>
      </c>
    </row>
    <row r="275" spans="1:19" x14ac:dyDescent="0.25">
      <c r="A275" s="40">
        <f t="shared" si="45"/>
        <v>64.229676878151835</v>
      </c>
      <c r="B275" s="40">
        <f t="shared" si="45"/>
        <v>32.933286051621081</v>
      </c>
      <c r="C275" s="41">
        <f t="shared" si="40"/>
        <v>0.49289226185293716</v>
      </c>
      <c r="D275" s="41">
        <f t="shared" si="41"/>
        <v>0.98069361229543572</v>
      </c>
      <c r="E275" s="39">
        <f>IF(_xlfn.NORM.INV(R275,C275,'Regressão Grupo 2'!$B$7)&lt;=0,0,IF(_xlfn.NORM.INV(R275,C275,'Regressão Grupo 2'!$B$7)&gt;100%,100%,_xlfn.NORM.INV(R275,C275,'Regressão Grupo 2'!$B$7)))</f>
        <v>0.31795294985501743</v>
      </c>
      <c r="F275" s="39">
        <f>IF(_xlfn.NORM.INV(S275,D275,'Regressão Grupo 2'!$B$7)&lt;=0,0,IF(_xlfn.NORM.INV(S275,D275,'Regressão Grupo 2'!$B$7)&gt;100%,100%,_xlfn.NORM.INV(S275,D275,'Regressão Grupo 2'!$B$7)))</f>
        <v>0.91708913762359479</v>
      </c>
      <c r="G275" s="41">
        <v>1.0527194841283638E-2</v>
      </c>
      <c r="H275" s="41">
        <v>2.3367265789372704E-2</v>
      </c>
      <c r="I275" s="40">
        <f t="shared" si="42"/>
        <v>66.914008502243675</v>
      </c>
      <c r="J275" s="40">
        <f t="shared" si="42"/>
        <v>0</v>
      </c>
      <c r="K275" s="36">
        <v>0.24406397158849633</v>
      </c>
      <c r="L275" s="42">
        <f t="shared" si="46"/>
        <v>19991.322604477216</v>
      </c>
      <c r="M275" s="42">
        <f t="shared" si="46"/>
        <v>0</v>
      </c>
      <c r="N275" s="42">
        <f t="shared" si="43"/>
        <v>4879.1615921555913</v>
      </c>
      <c r="O275" s="36">
        <v>3.1918419213348095</v>
      </c>
      <c r="P275" s="42">
        <f t="shared" si="44"/>
        <v>-794.87538489659073</v>
      </c>
      <c r="Q275" s="42"/>
      <c r="R275">
        <v>0.10290841395306254</v>
      </c>
      <c r="S275">
        <v>0.32276375621814629</v>
      </c>
    </row>
    <row r="276" spans="1:19" x14ac:dyDescent="0.25">
      <c r="A276" s="40">
        <f t="shared" si="45"/>
        <v>64.229676878151835</v>
      </c>
      <c r="B276" s="40">
        <f t="shared" si="45"/>
        <v>32.933286051621081</v>
      </c>
      <c r="C276" s="41">
        <f t="shared" si="40"/>
        <v>0.49289226185293716</v>
      </c>
      <c r="D276" s="41">
        <f t="shared" si="41"/>
        <v>0.98069361229543572</v>
      </c>
      <c r="E276" s="39">
        <f>IF(_xlfn.NORM.INV(R276,C276,'Regressão Grupo 2'!$B$7)&lt;=0,0,IF(_xlfn.NORM.INV(R276,C276,'Regressão Grupo 2'!$B$7)&gt;100%,100%,_xlfn.NORM.INV(R276,C276,'Regressão Grupo 2'!$B$7)))</f>
        <v>0.59876819791622682</v>
      </c>
      <c r="F276" s="39">
        <f>IF(_xlfn.NORM.INV(S276,D276,'Regressão Grupo 2'!$B$7)&lt;=0,0,IF(_xlfn.NORM.INV(S276,D276,'Regressão Grupo 2'!$B$7)&gt;100%,100%,_xlfn.NORM.INV(S276,D276,'Regressão Grupo 2'!$B$7)))</f>
        <v>0.9096090731852442</v>
      </c>
      <c r="G276" s="41">
        <v>1.6192652305816117E-2</v>
      </c>
      <c r="H276" s="41">
        <v>2.4820289232125047E-2</v>
      </c>
      <c r="I276" s="40">
        <f t="shared" si="42"/>
        <v>193.82877186414942</v>
      </c>
      <c r="J276" s="40">
        <f t="shared" si="42"/>
        <v>0</v>
      </c>
      <c r="K276" s="36">
        <v>0.24914614523837125</v>
      </c>
      <c r="L276" s="42">
        <f t="shared" si="46"/>
        <v>19991.322604477216</v>
      </c>
      <c r="M276" s="42">
        <f t="shared" si="46"/>
        <v>0</v>
      </c>
      <c r="N276" s="42">
        <f t="shared" si="43"/>
        <v>4980.7609651222147</v>
      </c>
      <c r="O276" s="36">
        <v>6.3413287703876353</v>
      </c>
      <c r="P276" s="42">
        <f t="shared" si="44"/>
        <v>6239.6664538500781</v>
      </c>
      <c r="Q276" s="42"/>
      <c r="R276">
        <v>0.7780693990905484</v>
      </c>
      <c r="S276">
        <v>0.30359813226722004</v>
      </c>
    </row>
    <row r="277" spans="1:19" x14ac:dyDescent="0.25">
      <c r="A277" s="40">
        <f t="shared" si="45"/>
        <v>64.229676878151835</v>
      </c>
      <c r="B277" s="40">
        <f t="shared" si="45"/>
        <v>32.933286051621081</v>
      </c>
      <c r="C277" s="41">
        <f t="shared" si="40"/>
        <v>0.49289226185293716</v>
      </c>
      <c r="D277" s="41">
        <f t="shared" si="41"/>
        <v>0.98069361229543572</v>
      </c>
      <c r="E277" s="39">
        <f>IF(_xlfn.NORM.INV(R277,C277,'Regressão Grupo 2'!$B$7)&lt;=0,0,IF(_xlfn.NORM.INV(R277,C277,'Regressão Grupo 2'!$B$7)&gt;100%,100%,_xlfn.NORM.INV(R277,C277,'Regressão Grupo 2'!$B$7)))</f>
        <v>0.63335895789997632</v>
      </c>
      <c r="F277" s="39">
        <f>IF(_xlfn.NORM.INV(S277,D277,'Regressão Grupo 2'!$B$7)&lt;=0,0,IF(_xlfn.NORM.INV(S277,D277,'Regressão Grupo 2'!$B$7)&gt;100%,100%,_xlfn.NORM.INV(S277,D277,'Regressão Grupo 2'!$B$7)))</f>
        <v>1</v>
      </c>
      <c r="G277" s="41">
        <v>1.5650327373164019E-2</v>
      </c>
      <c r="H277" s="41">
        <v>2.0710518835982773E-2</v>
      </c>
      <c r="I277" s="40">
        <f t="shared" si="42"/>
        <v>198.15948798619596</v>
      </c>
      <c r="J277" s="40">
        <f t="shared" si="42"/>
        <v>0</v>
      </c>
      <c r="K277" s="36">
        <v>0.37536255964197007</v>
      </c>
      <c r="L277" s="42">
        <f t="shared" si="46"/>
        <v>19991.322604477216</v>
      </c>
      <c r="M277" s="42">
        <f t="shared" si="46"/>
        <v>0</v>
      </c>
      <c r="N277" s="42">
        <f t="shared" si="43"/>
        <v>7503.9940234449432</v>
      </c>
      <c r="O277" s="36">
        <v>5.5165144834698401</v>
      </c>
      <c r="P277" s="42">
        <f t="shared" si="44"/>
        <v>4130.5761747356164</v>
      </c>
      <c r="Q277" s="42"/>
      <c r="R277">
        <v>0.84514908291879021</v>
      </c>
      <c r="S277">
        <v>0.98861659596545304</v>
      </c>
    </row>
    <row r="278" spans="1:19" x14ac:dyDescent="0.25">
      <c r="A278" s="40">
        <f t="shared" si="45"/>
        <v>64.229676878151835</v>
      </c>
      <c r="B278" s="40">
        <f t="shared" si="45"/>
        <v>32.933286051621081</v>
      </c>
      <c r="C278" s="41">
        <f t="shared" si="40"/>
        <v>0.49289226185293716</v>
      </c>
      <c r="D278" s="41">
        <f t="shared" si="41"/>
        <v>0.98069361229543572</v>
      </c>
      <c r="E278" s="39">
        <f>IF(_xlfn.NORM.INV(R278,C278,'Regressão Grupo 2'!$B$7)&lt;=0,0,IF(_xlfn.NORM.INV(R278,C278,'Regressão Grupo 2'!$B$7)&gt;100%,100%,_xlfn.NORM.INV(R278,C278,'Regressão Grupo 2'!$B$7)))</f>
        <v>0.45297936093513863</v>
      </c>
      <c r="F278" s="39">
        <f>IF(_xlfn.NORM.INV(S278,D278,'Regressão Grupo 2'!$B$7)&lt;=0,0,IF(_xlfn.NORM.INV(S278,D278,'Regressão Grupo 2'!$B$7)&gt;100%,100%,_xlfn.NORM.INV(S278,D278,'Regressão Grupo 2'!$B$7)))</f>
        <v>1</v>
      </c>
      <c r="G278" s="41">
        <v>2.1556652823568841E-2</v>
      </c>
      <c r="H278" s="41">
        <v>1.9321035480353559E-2</v>
      </c>
      <c r="I278" s="40">
        <f t="shared" si="42"/>
        <v>195.2096440710481</v>
      </c>
      <c r="J278" s="40">
        <f t="shared" si="42"/>
        <v>0</v>
      </c>
      <c r="K278" s="36">
        <v>0.21782812364024581</v>
      </c>
      <c r="L278" s="42">
        <f t="shared" si="46"/>
        <v>19991.322604477216</v>
      </c>
      <c r="M278" s="42">
        <f t="shared" si="46"/>
        <v>0</v>
      </c>
      <c r="N278" s="42">
        <f t="shared" si="43"/>
        <v>4354.6722920201037</v>
      </c>
      <c r="O278" s="36">
        <v>4.787280306690425</v>
      </c>
      <c r="P278" s="42">
        <f t="shared" si="44"/>
        <v>7249.0567854249684</v>
      </c>
      <c r="Q278" s="42"/>
      <c r="R278">
        <v>0.38642536698507646</v>
      </c>
      <c r="S278">
        <v>0.81148716696676537</v>
      </c>
    </row>
    <row r="279" spans="1:19" x14ac:dyDescent="0.25">
      <c r="A279" s="40">
        <f t="shared" si="45"/>
        <v>64.229676878151835</v>
      </c>
      <c r="B279" s="40">
        <f t="shared" si="45"/>
        <v>32.933286051621081</v>
      </c>
      <c r="C279" s="41">
        <f t="shared" si="40"/>
        <v>0.49289226185293716</v>
      </c>
      <c r="D279" s="41">
        <f t="shared" si="41"/>
        <v>0.98069361229543572</v>
      </c>
      <c r="E279" s="39">
        <f>IF(_xlfn.NORM.INV(R279,C279,'Regressão Grupo 2'!$B$7)&lt;=0,0,IF(_xlfn.NORM.INV(R279,C279,'Regressão Grupo 2'!$B$7)&gt;100%,100%,_xlfn.NORM.INV(R279,C279,'Regressão Grupo 2'!$B$7)))</f>
        <v>0.64976075301551983</v>
      </c>
      <c r="F279" s="39">
        <f>IF(_xlfn.NORM.INV(S279,D279,'Regressão Grupo 2'!$B$7)&lt;=0,0,IF(_xlfn.NORM.INV(S279,D279,'Regressão Grupo 2'!$B$7)&gt;100%,100%,_xlfn.NORM.INV(S279,D279,'Regressão Grupo 2'!$B$7)))</f>
        <v>1</v>
      </c>
      <c r="G279" s="41">
        <v>1.8208936819497056E-2</v>
      </c>
      <c r="H279" s="41">
        <v>2.5044382499847716E-2</v>
      </c>
      <c r="I279" s="40">
        <f t="shared" si="42"/>
        <v>236.52638379602189</v>
      </c>
      <c r="J279" s="40">
        <f t="shared" si="42"/>
        <v>0</v>
      </c>
      <c r="K279" s="36">
        <v>0.23623192133522172</v>
      </c>
      <c r="L279" s="42">
        <f t="shared" ref="L279:M294" si="47">L278</f>
        <v>19991.322604477216</v>
      </c>
      <c r="M279" s="42">
        <f t="shared" si="47"/>
        <v>0</v>
      </c>
      <c r="N279" s="42">
        <f t="shared" si="43"/>
        <v>4722.5885488879012</v>
      </c>
      <c r="O279" s="36">
        <v>6.6871438795429476</v>
      </c>
      <c r="P279" s="42">
        <f t="shared" si="44"/>
        <v>8887.7386957363178</v>
      </c>
      <c r="Q279" s="42"/>
      <c r="R279">
        <v>0.87170018616290779</v>
      </c>
      <c r="S279">
        <v>0.61210974456007572</v>
      </c>
    </row>
    <row r="280" spans="1:19" x14ac:dyDescent="0.25">
      <c r="A280" s="40">
        <f t="shared" si="45"/>
        <v>64.229676878151835</v>
      </c>
      <c r="B280" s="40">
        <f t="shared" si="45"/>
        <v>32.933286051621081</v>
      </c>
      <c r="C280" s="41">
        <f t="shared" si="40"/>
        <v>0.49289226185293716</v>
      </c>
      <c r="D280" s="41">
        <f t="shared" si="41"/>
        <v>0.98069361229543572</v>
      </c>
      <c r="E280" s="39">
        <f>IF(_xlfn.NORM.INV(R280,C280,'Regressão Grupo 2'!$B$7)&lt;=0,0,IF(_xlfn.NORM.INV(R280,C280,'Regressão Grupo 2'!$B$7)&gt;100%,100%,_xlfn.NORM.INV(R280,C280,'Regressão Grupo 2'!$B$7)))</f>
        <v>0.43806540665866189</v>
      </c>
      <c r="F280" s="39">
        <f>IF(_xlfn.NORM.INV(S280,D280,'Regressão Grupo 2'!$B$7)&lt;=0,0,IF(_xlfn.NORM.INV(S280,D280,'Regressão Grupo 2'!$B$7)&gt;100%,100%,_xlfn.NORM.INV(S280,D280,'Regressão Grupo 2'!$B$7)))</f>
        <v>1</v>
      </c>
      <c r="G280" s="41">
        <v>1.9989646079273223E-2</v>
      </c>
      <c r="H280" s="41">
        <v>1.5516437659057277E-2</v>
      </c>
      <c r="I280" s="40">
        <f t="shared" si="42"/>
        <v>175.05946279563759</v>
      </c>
      <c r="J280" s="40">
        <f t="shared" si="42"/>
        <v>0</v>
      </c>
      <c r="K280" s="36">
        <v>0.30135286846028331</v>
      </c>
      <c r="L280" s="42">
        <f t="shared" si="47"/>
        <v>19991.322604477216</v>
      </c>
      <c r="M280" s="42">
        <f t="shared" si="47"/>
        <v>0</v>
      </c>
      <c r="N280" s="42">
        <f t="shared" si="43"/>
        <v>6024.4424111741109</v>
      </c>
      <c r="O280" s="36">
        <v>4.4759186470327936</v>
      </c>
      <c r="P280" s="42">
        <f t="shared" si="44"/>
        <v>4436.0184047859957</v>
      </c>
      <c r="Q280" s="42"/>
      <c r="R280">
        <v>0.34586626789147618</v>
      </c>
      <c r="S280">
        <v>0.62483596301156652</v>
      </c>
    </row>
    <row r="281" spans="1:19" x14ac:dyDescent="0.25">
      <c r="A281" s="40">
        <f t="shared" si="45"/>
        <v>64.229676878151835</v>
      </c>
      <c r="B281" s="40">
        <f t="shared" si="45"/>
        <v>32.933286051621081</v>
      </c>
      <c r="C281" s="41">
        <f t="shared" si="40"/>
        <v>0.49289226185293716</v>
      </c>
      <c r="D281" s="41">
        <f t="shared" si="41"/>
        <v>0.98069361229543572</v>
      </c>
      <c r="E281" s="39">
        <f>IF(_xlfn.NORM.INV(R281,C281,'Regressão Grupo 2'!$B$7)&lt;=0,0,IF(_xlfn.NORM.INV(R281,C281,'Regressão Grupo 2'!$B$7)&gt;100%,100%,_xlfn.NORM.INV(R281,C281,'Regressão Grupo 2'!$B$7)))</f>
        <v>0.61507453874523921</v>
      </c>
      <c r="F281" s="39">
        <f>IF(_xlfn.NORM.INV(S281,D281,'Regressão Grupo 2'!$B$7)&lt;=0,0,IF(_xlfn.NORM.INV(S281,D281,'Regressão Grupo 2'!$B$7)&gt;100%,100%,_xlfn.NORM.INV(S281,D281,'Regressão Grupo 2'!$B$7)))</f>
        <v>0.90309397208280073</v>
      </c>
      <c r="G281" s="41">
        <v>1.7671538291576874E-2</v>
      </c>
      <c r="H281" s="41">
        <v>2.107415297384312E-2</v>
      </c>
      <c r="I281" s="40">
        <f t="shared" si="42"/>
        <v>217.29194794196019</v>
      </c>
      <c r="J281" s="40">
        <f t="shared" si="42"/>
        <v>0</v>
      </c>
      <c r="K281" s="36">
        <v>0.38455924201775343</v>
      </c>
      <c r="L281" s="42">
        <f t="shared" si="47"/>
        <v>19991.322604477216</v>
      </c>
      <c r="M281" s="42">
        <f t="shared" si="47"/>
        <v>0</v>
      </c>
      <c r="N281" s="42">
        <f t="shared" si="43"/>
        <v>7687.8478677101384</v>
      </c>
      <c r="O281" s="36">
        <v>6.0745070539561201</v>
      </c>
      <c r="P281" s="42">
        <f t="shared" si="44"/>
        <v>4948.8022662848498</v>
      </c>
      <c r="Q281" s="42"/>
      <c r="R281">
        <v>0.81154820398571736</v>
      </c>
      <c r="S281">
        <v>0.28733176671651356</v>
      </c>
    </row>
    <row r="282" spans="1:19" x14ac:dyDescent="0.25">
      <c r="A282" s="40">
        <f t="shared" si="45"/>
        <v>64.229676878151835</v>
      </c>
      <c r="B282" s="40">
        <f t="shared" si="45"/>
        <v>32.933286051621081</v>
      </c>
      <c r="C282" s="41">
        <f t="shared" si="40"/>
        <v>0.49289226185293716</v>
      </c>
      <c r="D282" s="41">
        <f t="shared" si="41"/>
        <v>0.98069361229543572</v>
      </c>
      <c r="E282" s="39">
        <f>IF(_xlfn.NORM.INV(R282,C282,'Regressão Grupo 2'!$B$7)&lt;=0,0,IF(_xlfn.NORM.INV(R282,C282,'Regressão Grupo 2'!$B$7)&gt;100%,100%,_xlfn.NORM.INV(R282,C282,'Regressão Grupo 2'!$B$7)))</f>
        <v>0.69840490025239044</v>
      </c>
      <c r="F282" s="39">
        <f>IF(_xlfn.NORM.INV(S282,D282,'Regressão Grupo 2'!$B$7)&lt;=0,0,IF(_xlfn.NORM.INV(S282,D282,'Regressão Grupo 2'!$B$7)&gt;100%,100%,_xlfn.NORM.INV(S282,D282,'Regressão Grupo 2'!$B$7)))</f>
        <v>1</v>
      </c>
      <c r="G282" s="41">
        <v>1.54040352736381E-2</v>
      </c>
      <c r="H282" s="41">
        <v>2.6074533048087416E-2</v>
      </c>
      <c r="I282" s="40">
        <f t="shared" si="42"/>
        <v>215.07172075273817</v>
      </c>
      <c r="J282" s="40">
        <f t="shared" si="42"/>
        <v>0</v>
      </c>
      <c r="K282" s="36">
        <v>0.35028911478582681</v>
      </c>
      <c r="L282" s="42">
        <f t="shared" si="47"/>
        <v>19991.322604477216</v>
      </c>
      <c r="M282" s="42">
        <f t="shared" si="47"/>
        <v>0</v>
      </c>
      <c r="N282" s="42">
        <f t="shared" si="43"/>
        <v>7002.7426985202137</v>
      </c>
      <c r="O282" s="36">
        <v>4.0839775821821771</v>
      </c>
      <c r="P282" s="42">
        <f t="shared" si="44"/>
        <v>5932.8963449407338</v>
      </c>
      <c r="Q282" s="42"/>
      <c r="R282">
        <v>0.93139439069795826</v>
      </c>
      <c r="S282">
        <v>0.74736777855769521</v>
      </c>
    </row>
    <row r="283" spans="1:19" x14ac:dyDescent="0.25">
      <c r="A283" s="40">
        <f t="shared" si="45"/>
        <v>64.229676878151835</v>
      </c>
      <c r="B283" s="40">
        <f t="shared" si="45"/>
        <v>32.933286051621081</v>
      </c>
      <c r="C283" s="41">
        <f t="shared" si="40"/>
        <v>0.49289226185293716</v>
      </c>
      <c r="D283" s="41">
        <f t="shared" si="41"/>
        <v>0.98069361229543572</v>
      </c>
      <c r="E283" s="39">
        <f>IF(_xlfn.NORM.INV(R283,C283,'Regressão Grupo 2'!$B$7)&lt;=0,0,IF(_xlfn.NORM.INV(R283,C283,'Regressão Grupo 2'!$B$7)&gt;100%,100%,_xlfn.NORM.INV(R283,C283,'Regressão Grupo 2'!$B$7)))</f>
        <v>0.55297779338637343</v>
      </c>
      <c r="F283" s="39">
        <f>IF(_xlfn.NORM.INV(S283,D283,'Regressão Grupo 2'!$B$7)&lt;=0,0,IF(_xlfn.NORM.INV(S283,D283,'Regressão Grupo 2'!$B$7)&gt;100%,100%,_xlfn.NORM.INV(S283,D283,'Regressão Grupo 2'!$B$7)))</f>
        <v>0.96744575497972507</v>
      </c>
      <c r="G283" s="41">
        <v>1.3028626157217236E-2</v>
      </c>
      <c r="H283" s="41">
        <v>9.1067110488204789E-3</v>
      </c>
      <c r="I283" s="40">
        <f t="shared" si="42"/>
        <v>144.02830221415456</v>
      </c>
      <c r="J283" s="40">
        <f t="shared" si="42"/>
        <v>0</v>
      </c>
      <c r="K283" s="36">
        <v>0.2781029938606287</v>
      </c>
      <c r="L283" s="42">
        <f t="shared" si="47"/>
        <v>19991.322604477216</v>
      </c>
      <c r="M283" s="42">
        <f t="shared" si="47"/>
        <v>0</v>
      </c>
      <c r="N283" s="42">
        <f t="shared" si="43"/>
        <v>5559.6466675387746</v>
      </c>
      <c r="O283" s="36">
        <v>10.247565643917884</v>
      </c>
      <c r="P283" s="42">
        <f t="shared" si="44"/>
        <v>2215.3051634635813</v>
      </c>
      <c r="Q283" s="42"/>
      <c r="R283">
        <v>0.66805017242957854</v>
      </c>
      <c r="S283">
        <v>0.46183660390026549</v>
      </c>
    </row>
    <row r="284" spans="1:19" x14ac:dyDescent="0.25">
      <c r="A284" s="40">
        <f t="shared" si="45"/>
        <v>64.229676878151835</v>
      </c>
      <c r="B284" s="40">
        <f t="shared" si="45"/>
        <v>32.933286051621081</v>
      </c>
      <c r="C284" s="41">
        <f t="shared" si="40"/>
        <v>0.49289226185293716</v>
      </c>
      <c r="D284" s="41">
        <f t="shared" si="41"/>
        <v>0.98069361229543572</v>
      </c>
      <c r="E284" s="39">
        <f>IF(_xlfn.NORM.INV(R284,C284,'Regressão Grupo 2'!$B$7)&lt;=0,0,IF(_xlfn.NORM.INV(R284,C284,'Regressão Grupo 2'!$B$7)&gt;100%,100%,_xlfn.NORM.INV(R284,C284,'Regressão Grupo 2'!$B$7)))</f>
        <v>0.69489642967749532</v>
      </c>
      <c r="F284" s="39">
        <f>IF(_xlfn.NORM.INV(S284,D284,'Regressão Grupo 2'!$B$7)&lt;=0,0,IF(_xlfn.NORM.INV(S284,D284,'Regressão Grupo 2'!$B$7)&gt;100%,100%,_xlfn.NORM.INV(S284,D284,'Regressão Grupo 2'!$B$7)))</f>
        <v>1</v>
      </c>
      <c r="G284" s="41">
        <v>1.1079021401449483E-2</v>
      </c>
      <c r="H284" s="41">
        <v>1.1653067576235444E-2</v>
      </c>
      <c r="I284" s="40">
        <f t="shared" si="42"/>
        <v>153.90864303046095</v>
      </c>
      <c r="J284" s="40">
        <f t="shared" si="42"/>
        <v>0</v>
      </c>
      <c r="K284" s="36">
        <v>0.28688677645419414</v>
      </c>
      <c r="L284" s="42">
        <f t="shared" si="47"/>
        <v>19991.322604477216</v>
      </c>
      <c r="M284" s="42">
        <f t="shared" si="47"/>
        <v>0</v>
      </c>
      <c r="N284" s="42">
        <f t="shared" si="43"/>
        <v>5735.2460990543332</v>
      </c>
      <c r="O284" s="36">
        <v>4.1148092841336918</v>
      </c>
      <c r="P284" s="42">
        <f t="shared" si="44"/>
        <v>3516.9515982968296</v>
      </c>
      <c r="Q284" s="42"/>
      <c r="R284">
        <v>0.92797631763664667</v>
      </c>
      <c r="S284">
        <v>0.94189275795770133</v>
      </c>
    </row>
    <row r="285" spans="1:19" x14ac:dyDescent="0.25">
      <c r="A285" s="40">
        <f t="shared" si="45"/>
        <v>64.229676878151835</v>
      </c>
      <c r="B285" s="40">
        <f t="shared" si="45"/>
        <v>32.933286051621081</v>
      </c>
      <c r="C285" s="41">
        <f t="shared" si="40"/>
        <v>0.49289226185293716</v>
      </c>
      <c r="D285" s="41">
        <f t="shared" si="41"/>
        <v>0.98069361229543572</v>
      </c>
      <c r="E285" s="39">
        <f>IF(_xlfn.NORM.INV(R285,C285,'Regressão Grupo 2'!$B$7)&lt;=0,0,IF(_xlfn.NORM.INV(R285,C285,'Regressão Grupo 2'!$B$7)&gt;100%,100%,_xlfn.NORM.INV(R285,C285,'Regressão Grupo 2'!$B$7)))</f>
        <v>0.420185131244462</v>
      </c>
      <c r="F285" s="39">
        <f>IF(_xlfn.NORM.INV(S285,D285,'Regressão Grupo 2'!$B$7)&lt;=0,0,IF(_xlfn.NORM.INV(S285,D285,'Regressão Grupo 2'!$B$7)&gt;100%,100%,_xlfn.NORM.INV(S285,D285,'Regressão Grupo 2'!$B$7)))</f>
        <v>1</v>
      </c>
      <c r="G285" s="41">
        <v>2.0691280056891949E-2</v>
      </c>
      <c r="H285" s="41">
        <v>2.3965895661112836E-2</v>
      </c>
      <c r="I285" s="40">
        <f t="shared" si="42"/>
        <v>173.80792178997984</v>
      </c>
      <c r="J285" s="40">
        <f t="shared" si="42"/>
        <v>0</v>
      </c>
      <c r="K285" s="36">
        <v>0.27999354297924467</v>
      </c>
      <c r="L285" s="42">
        <f t="shared" si="47"/>
        <v>19991.322604477216</v>
      </c>
      <c r="M285" s="42">
        <f t="shared" si="47"/>
        <v>0</v>
      </c>
      <c r="N285" s="42">
        <f t="shared" si="43"/>
        <v>5597.4412448686371</v>
      </c>
      <c r="O285" s="36">
        <v>3.8000845233622562</v>
      </c>
      <c r="P285" s="42">
        <f t="shared" si="44"/>
        <v>4905.7006169329934</v>
      </c>
      <c r="Q285" s="42"/>
      <c r="R285">
        <v>0.29950865199743643</v>
      </c>
      <c r="S285">
        <v>0.61973937192907502</v>
      </c>
    </row>
    <row r="286" spans="1:19" x14ac:dyDescent="0.25">
      <c r="A286" s="40">
        <f t="shared" si="45"/>
        <v>64.229676878151835</v>
      </c>
      <c r="B286" s="40">
        <f t="shared" si="45"/>
        <v>32.933286051621081</v>
      </c>
      <c r="C286" s="41">
        <f t="shared" si="40"/>
        <v>0.49289226185293716</v>
      </c>
      <c r="D286" s="41">
        <f t="shared" si="41"/>
        <v>0.98069361229543572</v>
      </c>
      <c r="E286" s="39">
        <f>IF(_xlfn.NORM.INV(R286,C286,'Regressão Grupo 2'!$B$7)&lt;=0,0,IF(_xlfn.NORM.INV(R286,C286,'Regressão Grupo 2'!$B$7)&gt;100%,100%,_xlfn.NORM.INV(R286,C286,'Regressão Grupo 2'!$B$7)))</f>
        <v>0.3793058773796984</v>
      </c>
      <c r="F286" s="39">
        <f>IF(_xlfn.NORM.INV(S286,D286,'Regressão Grupo 2'!$B$7)&lt;=0,0,IF(_xlfn.NORM.INV(S286,D286,'Regressão Grupo 2'!$B$7)&gt;100%,100%,_xlfn.NORM.INV(S286,D286,'Regressão Grupo 2'!$B$7)))</f>
        <v>0.82468770697067051</v>
      </c>
      <c r="G286" s="41">
        <v>1.4305172372930802E-2</v>
      </c>
      <c r="H286" s="41">
        <v>2.6516298915192204E-2</v>
      </c>
      <c r="I286" s="40">
        <f t="shared" si="42"/>
        <v>108.47363529951855</v>
      </c>
      <c r="J286" s="40">
        <f t="shared" si="42"/>
        <v>0</v>
      </c>
      <c r="K286" s="36">
        <v>0.35789384758541543</v>
      </c>
      <c r="L286" s="42">
        <f t="shared" si="47"/>
        <v>19991.322604477216</v>
      </c>
      <c r="M286" s="42">
        <f t="shared" si="47"/>
        <v>0</v>
      </c>
      <c r="N286" s="42">
        <f t="shared" si="43"/>
        <v>7154.7713652376387</v>
      </c>
      <c r="O286" s="36">
        <v>8.018132169432695</v>
      </c>
      <c r="P286" s="42">
        <f t="shared" si="44"/>
        <v>-1057.3007648814564</v>
      </c>
      <c r="Q286" s="42"/>
      <c r="R286">
        <v>0.20569475386822109</v>
      </c>
      <c r="S286">
        <v>0.12961210974456008</v>
      </c>
    </row>
    <row r="287" spans="1:19" x14ac:dyDescent="0.25">
      <c r="A287" s="40">
        <f t="shared" si="45"/>
        <v>64.229676878151835</v>
      </c>
      <c r="B287" s="40">
        <f t="shared" si="45"/>
        <v>32.933286051621081</v>
      </c>
      <c r="C287" s="41">
        <f t="shared" si="40"/>
        <v>0.49289226185293716</v>
      </c>
      <c r="D287" s="41">
        <f t="shared" si="41"/>
        <v>0.98069361229543572</v>
      </c>
      <c r="E287" s="39">
        <f>IF(_xlfn.NORM.INV(R287,C287,'Regressão Grupo 2'!$B$7)&lt;=0,0,IF(_xlfn.NORM.INV(R287,C287,'Regressão Grupo 2'!$B$7)&gt;100%,100%,_xlfn.NORM.INV(R287,C287,'Regressão Grupo 2'!$B$7)))</f>
        <v>0.63444425052817532</v>
      </c>
      <c r="F287" s="39">
        <f>IF(_xlfn.NORM.INV(S287,D287,'Regressão Grupo 2'!$B$7)&lt;=0,0,IF(_xlfn.NORM.INV(S287,D287,'Regressão Grupo 2'!$B$7)&gt;100%,100%,_xlfn.NORM.INV(S287,D287,'Regressão Grupo 2'!$B$7)))</f>
        <v>0.82051913279929578</v>
      </c>
      <c r="G287" s="41">
        <v>2.3830981372316595E-2</v>
      </c>
      <c r="H287" s="41">
        <v>2.1234340035411373E-2</v>
      </c>
      <c r="I287" s="40">
        <f t="shared" si="42"/>
        <v>302.257385055687</v>
      </c>
      <c r="J287" s="40">
        <f t="shared" si="42"/>
        <v>0</v>
      </c>
      <c r="K287" s="36">
        <v>0.27821077657325</v>
      </c>
      <c r="L287" s="42">
        <f t="shared" si="47"/>
        <v>19991.322604477216</v>
      </c>
      <c r="M287" s="42">
        <f t="shared" si="47"/>
        <v>0</v>
      </c>
      <c r="N287" s="42">
        <f t="shared" si="43"/>
        <v>5561.8013865179728</v>
      </c>
      <c r="O287" s="36">
        <v>4.5715844158221959</v>
      </c>
      <c r="P287" s="42">
        <f t="shared" si="44"/>
        <v>12470.297638556176</v>
      </c>
      <c r="Q287" s="42"/>
      <c r="R287">
        <v>0.84701071199682609</v>
      </c>
      <c r="S287">
        <v>0.12335581530198066</v>
      </c>
    </row>
    <row r="288" spans="1:19" x14ac:dyDescent="0.25">
      <c r="A288" s="40">
        <f t="shared" si="45"/>
        <v>64.229676878151835</v>
      </c>
      <c r="B288" s="40">
        <f t="shared" si="45"/>
        <v>32.933286051621081</v>
      </c>
      <c r="C288" s="41">
        <f t="shared" si="40"/>
        <v>0.49289226185293716</v>
      </c>
      <c r="D288" s="41">
        <f t="shared" si="41"/>
        <v>0.98069361229543572</v>
      </c>
      <c r="E288" s="39">
        <f>IF(_xlfn.NORM.INV(R288,C288,'Regressão Grupo 2'!$B$7)&lt;=0,0,IF(_xlfn.NORM.INV(R288,C288,'Regressão Grupo 2'!$B$7)&gt;100%,100%,_xlfn.NORM.INV(R288,C288,'Regressão Grupo 2'!$B$7)))</f>
        <v>0.61986822567606303</v>
      </c>
      <c r="F288" s="39">
        <f>IF(_xlfn.NORM.INV(S288,D288,'Regressão Grupo 2'!$B$7)&lt;=0,0,IF(_xlfn.NORM.INV(S288,D288,'Regressão Grupo 2'!$B$7)&gt;100%,100%,_xlfn.NORM.INV(S288,D288,'Regressão Grupo 2'!$B$7)))</f>
        <v>0.87064248497409535</v>
      </c>
      <c r="G288" s="41">
        <v>1.5284057593301275E-2</v>
      </c>
      <c r="H288" s="41">
        <v>1.1608590203478569E-2</v>
      </c>
      <c r="I288" s="40">
        <f t="shared" si="42"/>
        <v>189.39982270246858</v>
      </c>
      <c r="J288" s="40">
        <f t="shared" si="42"/>
        <v>0</v>
      </c>
      <c r="K288" s="36">
        <v>0.28154812990663169</v>
      </c>
      <c r="L288" s="42">
        <f t="shared" si="47"/>
        <v>19991.322604477216</v>
      </c>
      <c r="M288" s="42">
        <f t="shared" si="47"/>
        <v>0</v>
      </c>
      <c r="N288" s="42">
        <f t="shared" si="43"/>
        <v>5628.5194936507341</v>
      </c>
      <c r="O288" s="36">
        <v>6.6473197660344541</v>
      </c>
      <c r="P288" s="42">
        <f t="shared" si="44"/>
        <v>5277.5687341745288</v>
      </c>
      <c r="Q288" s="42"/>
      <c r="R288">
        <v>0.82076479384746848</v>
      </c>
      <c r="S288">
        <v>0.21304971465193639</v>
      </c>
    </row>
    <row r="289" spans="1:19" x14ac:dyDescent="0.25">
      <c r="A289" s="40">
        <f t="shared" si="45"/>
        <v>64.229676878151835</v>
      </c>
      <c r="B289" s="40">
        <f t="shared" si="45"/>
        <v>32.933286051621081</v>
      </c>
      <c r="C289" s="41">
        <f t="shared" si="40"/>
        <v>0.49289226185293716</v>
      </c>
      <c r="D289" s="41">
        <f t="shared" si="41"/>
        <v>0.98069361229543572</v>
      </c>
      <c r="E289" s="39">
        <f>IF(_xlfn.NORM.INV(R289,C289,'Regressão Grupo 2'!$B$7)&lt;=0,0,IF(_xlfn.NORM.INV(R289,C289,'Regressão Grupo 2'!$B$7)&gt;100%,100%,_xlfn.NORM.INV(R289,C289,'Regressão Grupo 2'!$B$7)))</f>
        <v>0.66312933346900726</v>
      </c>
      <c r="F289" s="39">
        <f>IF(_xlfn.NORM.INV(S289,D289,'Regressão Grupo 2'!$B$7)&lt;=0,0,IF(_xlfn.NORM.INV(S289,D289,'Regressão Grupo 2'!$B$7)&gt;100%,100%,_xlfn.NORM.INV(S289,D289,'Regressão Grupo 2'!$B$7)))</f>
        <v>1</v>
      </c>
      <c r="G289" s="41">
        <v>5.2011408416360837E-3</v>
      </c>
      <c r="H289" s="41">
        <v>5.207016460515029E-3</v>
      </c>
      <c r="I289" s="40">
        <f t="shared" si="42"/>
        <v>68.95065260253169</v>
      </c>
      <c r="J289" s="40">
        <f t="shared" si="42"/>
        <v>0</v>
      </c>
      <c r="K289" s="36">
        <v>0.41710373418587965</v>
      </c>
      <c r="L289" s="42">
        <f t="shared" si="47"/>
        <v>19991.322604477216</v>
      </c>
      <c r="M289" s="42">
        <f t="shared" si="47"/>
        <v>0</v>
      </c>
      <c r="N289" s="42">
        <f t="shared" si="43"/>
        <v>8338.4553096420314</v>
      </c>
      <c r="O289" s="36">
        <v>8.3900233065889402</v>
      </c>
      <c r="P289" s="42">
        <f t="shared" si="44"/>
        <v>-4488.2747547834797</v>
      </c>
      <c r="Q289" s="42"/>
      <c r="R289">
        <v>0.89086581011383403</v>
      </c>
      <c r="S289">
        <v>0.86910611285744799</v>
      </c>
    </row>
    <row r="290" spans="1:19" x14ac:dyDescent="0.25">
      <c r="A290" s="40">
        <f t="shared" si="45"/>
        <v>64.229676878151835</v>
      </c>
      <c r="B290" s="40">
        <f t="shared" si="45"/>
        <v>32.933286051621081</v>
      </c>
      <c r="C290" s="41">
        <f t="shared" si="40"/>
        <v>0.49289226185293716</v>
      </c>
      <c r="D290" s="41">
        <f t="shared" si="41"/>
        <v>0.98069361229543572</v>
      </c>
      <c r="E290" s="39">
        <f>IF(_xlfn.NORM.INV(R290,C290,'Regressão Grupo 2'!$B$7)&lt;=0,0,IF(_xlfn.NORM.INV(R290,C290,'Regressão Grupo 2'!$B$7)&gt;100%,100%,_xlfn.NORM.INV(R290,C290,'Regressão Grupo 2'!$B$7)))</f>
        <v>0.55470303388897768</v>
      </c>
      <c r="F290" s="39">
        <f>IF(_xlfn.NORM.INV(S290,D290,'Regressão Grupo 2'!$B$7)&lt;=0,0,IF(_xlfn.NORM.INV(S290,D290,'Regressão Grupo 2'!$B$7)&gt;100%,100%,_xlfn.NORM.INV(S290,D290,'Regressão Grupo 2'!$B$7)))</f>
        <v>0.87796687848683086</v>
      </c>
      <c r="G290" s="41">
        <v>1.2623794762520412E-2</v>
      </c>
      <c r="H290" s="41">
        <v>8.2071131139754856E-3</v>
      </c>
      <c r="I290" s="40">
        <f t="shared" si="42"/>
        <v>139.98838198801317</v>
      </c>
      <c r="J290" s="40">
        <f t="shared" si="42"/>
        <v>0</v>
      </c>
      <c r="K290" s="36">
        <v>0.26925820014956764</v>
      </c>
      <c r="L290" s="42">
        <f t="shared" si="47"/>
        <v>19991.322604477216</v>
      </c>
      <c r="M290" s="42">
        <f t="shared" si="47"/>
        <v>0</v>
      </c>
      <c r="N290" s="42">
        <f t="shared" si="43"/>
        <v>5382.8275430909025</v>
      </c>
      <c r="O290" s="36">
        <v>6.4082811914717155</v>
      </c>
      <c r="P290" s="42">
        <f t="shared" si="44"/>
        <v>2711.4960833761315</v>
      </c>
      <c r="Q290" s="42"/>
      <c r="R290">
        <v>0.6725669118320261</v>
      </c>
      <c r="S290">
        <v>0.22876674703207495</v>
      </c>
    </row>
    <row r="291" spans="1:19" x14ac:dyDescent="0.25">
      <c r="A291" s="40">
        <f t="shared" si="45"/>
        <v>64.229676878151835</v>
      </c>
      <c r="B291" s="40">
        <f t="shared" si="45"/>
        <v>32.933286051621081</v>
      </c>
      <c r="C291" s="41">
        <f t="shared" si="40"/>
        <v>0.49289226185293716</v>
      </c>
      <c r="D291" s="41">
        <f t="shared" si="41"/>
        <v>0.98069361229543572</v>
      </c>
      <c r="E291" s="39">
        <f>IF(_xlfn.NORM.INV(R291,C291,'Regressão Grupo 2'!$B$7)&lt;=0,0,IF(_xlfn.NORM.INV(R291,C291,'Regressão Grupo 2'!$B$7)&gt;100%,100%,_xlfn.NORM.INV(R291,C291,'Regressão Grupo 2'!$B$7)))</f>
        <v>0.53393133679551963</v>
      </c>
      <c r="F291" s="39">
        <f>IF(_xlfn.NORM.INV(S291,D291,'Regressão Grupo 2'!$B$7)&lt;=0,0,IF(_xlfn.NORM.INV(S291,D291,'Regressão Grupo 2'!$B$7)&gt;100%,100%,_xlfn.NORM.INV(S291,D291,'Regressão Grupo 2'!$B$7)))</f>
        <v>1</v>
      </c>
      <c r="G291" s="41">
        <v>1.9158764709897087E-2</v>
      </c>
      <c r="H291" s="41">
        <v>1.4715491061634965E-2</v>
      </c>
      <c r="I291" s="40">
        <f t="shared" si="42"/>
        <v>204.50053194560846</v>
      </c>
      <c r="J291" s="40">
        <f t="shared" si="42"/>
        <v>0</v>
      </c>
      <c r="K291" s="36">
        <v>0.30260607368900577</v>
      </c>
      <c r="L291" s="42">
        <f t="shared" si="47"/>
        <v>19991.322604477216</v>
      </c>
      <c r="M291" s="42">
        <f t="shared" si="47"/>
        <v>0</v>
      </c>
      <c r="N291" s="42">
        <f t="shared" si="43"/>
        <v>6049.4956411911189</v>
      </c>
      <c r="O291" s="36">
        <v>8.2770698061254855</v>
      </c>
      <c r="P291" s="42">
        <f t="shared" si="44"/>
        <v>5392.8422687818838</v>
      </c>
      <c r="Q291" s="42"/>
      <c r="R291">
        <v>0.61668752098147528</v>
      </c>
      <c r="S291">
        <v>0.91378521073030794</v>
      </c>
    </row>
    <row r="292" spans="1:19" x14ac:dyDescent="0.25">
      <c r="A292" s="40">
        <f t="shared" si="45"/>
        <v>64.229676878151835</v>
      </c>
      <c r="B292" s="40">
        <f t="shared" si="45"/>
        <v>32.933286051621081</v>
      </c>
      <c r="C292" s="41">
        <f t="shared" si="40"/>
        <v>0.49289226185293716</v>
      </c>
      <c r="D292" s="41">
        <f t="shared" si="41"/>
        <v>0.98069361229543572</v>
      </c>
      <c r="E292" s="39">
        <f>IF(_xlfn.NORM.INV(R292,C292,'Regressão Grupo 2'!$B$7)&lt;=0,0,IF(_xlfn.NORM.INV(R292,C292,'Regressão Grupo 2'!$B$7)&gt;100%,100%,_xlfn.NORM.INV(R292,C292,'Regressão Grupo 2'!$B$7)))</f>
        <v>0.39921821514110967</v>
      </c>
      <c r="F292" s="39">
        <f>IF(_xlfn.NORM.INV(S292,D292,'Regressão Grupo 2'!$B$7)&lt;=0,0,IF(_xlfn.NORM.INV(S292,D292,'Regressão Grupo 2'!$B$7)&gt;100%,100%,_xlfn.NORM.INV(S292,D292,'Regressão Grupo 2'!$B$7)))</f>
        <v>0.88159773630331695</v>
      </c>
      <c r="G292" s="41">
        <v>1.760123298021643E-2</v>
      </c>
      <c r="H292" s="41">
        <v>2.4174264963217451E-2</v>
      </c>
      <c r="I292" s="40">
        <f t="shared" si="42"/>
        <v>140.47368255303115</v>
      </c>
      <c r="J292" s="40">
        <f t="shared" si="42"/>
        <v>0</v>
      </c>
      <c r="K292" s="36">
        <v>0.36482499974827376</v>
      </c>
      <c r="L292" s="42">
        <f t="shared" si="47"/>
        <v>19991.322604477216</v>
      </c>
      <c r="M292" s="42">
        <f t="shared" si="47"/>
        <v>0</v>
      </c>
      <c r="N292" s="42">
        <f t="shared" si="43"/>
        <v>7293.3342641460604</v>
      </c>
      <c r="O292" s="36">
        <v>5.5370305448565889</v>
      </c>
      <c r="P292" s="42">
        <f t="shared" si="44"/>
        <v>951.43790507458471</v>
      </c>
      <c r="Q292" s="42"/>
      <c r="R292">
        <v>0.24906155583361309</v>
      </c>
      <c r="S292">
        <v>0.2367931150242622</v>
      </c>
    </row>
    <row r="293" spans="1:19" x14ac:dyDescent="0.25">
      <c r="A293" s="40">
        <f t="shared" si="45"/>
        <v>64.229676878151835</v>
      </c>
      <c r="B293" s="40">
        <f t="shared" si="45"/>
        <v>32.933286051621081</v>
      </c>
      <c r="C293" s="41">
        <f t="shared" si="40"/>
        <v>0.49289226185293716</v>
      </c>
      <c r="D293" s="41">
        <f t="shared" si="41"/>
        <v>0.98069361229543572</v>
      </c>
      <c r="E293" s="39">
        <f>IF(_xlfn.NORM.INV(R293,C293,'Regressão Grupo 2'!$B$7)&lt;=0,0,IF(_xlfn.NORM.INV(R293,C293,'Regressão Grupo 2'!$B$7)&gt;100%,100%,_xlfn.NORM.INV(R293,C293,'Regressão Grupo 2'!$B$7)))</f>
        <v>0.59623334713100906</v>
      </c>
      <c r="F293" s="39">
        <f>IF(_xlfn.NORM.INV(S293,D293,'Regressão Grupo 2'!$B$7)&lt;=0,0,IF(_xlfn.NORM.INV(S293,D293,'Regressão Grupo 2'!$B$7)&gt;100%,100%,_xlfn.NORM.INV(S293,D293,'Regressão Grupo 2'!$B$7)))</f>
        <v>1</v>
      </c>
      <c r="G293" s="41">
        <v>2.0080685683152365E-2</v>
      </c>
      <c r="H293" s="41">
        <v>2.5991954431004795E-2</v>
      </c>
      <c r="I293" s="40">
        <f t="shared" si="42"/>
        <v>239.35159625173367</v>
      </c>
      <c r="J293" s="40">
        <f t="shared" si="42"/>
        <v>0</v>
      </c>
      <c r="K293" s="36">
        <v>0.37089522419136978</v>
      </c>
      <c r="L293" s="42">
        <f t="shared" si="47"/>
        <v>19991.322604477216</v>
      </c>
      <c r="M293" s="42">
        <f t="shared" si="47"/>
        <v>0</v>
      </c>
      <c r="N293" s="42">
        <f t="shared" si="43"/>
        <v>7414.6860792695752</v>
      </c>
      <c r="O293" s="36">
        <v>5.6353721892092716</v>
      </c>
      <c r="P293" s="42">
        <f t="shared" si="44"/>
        <v>6609.9542792892717</v>
      </c>
      <c r="Q293" s="42"/>
      <c r="R293">
        <v>0.77257606738486895</v>
      </c>
      <c r="S293">
        <v>0.72844630268257693</v>
      </c>
    </row>
    <row r="294" spans="1:19" x14ac:dyDescent="0.25">
      <c r="A294" s="40">
        <f t="shared" si="45"/>
        <v>64.229676878151835</v>
      </c>
      <c r="B294" s="40">
        <f t="shared" si="45"/>
        <v>32.933286051621081</v>
      </c>
      <c r="C294" s="41">
        <f t="shared" si="40"/>
        <v>0.49289226185293716</v>
      </c>
      <c r="D294" s="41">
        <f t="shared" si="41"/>
        <v>0.98069361229543572</v>
      </c>
      <c r="E294" s="39">
        <f>IF(_xlfn.NORM.INV(R294,C294,'Regressão Grupo 2'!$B$7)&lt;=0,0,IF(_xlfn.NORM.INV(R294,C294,'Regressão Grupo 2'!$B$7)&gt;100%,100%,_xlfn.NORM.INV(R294,C294,'Regressão Grupo 2'!$B$7)))</f>
        <v>0.48982972010537884</v>
      </c>
      <c r="F294" s="39">
        <f>IF(_xlfn.NORM.INV(S294,D294,'Regressão Grupo 2'!$B$7)&lt;=0,0,IF(_xlfn.NORM.INV(S294,D294,'Regressão Grupo 2'!$B$7)&gt;100%,100%,_xlfn.NORM.INV(S294,D294,'Regressão Grupo 2'!$B$7)))</f>
        <v>1</v>
      </c>
      <c r="G294" s="41">
        <v>2.1997617003591007E-2</v>
      </c>
      <c r="H294" s="41">
        <v>2.5030133930529504E-2</v>
      </c>
      <c r="I294" s="40">
        <f t="shared" si="42"/>
        <v>215.40823190904047</v>
      </c>
      <c r="J294" s="40">
        <f t="shared" si="42"/>
        <v>0</v>
      </c>
      <c r="K294" s="36">
        <v>0.28450672164292795</v>
      </c>
      <c r="L294" s="42">
        <f t="shared" si="47"/>
        <v>19991.322604477216</v>
      </c>
      <c r="M294" s="42">
        <f t="shared" si="47"/>
        <v>0</v>
      </c>
      <c r="N294" s="42">
        <f t="shared" si="43"/>
        <v>5687.6656555059726</v>
      </c>
      <c r="O294" s="36">
        <v>8.697694075745952</v>
      </c>
      <c r="P294" s="42">
        <f t="shared" si="44"/>
        <v>6274.3805743635203</v>
      </c>
      <c r="Q294" s="42"/>
      <c r="R294">
        <v>0.49116489150669879</v>
      </c>
      <c r="S294">
        <v>0.85250404370250554</v>
      </c>
    </row>
    <row r="295" spans="1:19" x14ac:dyDescent="0.25">
      <c r="A295" s="40">
        <f t="shared" si="45"/>
        <v>64.229676878151835</v>
      </c>
      <c r="B295" s="40">
        <f t="shared" si="45"/>
        <v>32.933286051621081</v>
      </c>
      <c r="C295" s="41">
        <f t="shared" si="40"/>
        <v>0.49289226185293716</v>
      </c>
      <c r="D295" s="41">
        <f t="shared" si="41"/>
        <v>0.98069361229543572</v>
      </c>
      <c r="E295" s="39">
        <f>IF(_xlfn.NORM.INV(R295,C295,'Regressão Grupo 2'!$B$7)&lt;=0,0,IF(_xlfn.NORM.INV(R295,C295,'Regressão Grupo 2'!$B$7)&gt;100%,100%,_xlfn.NORM.INV(R295,C295,'Regressão Grupo 2'!$B$7)))</f>
        <v>0.56481107790415652</v>
      </c>
      <c r="F295" s="39">
        <f>IF(_xlfn.NORM.INV(S295,D295,'Regressão Grupo 2'!$B$7)&lt;=0,0,IF(_xlfn.NORM.INV(S295,D295,'Regressão Grupo 2'!$B$7)&gt;100%,100%,_xlfn.NORM.INV(S295,D295,'Regressão Grupo 2'!$B$7)))</f>
        <v>0.88081668452455975</v>
      </c>
      <c r="G295" s="41">
        <v>1.7082658576045073E-2</v>
      </c>
      <c r="H295" s="41">
        <v>1.9942087130079909E-2</v>
      </c>
      <c r="I295" s="40">
        <f t="shared" si="42"/>
        <v>192.88577244402981</v>
      </c>
      <c r="J295" s="40">
        <f t="shared" si="42"/>
        <v>0</v>
      </c>
      <c r="K295" s="36">
        <v>0.35140869078449627</v>
      </c>
      <c r="L295" s="42">
        <f t="shared" ref="L295:M310" si="48">L294</f>
        <v>19991.322604477216</v>
      </c>
      <c r="M295" s="42">
        <f t="shared" si="48"/>
        <v>0</v>
      </c>
      <c r="N295" s="42">
        <f t="shared" si="43"/>
        <v>7025.1245034898448</v>
      </c>
      <c r="O295" s="36">
        <v>8.2208327473074387</v>
      </c>
      <c r="P295" s="42">
        <f t="shared" si="44"/>
        <v>3778.1846603853419</v>
      </c>
      <c r="Q295" s="42"/>
      <c r="R295">
        <v>0.69850764488662376</v>
      </c>
      <c r="S295">
        <v>0.23505355998413038</v>
      </c>
    </row>
    <row r="296" spans="1:19" x14ac:dyDescent="0.25">
      <c r="A296" s="40">
        <f t="shared" si="45"/>
        <v>64.229676878151835</v>
      </c>
      <c r="B296" s="40">
        <f t="shared" si="45"/>
        <v>32.933286051621081</v>
      </c>
      <c r="C296" s="41">
        <f t="shared" si="40"/>
        <v>0.49289226185293716</v>
      </c>
      <c r="D296" s="41">
        <f t="shared" si="41"/>
        <v>0.98069361229543572</v>
      </c>
      <c r="E296" s="39">
        <f>IF(_xlfn.NORM.INV(R296,C296,'Regressão Grupo 2'!$B$7)&lt;=0,0,IF(_xlfn.NORM.INV(R296,C296,'Regressão Grupo 2'!$B$7)&gt;100%,100%,_xlfn.NORM.INV(R296,C296,'Regressão Grupo 2'!$B$7)))</f>
        <v>0.42330055005792444</v>
      </c>
      <c r="F296" s="39">
        <f>IF(_xlfn.NORM.INV(S296,D296,'Regressão Grupo 2'!$B$7)&lt;=0,0,IF(_xlfn.NORM.INV(S296,D296,'Regressão Grupo 2'!$B$7)&gt;100%,100%,_xlfn.NORM.INV(S296,D296,'Regressão Grupo 2'!$B$7)))</f>
        <v>1</v>
      </c>
      <c r="G296" s="41">
        <v>2.5065137650226797E-2</v>
      </c>
      <c r="H296" s="41">
        <v>2.0622922173923815E-2</v>
      </c>
      <c r="I296" s="40">
        <f t="shared" si="42"/>
        <v>212.10966317480651</v>
      </c>
      <c r="J296" s="40">
        <f t="shared" si="42"/>
        <v>0</v>
      </c>
      <c r="K296" s="36">
        <v>0.19684760413881802</v>
      </c>
      <c r="L296" s="42">
        <f t="shared" si="48"/>
        <v>19991.322604477216</v>
      </c>
      <c r="M296" s="42">
        <f t="shared" si="48"/>
        <v>0</v>
      </c>
      <c r="N296" s="42">
        <f t="shared" si="43"/>
        <v>3935.2439582575357</v>
      </c>
      <c r="O296" s="36">
        <v>3.3135269098665523</v>
      </c>
      <c r="P296" s="42">
        <f t="shared" si="44"/>
        <v>8985.6600934214566</v>
      </c>
      <c r="Q296" s="42"/>
      <c r="R296">
        <v>0.3073824274422437</v>
      </c>
      <c r="S296">
        <v>0.82720419934690392</v>
      </c>
    </row>
    <row r="297" spans="1:19" x14ac:dyDescent="0.25">
      <c r="A297" s="40">
        <f t="shared" si="45"/>
        <v>64.229676878151835</v>
      </c>
      <c r="B297" s="40">
        <f t="shared" si="45"/>
        <v>32.933286051621081</v>
      </c>
      <c r="C297" s="41">
        <f t="shared" si="40"/>
        <v>0.49289226185293716</v>
      </c>
      <c r="D297" s="41">
        <f t="shared" si="41"/>
        <v>0.98069361229543572</v>
      </c>
      <c r="E297" s="39">
        <f>IF(_xlfn.NORM.INV(R297,C297,'Regressão Grupo 2'!$B$7)&lt;=0,0,IF(_xlfn.NORM.INV(R297,C297,'Regressão Grupo 2'!$B$7)&gt;100%,100%,_xlfn.NORM.INV(R297,C297,'Regressão Grupo 2'!$B$7)))</f>
        <v>0.38106063815804192</v>
      </c>
      <c r="F297" s="39">
        <f>IF(_xlfn.NORM.INV(S297,D297,'Regressão Grupo 2'!$B$7)&lt;=0,0,IF(_xlfn.NORM.INV(S297,D297,'Regressão Grupo 2'!$B$7)&gt;100%,100%,_xlfn.NORM.INV(S297,D297,'Regressão Grupo 2'!$B$7)))</f>
        <v>0.90116720452176169</v>
      </c>
      <c r="G297" s="41">
        <v>1.8854533625732195E-2</v>
      </c>
      <c r="H297" s="41">
        <v>1.2450676403285186E-2</v>
      </c>
      <c r="I297" s="40">
        <f t="shared" si="42"/>
        <v>143.6320676493732</v>
      </c>
      <c r="J297" s="40">
        <f t="shared" si="42"/>
        <v>0</v>
      </c>
      <c r="K297" s="36">
        <v>0.33668589945255167</v>
      </c>
      <c r="L297" s="42">
        <f t="shared" si="48"/>
        <v>19991.322604477216</v>
      </c>
      <c r="M297" s="42">
        <f t="shared" si="48"/>
        <v>0</v>
      </c>
      <c r="N297" s="42">
        <f t="shared" si="43"/>
        <v>6730.7964323345395</v>
      </c>
      <c r="O297" s="36">
        <v>3.6356685974875953</v>
      </c>
      <c r="P297" s="42">
        <f t="shared" si="44"/>
        <v>1972.4462641805067</v>
      </c>
      <c r="Q297" s="42"/>
      <c r="R297">
        <v>0.20932645649586473</v>
      </c>
      <c r="S297">
        <v>0.28260139774773402</v>
      </c>
    </row>
    <row r="298" spans="1:19" x14ac:dyDescent="0.25">
      <c r="A298" s="40">
        <f t="shared" si="45"/>
        <v>64.229676878151835</v>
      </c>
      <c r="B298" s="40">
        <f t="shared" si="45"/>
        <v>32.933286051621081</v>
      </c>
      <c r="C298" s="41">
        <f t="shared" si="40"/>
        <v>0.49289226185293716</v>
      </c>
      <c r="D298" s="41">
        <f t="shared" si="41"/>
        <v>0.98069361229543572</v>
      </c>
      <c r="E298" s="39">
        <f>IF(_xlfn.NORM.INV(R298,C298,'Regressão Grupo 2'!$B$7)&lt;=0,0,IF(_xlfn.NORM.INV(R298,C298,'Regressão Grupo 2'!$B$7)&gt;100%,100%,_xlfn.NORM.INV(R298,C298,'Regressão Grupo 2'!$B$7)))</f>
        <v>0.59525692144227893</v>
      </c>
      <c r="F298" s="39">
        <f>IF(_xlfn.NORM.INV(S298,D298,'Regressão Grupo 2'!$B$7)&lt;=0,0,IF(_xlfn.NORM.INV(S298,D298,'Regressão Grupo 2'!$B$7)&gt;100%,100%,_xlfn.NORM.INV(S298,D298,'Regressão Grupo 2'!$B$7)))</f>
        <v>1</v>
      </c>
      <c r="G298" s="41">
        <v>2.5991709062902282E-2</v>
      </c>
      <c r="H298" s="41">
        <v>1.9846769688848975E-2</v>
      </c>
      <c r="I298" s="40">
        <f t="shared" si="42"/>
        <v>309.30063994777055</v>
      </c>
      <c r="J298" s="40">
        <f t="shared" si="42"/>
        <v>0</v>
      </c>
      <c r="K298" s="36">
        <v>0.26501843205005848</v>
      </c>
      <c r="L298" s="42">
        <f t="shared" si="48"/>
        <v>19991.322604477216</v>
      </c>
      <c r="M298" s="42">
        <f t="shared" si="48"/>
        <v>0</v>
      </c>
      <c r="N298" s="42">
        <f t="shared" si="43"/>
        <v>5298.0689712454432</v>
      </c>
      <c r="O298" s="36">
        <v>4.5221272423959169</v>
      </c>
      <c r="P298" s="42">
        <f t="shared" si="44"/>
        <v>13169.514340807134</v>
      </c>
      <c r="Q298" s="42"/>
      <c r="R298">
        <v>0.77043977172154909</v>
      </c>
      <c r="S298">
        <v>0.58400219733268233</v>
      </c>
    </row>
    <row r="299" spans="1:19" x14ac:dyDescent="0.25">
      <c r="A299" s="40">
        <f t="shared" si="45"/>
        <v>64.229676878151835</v>
      </c>
      <c r="B299" s="40">
        <f t="shared" si="45"/>
        <v>32.933286051621081</v>
      </c>
      <c r="C299" s="41">
        <f t="shared" si="40"/>
        <v>0.49289226185293716</v>
      </c>
      <c r="D299" s="41">
        <f t="shared" si="41"/>
        <v>0.98069361229543572</v>
      </c>
      <c r="E299" s="39">
        <f>IF(_xlfn.NORM.INV(R299,C299,'Regressão Grupo 2'!$B$7)&lt;=0,0,IF(_xlfn.NORM.INV(R299,C299,'Regressão Grupo 2'!$B$7)&gt;100%,100%,_xlfn.NORM.INV(R299,C299,'Regressão Grupo 2'!$B$7)))</f>
        <v>0.53238628769012908</v>
      </c>
      <c r="F299" s="39">
        <f>IF(_xlfn.NORM.INV(S299,D299,'Regressão Grupo 2'!$B$7)&lt;=0,0,IF(_xlfn.NORM.INV(S299,D299,'Regressão Grupo 2'!$B$7)&gt;100%,100%,_xlfn.NORM.INV(S299,D299,'Regressão Grupo 2'!$B$7)))</f>
        <v>1</v>
      </c>
      <c r="G299" s="41">
        <v>2.1253020262859749E-2</v>
      </c>
      <c r="H299" s="41">
        <v>6.4644546622197778E-3</v>
      </c>
      <c r="I299" s="40">
        <f t="shared" si="42"/>
        <v>226.19814806038147</v>
      </c>
      <c r="J299" s="40">
        <f t="shared" si="42"/>
        <v>0</v>
      </c>
      <c r="K299" s="36">
        <v>0.2658194210536256</v>
      </c>
      <c r="L299" s="42">
        <f t="shared" si="48"/>
        <v>19991.322604477216</v>
      </c>
      <c r="M299" s="42">
        <f t="shared" si="48"/>
        <v>0</v>
      </c>
      <c r="N299" s="42">
        <f t="shared" si="43"/>
        <v>5314.0818008183924</v>
      </c>
      <c r="O299" s="36">
        <v>7.3765204428366058</v>
      </c>
      <c r="P299" s="42">
        <f t="shared" si="44"/>
        <v>7545.9968962370713</v>
      </c>
      <c r="Q299" s="42"/>
      <c r="R299">
        <v>0.61241492965483568</v>
      </c>
      <c r="S299">
        <v>0.71901608325449384</v>
      </c>
    </row>
    <row r="300" spans="1:19" x14ac:dyDescent="0.25">
      <c r="A300" s="40">
        <f t="shared" si="45"/>
        <v>64.229676878151835</v>
      </c>
      <c r="B300" s="40">
        <f t="shared" si="45"/>
        <v>32.933286051621081</v>
      </c>
      <c r="C300" s="41">
        <f t="shared" si="40"/>
        <v>0.49289226185293716</v>
      </c>
      <c r="D300" s="41">
        <f t="shared" si="41"/>
        <v>0.98069361229543572</v>
      </c>
      <c r="E300" s="39">
        <f>IF(_xlfn.NORM.INV(R300,C300,'Regressão Grupo 2'!$B$7)&lt;=0,0,IF(_xlfn.NORM.INV(R300,C300,'Regressão Grupo 2'!$B$7)&gt;100%,100%,_xlfn.NORM.INV(R300,C300,'Regressão Grupo 2'!$B$7)))</f>
        <v>0.50204350050844693</v>
      </c>
      <c r="F300" s="39">
        <f>IF(_xlfn.NORM.INV(S300,D300,'Regressão Grupo 2'!$B$7)&lt;=0,0,IF(_xlfn.NORM.INV(S300,D300,'Regressão Grupo 2'!$B$7)&gt;100%,100%,_xlfn.NORM.INV(S300,D300,'Regressão Grupo 2'!$B$7)))</f>
        <v>0.81460038295967041</v>
      </c>
      <c r="G300" s="41">
        <v>1.9634144553775473E-2</v>
      </c>
      <c r="H300" s="41">
        <v>1.6297538253732261E-2</v>
      </c>
      <c r="I300" s="40">
        <f t="shared" si="42"/>
        <v>197.05835844850506</v>
      </c>
      <c r="J300" s="40">
        <f t="shared" si="42"/>
        <v>0</v>
      </c>
      <c r="K300" s="36">
        <v>0.41032978397195036</v>
      </c>
      <c r="L300" s="42">
        <f t="shared" si="48"/>
        <v>19991.322604477216</v>
      </c>
      <c r="M300" s="42">
        <f t="shared" si="48"/>
        <v>0</v>
      </c>
      <c r="N300" s="42">
        <f t="shared" si="43"/>
        <v>8203.0350856087043</v>
      </c>
      <c r="O300" s="36">
        <v>3.8533350511869982</v>
      </c>
      <c r="P300" s="42">
        <f t="shared" si="44"/>
        <v>3694.6277239388019</v>
      </c>
      <c r="Q300" s="42"/>
      <c r="R300">
        <v>0.5263832514419996</v>
      </c>
      <c r="S300">
        <v>0.11484115115817743</v>
      </c>
    </row>
    <row r="301" spans="1:19" x14ac:dyDescent="0.25">
      <c r="A301" s="40">
        <f t="shared" si="45"/>
        <v>64.229676878151835</v>
      </c>
      <c r="B301" s="40">
        <f t="shared" si="45"/>
        <v>32.933286051621081</v>
      </c>
      <c r="C301" s="41">
        <f t="shared" si="40"/>
        <v>0.49289226185293716</v>
      </c>
      <c r="D301" s="41">
        <f t="shared" si="41"/>
        <v>0.98069361229543572</v>
      </c>
      <c r="E301" s="39">
        <f>IF(_xlfn.NORM.INV(R301,C301,'Regressão Grupo 2'!$B$7)&lt;=0,0,IF(_xlfn.NORM.INV(R301,C301,'Regressão Grupo 2'!$B$7)&gt;100%,100%,_xlfn.NORM.INV(R301,C301,'Regressão Grupo 2'!$B$7)))</f>
        <v>0.54294495942062582</v>
      </c>
      <c r="F301" s="39">
        <f>IF(_xlfn.NORM.INV(S301,D301,'Regressão Grupo 2'!$B$7)&lt;=0,0,IF(_xlfn.NORM.INV(S301,D301,'Regressão Grupo 2'!$B$7)&gt;100%,100%,_xlfn.NORM.INV(S301,D301,'Regressão Grupo 2'!$B$7)))</f>
        <v>1</v>
      </c>
      <c r="G301" s="41">
        <v>2.5045759260529776E-2</v>
      </c>
      <c r="H301" s="41">
        <v>1.2672151536664018E-2</v>
      </c>
      <c r="I301" s="40">
        <f t="shared" si="42"/>
        <v>271.85137561553427</v>
      </c>
      <c r="J301" s="40">
        <f t="shared" si="42"/>
        <v>0</v>
      </c>
      <c r="K301" s="36">
        <v>0.36277635776707096</v>
      </c>
      <c r="L301" s="42">
        <f t="shared" si="48"/>
        <v>19991.322604477216</v>
      </c>
      <c r="M301" s="42">
        <f t="shared" si="48"/>
        <v>0</v>
      </c>
      <c r="N301" s="42">
        <f t="shared" si="43"/>
        <v>7252.3792013987595</v>
      </c>
      <c r="O301" s="36">
        <v>7.3999292976646478</v>
      </c>
      <c r="P301" s="42">
        <f t="shared" si="44"/>
        <v>8196.8658542402627</v>
      </c>
      <c r="Q301" s="42"/>
      <c r="R301">
        <v>0.64131595812860498</v>
      </c>
      <c r="S301">
        <v>0.71504867702261421</v>
      </c>
    </row>
    <row r="302" spans="1:19" x14ac:dyDescent="0.25">
      <c r="A302" s="40">
        <f t="shared" si="45"/>
        <v>64.229676878151835</v>
      </c>
      <c r="B302" s="40">
        <f t="shared" si="45"/>
        <v>32.933286051621081</v>
      </c>
      <c r="C302" s="41">
        <f t="shared" si="40"/>
        <v>0.49289226185293716</v>
      </c>
      <c r="D302" s="41">
        <f t="shared" si="41"/>
        <v>0.98069361229543572</v>
      </c>
      <c r="E302" s="39">
        <f>IF(_xlfn.NORM.INV(R302,C302,'Regressão Grupo 2'!$B$7)&lt;=0,0,IF(_xlfn.NORM.INV(R302,C302,'Regressão Grupo 2'!$B$7)&gt;100%,100%,_xlfn.NORM.INV(R302,C302,'Regressão Grupo 2'!$B$7)))</f>
        <v>0.47486423894261681</v>
      </c>
      <c r="F302" s="39">
        <f>IF(_xlfn.NORM.INV(S302,D302,'Regressão Grupo 2'!$B$7)&lt;=0,0,IF(_xlfn.NORM.INV(S302,D302,'Regressão Grupo 2'!$B$7)&gt;100%,100%,_xlfn.NORM.INV(S302,D302,'Regressão Grupo 2'!$B$7)))</f>
        <v>0.83454405264473941</v>
      </c>
      <c r="G302" s="41">
        <v>1.7109546399237792E-2</v>
      </c>
      <c r="H302" s="41">
        <v>1.6592975145772758E-2</v>
      </c>
      <c r="I302" s="40">
        <f t="shared" si="42"/>
        <v>162.42373325336317</v>
      </c>
      <c r="J302" s="40">
        <f t="shared" si="42"/>
        <v>0</v>
      </c>
      <c r="K302" s="36">
        <v>0.33214180259687998</v>
      </c>
      <c r="L302" s="42">
        <f t="shared" si="48"/>
        <v>19991.322604477216</v>
      </c>
      <c r="M302" s="42">
        <f t="shared" si="48"/>
        <v>0</v>
      </c>
      <c r="N302" s="42">
        <f t="shared" si="43"/>
        <v>6639.9539261468162</v>
      </c>
      <c r="O302" s="36">
        <v>8.1011639686510328</v>
      </c>
      <c r="P302" s="42">
        <f t="shared" si="44"/>
        <v>2476.6486825738939</v>
      </c>
      <c r="Q302" s="42"/>
      <c r="R302">
        <v>0.44813379314554275</v>
      </c>
      <c r="S302">
        <v>0.14526810510574664</v>
      </c>
    </row>
    <row r="303" spans="1:19" x14ac:dyDescent="0.25">
      <c r="A303" s="40">
        <f t="shared" si="45"/>
        <v>64.229676878151835</v>
      </c>
      <c r="B303" s="40">
        <f t="shared" si="45"/>
        <v>32.933286051621081</v>
      </c>
      <c r="C303" s="41">
        <f t="shared" si="40"/>
        <v>0.49289226185293716</v>
      </c>
      <c r="D303" s="41">
        <f t="shared" si="41"/>
        <v>0.98069361229543572</v>
      </c>
      <c r="E303" s="39">
        <f>IF(_xlfn.NORM.INV(R303,C303,'Regressão Grupo 2'!$B$7)&lt;=0,0,IF(_xlfn.NORM.INV(R303,C303,'Regressão Grupo 2'!$B$7)&gt;100%,100%,_xlfn.NORM.INV(R303,C303,'Regressão Grupo 2'!$B$7)))</f>
        <v>0.52324413162618932</v>
      </c>
      <c r="F303" s="39">
        <f>IF(_xlfn.NORM.INV(S303,D303,'Regressão Grupo 2'!$B$7)&lt;=0,0,IF(_xlfn.NORM.INV(S303,D303,'Regressão Grupo 2'!$B$7)&gt;100%,100%,_xlfn.NORM.INV(S303,D303,'Regressão Grupo 2'!$B$7)))</f>
        <v>0.9794506966379618</v>
      </c>
      <c r="G303" s="41">
        <v>1.9393069854719884E-2</v>
      </c>
      <c r="H303" s="41">
        <v>2.0938359663071164E-2</v>
      </c>
      <c r="I303" s="40">
        <f t="shared" si="42"/>
        <v>202.85814769165373</v>
      </c>
      <c r="J303" s="40">
        <f t="shared" si="42"/>
        <v>0</v>
      </c>
      <c r="K303" s="36">
        <v>0.29325182457145216</v>
      </c>
      <c r="L303" s="42">
        <f t="shared" si="48"/>
        <v>19991.322604477216</v>
      </c>
      <c r="M303" s="42">
        <f t="shared" si="48"/>
        <v>0</v>
      </c>
      <c r="N303" s="42">
        <f t="shared" si="43"/>
        <v>5862.4918293594583</v>
      </c>
      <c r="O303" s="36">
        <v>3.0919474325627343</v>
      </c>
      <c r="P303" s="42">
        <f t="shared" si="44"/>
        <v>6539.7947200462222</v>
      </c>
      <c r="Q303" s="42"/>
      <c r="R303">
        <v>0.58687093722342598</v>
      </c>
      <c r="S303">
        <v>0.49641407513657032</v>
      </c>
    </row>
    <row r="304" spans="1:19" x14ac:dyDescent="0.25">
      <c r="A304" s="40">
        <f t="shared" si="45"/>
        <v>64.229676878151835</v>
      </c>
      <c r="B304" s="40">
        <f t="shared" si="45"/>
        <v>32.933286051621081</v>
      </c>
      <c r="C304" s="41">
        <f t="shared" si="40"/>
        <v>0.49289226185293716</v>
      </c>
      <c r="D304" s="41">
        <f t="shared" si="41"/>
        <v>0.98069361229543572</v>
      </c>
      <c r="E304" s="39">
        <f>IF(_xlfn.NORM.INV(R304,C304,'Regressão Grupo 2'!$B$7)&lt;=0,0,IF(_xlfn.NORM.INV(R304,C304,'Regressão Grupo 2'!$B$7)&gt;100%,100%,_xlfn.NORM.INV(R304,C304,'Regressão Grupo 2'!$B$7)))</f>
        <v>0.28273191272889159</v>
      </c>
      <c r="F304" s="39">
        <f>IF(_xlfn.NORM.INV(S304,D304,'Regressão Grupo 2'!$B$7)&lt;=0,0,IF(_xlfn.NORM.INV(S304,D304,'Regressão Grupo 2'!$B$7)&gt;100%,100%,_xlfn.NORM.INV(S304,D304,'Regressão Grupo 2'!$B$7)))</f>
        <v>1</v>
      </c>
      <c r="G304" s="41">
        <v>1.059913572620653E-2</v>
      </c>
      <c r="H304" s="41">
        <v>1.2407092529437632E-2</v>
      </c>
      <c r="I304" s="40">
        <f t="shared" si="42"/>
        <v>59.908274670942347</v>
      </c>
      <c r="J304" s="40">
        <f t="shared" si="42"/>
        <v>0</v>
      </c>
      <c r="K304" s="36">
        <v>0.15527529224748099</v>
      </c>
      <c r="L304" s="42">
        <f t="shared" si="48"/>
        <v>19991.322604477216</v>
      </c>
      <c r="M304" s="42">
        <f t="shared" si="48"/>
        <v>0</v>
      </c>
      <c r="N304" s="42">
        <f t="shared" si="43"/>
        <v>3104.1584598238724</v>
      </c>
      <c r="O304" s="36">
        <v>5.1091684230933518</v>
      </c>
      <c r="P304" s="42">
        <f t="shared" si="44"/>
        <v>437.64919938754065</v>
      </c>
      <c r="Q304" s="42"/>
      <c r="R304">
        <v>6.4271980956450092E-2</v>
      </c>
      <c r="S304">
        <v>0.9727774895474105</v>
      </c>
    </row>
    <row r="305" spans="1:19" x14ac:dyDescent="0.25">
      <c r="A305" s="40">
        <f t="shared" si="45"/>
        <v>64.229676878151835</v>
      </c>
      <c r="B305" s="40">
        <f t="shared" si="45"/>
        <v>32.933286051621081</v>
      </c>
      <c r="C305" s="41">
        <f t="shared" si="40"/>
        <v>0.49289226185293716</v>
      </c>
      <c r="D305" s="41">
        <f t="shared" si="41"/>
        <v>0.98069361229543572</v>
      </c>
      <c r="E305" s="39">
        <f>IF(_xlfn.NORM.INV(R305,C305,'Regressão Grupo 2'!$B$7)&lt;=0,0,IF(_xlfn.NORM.INV(R305,C305,'Regressão Grupo 2'!$B$7)&gt;100%,100%,_xlfn.NORM.INV(R305,C305,'Regressão Grupo 2'!$B$7)))</f>
        <v>0.46023890020101416</v>
      </c>
      <c r="F305" s="39">
        <f>IF(_xlfn.NORM.INV(S305,D305,'Regressão Grupo 2'!$B$7)&lt;=0,0,IF(_xlfn.NORM.INV(S305,D305,'Regressão Grupo 2'!$B$7)&gt;100%,100%,_xlfn.NORM.INV(S305,D305,'Regressão Grupo 2'!$B$7)))</f>
        <v>0.83138071844572103</v>
      </c>
      <c r="G305" s="41">
        <v>2.2029057972531269E-2</v>
      </c>
      <c r="H305" s="41">
        <v>2.0300614971798046E-2</v>
      </c>
      <c r="I305" s="40">
        <f t="shared" si="42"/>
        <v>202.68461137736151</v>
      </c>
      <c r="J305" s="40">
        <f t="shared" si="42"/>
        <v>0</v>
      </c>
      <c r="K305" s="36">
        <v>0.36554636927095219</v>
      </c>
      <c r="L305" s="42">
        <f t="shared" si="48"/>
        <v>19991.322604477216</v>
      </c>
      <c r="M305" s="42">
        <f t="shared" si="48"/>
        <v>0</v>
      </c>
      <c r="N305" s="42">
        <f t="shared" si="43"/>
        <v>7307.7553949909625</v>
      </c>
      <c r="O305" s="36">
        <v>5.0068635858828845</v>
      </c>
      <c r="P305" s="42">
        <f t="shared" si="44"/>
        <v>4695.7975018266088</v>
      </c>
      <c r="Q305" s="42"/>
      <c r="R305">
        <v>0.40665913876766258</v>
      </c>
      <c r="S305">
        <v>0.1401104770043031</v>
      </c>
    </row>
    <row r="306" spans="1:19" x14ac:dyDescent="0.25">
      <c r="A306" s="40">
        <f t="shared" si="45"/>
        <v>64.229676878151835</v>
      </c>
      <c r="B306" s="40">
        <f t="shared" si="45"/>
        <v>32.933286051621081</v>
      </c>
      <c r="C306" s="41">
        <f t="shared" si="40"/>
        <v>0.49289226185293716</v>
      </c>
      <c r="D306" s="41">
        <f t="shared" si="41"/>
        <v>0.98069361229543572</v>
      </c>
      <c r="E306" s="39">
        <f>IF(_xlfn.NORM.INV(R306,C306,'Regressão Grupo 2'!$B$7)&lt;=0,0,IF(_xlfn.NORM.INV(R306,C306,'Regressão Grupo 2'!$B$7)&gt;100%,100%,_xlfn.NORM.INV(R306,C306,'Regressão Grupo 2'!$B$7)))</f>
        <v>0.60662693782398258</v>
      </c>
      <c r="F306" s="39">
        <f>IF(_xlfn.NORM.INV(S306,D306,'Regressão Grupo 2'!$B$7)&lt;=0,0,IF(_xlfn.NORM.INV(S306,D306,'Regressão Grupo 2'!$B$7)&gt;100%,100%,_xlfn.NORM.INV(S306,D306,'Regressão Grupo 2'!$B$7)))</f>
        <v>1</v>
      </c>
      <c r="G306" s="41">
        <v>2.1746070150543601E-2</v>
      </c>
      <c r="H306" s="41">
        <v>7.3903218180950822E-3</v>
      </c>
      <c r="I306" s="40">
        <f t="shared" si="42"/>
        <v>263.72056885332921</v>
      </c>
      <c r="J306" s="40">
        <f t="shared" si="42"/>
        <v>0</v>
      </c>
      <c r="K306" s="36">
        <v>0.33849439431107875</v>
      </c>
      <c r="L306" s="42">
        <f t="shared" si="48"/>
        <v>19991.322604477216</v>
      </c>
      <c r="M306" s="42">
        <f t="shared" si="48"/>
        <v>0</v>
      </c>
      <c r="N306" s="42">
        <f t="shared" si="43"/>
        <v>6766.9506364798926</v>
      </c>
      <c r="O306" s="36">
        <v>6.9909224248109938</v>
      </c>
      <c r="P306" s="42">
        <f t="shared" si="44"/>
        <v>8328.086248411184</v>
      </c>
      <c r="Q306" s="42"/>
      <c r="R306">
        <v>0.79461043122653885</v>
      </c>
      <c r="S306">
        <v>0.88543351542710658</v>
      </c>
    </row>
    <row r="307" spans="1:19" x14ac:dyDescent="0.25">
      <c r="A307" s="40">
        <f t="shared" si="45"/>
        <v>64.229676878151835</v>
      </c>
      <c r="B307" s="40">
        <f t="shared" si="45"/>
        <v>32.933286051621081</v>
      </c>
      <c r="C307" s="41">
        <f t="shared" si="40"/>
        <v>0.49289226185293716</v>
      </c>
      <c r="D307" s="41">
        <f t="shared" si="41"/>
        <v>0.98069361229543572</v>
      </c>
      <c r="E307" s="39">
        <f>IF(_xlfn.NORM.INV(R307,C307,'Regressão Grupo 2'!$B$7)&lt;=0,0,IF(_xlfn.NORM.INV(R307,C307,'Regressão Grupo 2'!$B$7)&gt;100%,100%,_xlfn.NORM.INV(R307,C307,'Regressão Grupo 2'!$B$7)))</f>
        <v>0.31102373839462805</v>
      </c>
      <c r="F307" s="39">
        <f>IF(_xlfn.NORM.INV(S307,D307,'Regressão Grupo 2'!$B$7)&lt;=0,0,IF(_xlfn.NORM.INV(S307,D307,'Regressão Grupo 2'!$B$7)&gt;100%,100%,_xlfn.NORM.INV(S307,D307,'Regressão Grupo 2'!$B$7)))</f>
        <v>1</v>
      </c>
      <c r="G307" s="41">
        <v>2.1169169680125631E-2</v>
      </c>
      <c r="H307" s="41">
        <v>6.6924765778033019E-3</v>
      </c>
      <c r="I307" s="40">
        <f t="shared" si="42"/>
        <v>131.62515288857341</v>
      </c>
      <c r="J307" s="40">
        <f t="shared" si="42"/>
        <v>0</v>
      </c>
      <c r="K307" s="36">
        <v>0.30122237631392285</v>
      </c>
      <c r="L307" s="42">
        <f t="shared" si="48"/>
        <v>19991.322604477216</v>
      </c>
      <c r="M307" s="42">
        <f t="shared" si="48"/>
        <v>0</v>
      </c>
      <c r="N307" s="42">
        <f t="shared" si="43"/>
        <v>6021.833700578868</v>
      </c>
      <c r="O307" s="36">
        <v>4.5449626155235929</v>
      </c>
      <c r="P307" s="42">
        <f t="shared" si="44"/>
        <v>1834.1759393503935</v>
      </c>
      <c r="Q307" s="42"/>
      <c r="R307">
        <v>9.4210638752403333E-2</v>
      </c>
      <c r="S307">
        <v>0.59181493575853761</v>
      </c>
    </row>
    <row r="308" spans="1:19" x14ac:dyDescent="0.25">
      <c r="A308" s="40">
        <f t="shared" si="45"/>
        <v>64.229676878151835</v>
      </c>
      <c r="B308" s="40">
        <f t="shared" si="45"/>
        <v>32.933286051621081</v>
      </c>
      <c r="C308" s="41">
        <f t="shared" si="40"/>
        <v>0.49289226185293716</v>
      </c>
      <c r="D308" s="41">
        <f t="shared" si="41"/>
        <v>0.98069361229543572</v>
      </c>
      <c r="E308" s="39">
        <f>IF(_xlfn.NORM.INV(R308,C308,'Regressão Grupo 2'!$B$7)&lt;=0,0,IF(_xlfn.NORM.INV(R308,C308,'Regressão Grupo 2'!$B$7)&gt;100%,100%,_xlfn.NORM.INV(R308,C308,'Regressão Grupo 2'!$B$7)))</f>
        <v>0.50098365359766606</v>
      </c>
      <c r="F308" s="39">
        <f>IF(_xlfn.NORM.INV(S308,D308,'Regressão Grupo 2'!$B$7)&lt;=0,0,IF(_xlfn.NORM.INV(S308,D308,'Regressão Grupo 2'!$B$7)&gt;100%,100%,_xlfn.NORM.INV(S308,D308,'Regressão Grupo 2'!$B$7)))</f>
        <v>1</v>
      </c>
      <c r="G308" s="41">
        <v>4.5114769808902704E-3</v>
      </c>
      <c r="H308" s="41">
        <v>2.6246165805202223E-2</v>
      </c>
      <c r="I308" s="40">
        <f t="shared" si="42"/>
        <v>45.183911977142628</v>
      </c>
      <c r="J308" s="40">
        <f t="shared" si="42"/>
        <v>0</v>
      </c>
      <c r="K308" s="36">
        <v>0.30963433818713859</v>
      </c>
      <c r="L308" s="42">
        <f t="shared" si="48"/>
        <v>19991.322604477216</v>
      </c>
      <c r="M308" s="42">
        <f t="shared" si="48"/>
        <v>0</v>
      </c>
      <c r="N308" s="42">
        <f t="shared" si="43"/>
        <v>6189.9999441228865</v>
      </c>
      <c r="O308" s="36">
        <v>5.2260681074953057</v>
      </c>
      <c r="P308" s="42">
        <f t="shared" si="44"/>
        <v>-3523.9860790957814</v>
      </c>
      <c r="Q308" s="42"/>
      <c r="R308">
        <v>0.52333140049439986</v>
      </c>
      <c r="S308">
        <v>0.56691183202612383</v>
      </c>
    </row>
    <row r="309" spans="1:19" x14ac:dyDescent="0.25">
      <c r="A309" s="40">
        <f t="shared" si="45"/>
        <v>64.229676878151835</v>
      </c>
      <c r="B309" s="40">
        <f t="shared" si="45"/>
        <v>32.933286051621081</v>
      </c>
      <c r="C309" s="41">
        <f t="shared" si="40"/>
        <v>0.49289226185293716</v>
      </c>
      <c r="D309" s="41">
        <f t="shared" si="41"/>
        <v>0.98069361229543572</v>
      </c>
      <c r="E309" s="39">
        <f>IF(_xlfn.NORM.INV(R309,C309,'Regressão Grupo 2'!$B$7)&lt;=0,0,IF(_xlfn.NORM.INV(R309,C309,'Regressão Grupo 2'!$B$7)&gt;100%,100%,_xlfn.NORM.INV(R309,C309,'Regressão Grupo 2'!$B$7)))</f>
        <v>0.30695097277613614</v>
      </c>
      <c r="F309" s="39">
        <f>IF(_xlfn.NORM.INV(S309,D309,'Regressão Grupo 2'!$B$7)&lt;=0,0,IF(_xlfn.NORM.INV(S309,D309,'Regressão Grupo 2'!$B$7)&gt;100%,100%,_xlfn.NORM.INV(S309,D309,'Regressão Grupo 2'!$B$7)))</f>
        <v>1</v>
      </c>
      <c r="G309" s="41">
        <v>1.5868265450626924E-2</v>
      </c>
      <c r="H309" s="41">
        <v>1.926327084453899E-2</v>
      </c>
      <c r="I309" s="40">
        <f t="shared" si="42"/>
        <v>97.373324646430191</v>
      </c>
      <c r="J309" s="40">
        <f t="shared" si="42"/>
        <v>0</v>
      </c>
      <c r="K309" s="36">
        <v>0.27824514252409532</v>
      </c>
      <c r="L309" s="42">
        <f t="shared" si="48"/>
        <v>19991.322604477216</v>
      </c>
      <c r="M309" s="42">
        <f t="shared" si="48"/>
        <v>0</v>
      </c>
      <c r="N309" s="42">
        <f t="shared" si="43"/>
        <v>5562.4884073279318</v>
      </c>
      <c r="O309" s="36">
        <v>5.8359187208739298</v>
      </c>
      <c r="P309" s="42">
        <f t="shared" si="44"/>
        <v>123.50596304582086</v>
      </c>
      <c r="Q309" s="42"/>
      <c r="R309">
        <v>8.9358195745719779E-2</v>
      </c>
      <c r="S309">
        <v>0.55992309335612045</v>
      </c>
    </row>
    <row r="310" spans="1:19" x14ac:dyDescent="0.25">
      <c r="A310" s="40">
        <f t="shared" si="45"/>
        <v>64.229676878151835</v>
      </c>
      <c r="B310" s="40">
        <f t="shared" si="45"/>
        <v>32.933286051621081</v>
      </c>
      <c r="C310" s="41">
        <f t="shared" si="40"/>
        <v>0.49289226185293716</v>
      </c>
      <c r="D310" s="41">
        <f t="shared" si="41"/>
        <v>0.98069361229543572</v>
      </c>
      <c r="E310" s="39">
        <f>IF(_xlfn.NORM.INV(R310,C310,'Regressão Grupo 2'!$B$7)&lt;=0,0,IF(_xlfn.NORM.INV(R310,C310,'Regressão Grupo 2'!$B$7)&gt;100%,100%,_xlfn.NORM.INV(R310,C310,'Regressão Grupo 2'!$B$7)))</f>
        <v>0.50738397492066201</v>
      </c>
      <c r="F310" s="39">
        <f>IF(_xlfn.NORM.INV(S310,D310,'Regressão Grupo 2'!$B$7)&lt;=0,0,IF(_xlfn.NORM.INV(S310,D310,'Regressão Grupo 2'!$B$7)&gt;100%,100%,_xlfn.NORM.INV(S310,D310,'Regressão Grupo 2'!$B$7)))</f>
        <v>0.94345317331792811</v>
      </c>
      <c r="G310" s="41">
        <v>1.626047823607351E-2</v>
      </c>
      <c r="H310" s="41">
        <v>5.0549491802796553E-3</v>
      </c>
      <c r="I310" s="40">
        <f t="shared" si="42"/>
        <v>164.9345304615444</v>
      </c>
      <c r="J310" s="40">
        <f t="shared" si="42"/>
        <v>0</v>
      </c>
      <c r="K310" s="36">
        <v>0.29689754780820843</v>
      </c>
      <c r="L310" s="42">
        <f t="shared" si="48"/>
        <v>19991.322604477216</v>
      </c>
      <c r="M310" s="42">
        <f t="shared" si="48"/>
        <v>0</v>
      </c>
      <c r="N310" s="42">
        <f t="shared" si="43"/>
        <v>5935.3746587120922</v>
      </c>
      <c r="O310" s="36">
        <v>6.3104033390835026</v>
      </c>
      <c r="P310" s="42">
        <f t="shared" si="44"/>
        <v>3617.5135271278969</v>
      </c>
      <c r="Q310" s="42"/>
      <c r="R310">
        <v>0.5417340617084262</v>
      </c>
      <c r="S310">
        <v>0.39384136478774379</v>
      </c>
    </row>
    <row r="311" spans="1:19" x14ac:dyDescent="0.25">
      <c r="A311" s="40">
        <f t="shared" si="45"/>
        <v>64.229676878151835</v>
      </c>
      <c r="B311" s="40">
        <f t="shared" si="45"/>
        <v>32.933286051621081</v>
      </c>
      <c r="C311" s="41">
        <f t="shared" si="40"/>
        <v>0.49289226185293716</v>
      </c>
      <c r="D311" s="41">
        <f t="shared" si="41"/>
        <v>0.98069361229543572</v>
      </c>
      <c r="E311" s="39">
        <f>IF(_xlfn.NORM.INV(R311,C311,'Regressão Grupo 2'!$B$7)&lt;=0,0,IF(_xlfn.NORM.INV(R311,C311,'Regressão Grupo 2'!$B$7)&gt;100%,100%,_xlfn.NORM.INV(R311,C311,'Regressão Grupo 2'!$B$7)))</f>
        <v>0.17465054890699261</v>
      </c>
      <c r="F311" s="39">
        <f>IF(_xlfn.NORM.INV(S311,D311,'Regressão Grupo 2'!$B$7)&lt;=0,0,IF(_xlfn.NORM.INV(S311,D311,'Regressão Grupo 2'!$B$7)&gt;100%,100%,_xlfn.NORM.INV(S311,D311,'Regressão Grupo 2'!$B$7)))</f>
        <v>0.96085039944229267</v>
      </c>
      <c r="G311" s="41">
        <v>2.2112682393606545E-2</v>
      </c>
      <c r="H311" s="41">
        <v>2.4565474106797939E-2</v>
      </c>
      <c r="I311" s="40">
        <f t="shared" si="42"/>
        <v>77.206330323875036</v>
      </c>
      <c r="J311" s="40">
        <f t="shared" si="42"/>
        <v>0</v>
      </c>
      <c r="K311" s="36">
        <v>0.43201388876766367</v>
      </c>
      <c r="L311" s="42">
        <f t="shared" ref="L311:M326" si="49">L310</f>
        <v>19991.322604477216</v>
      </c>
      <c r="M311" s="42">
        <f t="shared" si="49"/>
        <v>0</v>
      </c>
      <c r="N311" s="42">
        <f t="shared" si="43"/>
        <v>8636.5290199691008</v>
      </c>
      <c r="O311" s="36">
        <v>4.0187084211431499</v>
      </c>
      <c r="P311" s="42">
        <f t="shared" si="44"/>
        <v>-3987.8611001568679</v>
      </c>
      <c r="Q311" s="42"/>
      <c r="R311">
        <v>1.0681478316599017E-2</v>
      </c>
      <c r="S311">
        <v>0.44294564653462326</v>
      </c>
    </row>
    <row r="312" spans="1:19" x14ac:dyDescent="0.25">
      <c r="A312" s="40">
        <f t="shared" si="45"/>
        <v>64.229676878151835</v>
      </c>
      <c r="B312" s="40">
        <f t="shared" si="45"/>
        <v>32.933286051621081</v>
      </c>
      <c r="C312" s="41">
        <f t="shared" si="40"/>
        <v>0.49289226185293716</v>
      </c>
      <c r="D312" s="41">
        <f t="shared" si="41"/>
        <v>0.98069361229543572</v>
      </c>
      <c r="E312" s="39">
        <f>IF(_xlfn.NORM.INV(R312,C312,'Regressão Grupo 2'!$B$7)&lt;=0,0,IF(_xlfn.NORM.INV(R312,C312,'Regressão Grupo 2'!$B$7)&gt;100%,100%,_xlfn.NORM.INV(R312,C312,'Regressão Grupo 2'!$B$7)))</f>
        <v>0.45465270640447825</v>
      </c>
      <c r="F312" s="39">
        <f>IF(_xlfn.NORM.INV(S312,D312,'Regressão Grupo 2'!$B$7)&lt;=0,0,IF(_xlfn.NORM.INV(S312,D312,'Regressão Grupo 2'!$B$7)&gt;100%,100%,_xlfn.NORM.INV(S312,D312,'Regressão Grupo 2'!$B$7)))</f>
        <v>0.72496145460609018</v>
      </c>
      <c r="G312" s="41">
        <v>2.5263744236820491E-2</v>
      </c>
      <c r="H312" s="41">
        <v>2.1930378222412401E-2</v>
      </c>
      <c r="I312" s="40">
        <f t="shared" si="42"/>
        <v>229.62492326552359</v>
      </c>
      <c r="J312" s="40">
        <f t="shared" si="42"/>
        <v>0</v>
      </c>
      <c r="K312" s="36">
        <v>0.27449178469756363</v>
      </c>
      <c r="L312" s="42">
        <f t="shared" si="49"/>
        <v>19991.322604477216</v>
      </c>
      <c r="M312" s="42">
        <f t="shared" si="49"/>
        <v>0</v>
      </c>
      <c r="N312" s="42">
        <f t="shared" si="43"/>
        <v>5487.4538201676969</v>
      </c>
      <c r="O312" s="36">
        <v>9.6207716240143242</v>
      </c>
      <c r="P312" s="42">
        <f t="shared" si="44"/>
        <v>7052.1118584278756</v>
      </c>
      <c r="Q312" s="42"/>
      <c r="R312">
        <v>0.39106418042542801</v>
      </c>
      <c r="S312">
        <v>3.2197027497177039E-2</v>
      </c>
    </row>
    <row r="313" spans="1:19" x14ac:dyDescent="0.25">
      <c r="A313" s="40">
        <f t="shared" si="45"/>
        <v>64.229676878151835</v>
      </c>
      <c r="B313" s="40">
        <f t="shared" si="45"/>
        <v>32.933286051621081</v>
      </c>
      <c r="C313" s="41">
        <f t="shared" si="40"/>
        <v>0.49289226185293716</v>
      </c>
      <c r="D313" s="41">
        <f t="shared" si="41"/>
        <v>0.98069361229543572</v>
      </c>
      <c r="E313" s="39">
        <f>IF(_xlfn.NORM.INV(R313,C313,'Regressão Grupo 2'!$B$7)&lt;=0,0,IF(_xlfn.NORM.INV(R313,C313,'Regressão Grupo 2'!$B$7)&gt;100%,100%,_xlfn.NORM.INV(R313,C313,'Regressão Grupo 2'!$B$7)))</f>
        <v>0.49000958534951589</v>
      </c>
      <c r="F313" s="39">
        <f>IF(_xlfn.NORM.INV(S313,D313,'Regressão Grupo 2'!$B$7)&lt;=0,0,IF(_xlfn.NORM.INV(S313,D313,'Regressão Grupo 2'!$B$7)&gt;100%,100%,_xlfn.NORM.INV(S313,D313,'Regressão Grupo 2'!$B$7)))</f>
        <v>1</v>
      </c>
      <c r="G313" s="41">
        <v>1.6983845734969721E-2</v>
      </c>
      <c r="H313" s="41">
        <v>8.1138350729801148E-3</v>
      </c>
      <c r="I313" s="40">
        <f t="shared" si="42"/>
        <v>166.3727286940063</v>
      </c>
      <c r="J313" s="40">
        <f t="shared" si="42"/>
        <v>0</v>
      </c>
      <c r="K313" s="36">
        <v>0.21082388204178082</v>
      </c>
      <c r="L313" s="42">
        <f t="shared" si="49"/>
        <v>19991.322604477216</v>
      </c>
      <c r="M313" s="42">
        <f t="shared" si="49"/>
        <v>0</v>
      </c>
      <c r="N313" s="42">
        <f t="shared" si="43"/>
        <v>4214.6482386254911</v>
      </c>
      <c r="O313" s="36">
        <v>5.7457631041470627</v>
      </c>
      <c r="P313" s="42">
        <f t="shared" si="44"/>
        <v>5515.4800806606645</v>
      </c>
      <c r="Q313" s="42"/>
      <c r="R313">
        <v>0.49168370616779078</v>
      </c>
      <c r="S313">
        <v>0.9464400158696249</v>
      </c>
    </row>
    <row r="314" spans="1:19" x14ac:dyDescent="0.25">
      <c r="A314" s="40">
        <f t="shared" si="45"/>
        <v>64.229676878151835</v>
      </c>
      <c r="B314" s="40">
        <f t="shared" si="45"/>
        <v>32.933286051621081</v>
      </c>
      <c r="C314" s="41">
        <f t="shared" si="40"/>
        <v>0.49289226185293716</v>
      </c>
      <c r="D314" s="41">
        <f t="shared" si="41"/>
        <v>0.98069361229543572</v>
      </c>
      <c r="E314" s="39">
        <f>IF(_xlfn.NORM.INV(R314,C314,'Regressão Grupo 2'!$B$7)&lt;=0,0,IF(_xlfn.NORM.INV(R314,C314,'Regressão Grupo 2'!$B$7)&gt;100%,100%,_xlfn.NORM.INV(R314,C314,'Regressão Grupo 2'!$B$7)))</f>
        <v>0.54133327574474299</v>
      </c>
      <c r="F314" s="39">
        <f>IF(_xlfn.NORM.INV(S314,D314,'Regressão Grupo 2'!$B$7)&lt;=0,0,IF(_xlfn.NORM.INV(S314,D314,'Regressão Grupo 2'!$B$7)&gt;100%,100%,_xlfn.NORM.INV(S314,D314,'Regressão Grupo 2'!$B$7)))</f>
        <v>0.88243011177808917</v>
      </c>
      <c r="G314" s="41">
        <v>9.4002155705346438E-3</v>
      </c>
      <c r="H314" s="41">
        <v>2.1489768380068375E-2</v>
      </c>
      <c r="I314" s="40">
        <f t="shared" si="42"/>
        <v>101.72883352580526</v>
      </c>
      <c r="J314" s="40">
        <f t="shared" si="42"/>
        <v>0</v>
      </c>
      <c r="K314" s="36">
        <v>0.36416770358179118</v>
      </c>
      <c r="L314" s="42">
        <f t="shared" si="49"/>
        <v>19991.322604477216</v>
      </c>
      <c r="M314" s="42">
        <f t="shared" si="49"/>
        <v>0</v>
      </c>
      <c r="N314" s="42">
        <f t="shared" si="43"/>
        <v>7280.1940444352203</v>
      </c>
      <c r="O314" s="36">
        <v>6.5215568698074371</v>
      </c>
      <c r="P314" s="42">
        <f t="shared" si="44"/>
        <v>-1409.6143110191615</v>
      </c>
      <c r="Q314" s="42"/>
      <c r="R314">
        <v>0.63695181127353739</v>
      </c>
      <c r="S314">
        <v>0.23865474410229803</v>
      </c>
    </row>
    <row r="315" spans="1:19" x14ac:dyDescent="0.25">
      <c r="A315" s="40">
        <f t="shared" si="45"/>
        <v>64.229676878151835</v>
      </c>
      <c r="B315" s="40">
        <f t="shared" si="45"/>
        <v>32.933286051621081</v>
      </c>
      <c r="C315" s="41">
        <f t="shared" si="40"/>
        <v>0.49289226185293716</v>
      </c>
      <c r="D315" s="41">
        <f t="shared" si="41"/>
        <v>0.98069361229543572</v>
      </c>
      <c r="E315" s="39">
        <f>IF(_xlfn.NORM.INV(R315,C315,'Regressão Grupo 2'!$B$7)&lt;=0,0,IF(_xlfn.NORM.INV(R315,C315,'Regressão Grupo 2'!$B$7)&gt;100%,100%,_xlfn.NORM.INV(R315,C315,'Regressão Grupo 2'!$B$7)))</f>
        <v>0.4584195730646371</v>
      </c>
      <c r="F315" s="39">
        <f>IF(_xlfn.NORM.INV(S315,D315,'Regressão Grupo 2'!$B$7)&lt;=0,0,IF(_xlfn.NORM.INV(S315,D315,'Regressão Grupo 2'!$B$7)&gt;100%,100%,_xlfn.NORM.INV(S315,D315,'Regressão Grupo 2'!$B$7)))</f>
        <v>0.99643035490095577</v>
      </c>
      <c r="G315" s="41">
        <v>1.7663573037696487E-2</v>
      </c>
      <c r="H315" s="41">
        <v>1.8148521419861532E-2</v>
      </c>
      <c r="I315" s="40">
        <f t="shared" si="42"/>
        <v>161.87628850038124</v>
      </c>
      <c r="J315" s="40">
        <f t="shared" si="42"/>
        <v>0</v>
      </c>
      <c r="K315" s="36">
        <v>0.21784095157526548</v>
      </c>
      <c r="L315" s="42">
        <f t="shared" si="49"/>
        <v>19991.322604477216</v>
      </c>
      <c r="M315" s="42">
        <f t="shared" si="49"/>
        <v>0</v>
      </c>
      <c r="N315" s="42">
        <f t="shared" si="43"/>
        <v>4354.9287394074317</v>
      </c>
      <c r="O315" s="36">
        <v>5.5396627338529854</v>
      </c>
      <c r="P315" s="42">
        <f t="shared" si="44"/>
        <v>5145.5929223065441</v>
      </c>
      <c r="Q315" s="42"/>
      <c r="R315">
        <v>0.40156254768517108</v>
      </c>
      <c r="S315">
        <v>0.54530472731711788</v>
      </c>
    </row>
    <row r="316" spans="1:19" x14ac:dyDescent="0.25">
      <c r="A316" s="40">
        <f t="shared" si="45"/>
        <v>64.229676878151835</v>
      </c>
      <c r="B316" s="40">
        <f t="shared" si="45"/>
        <v>32.933286051621081</v>
      </c>
      <c r="C316" s="41">
        <f t="shared" si="40"/>
        <v>0.49289226185293716</v>
      </c>
      <c r="D316" s="41">
        <f t="shared" si="41"/>
        <v>0.98069361229543572</v>
      </c>
      <c r="E316" s="39">
        <f>IF(_xlfn.NORM.INV(R316,C316,'Regressão Grupo 2'!$B$7)&lt;=0,0,IF(_xlfn.NORM.INV(R316,C316,'Regressão Grupo 2'!$B$7)&gt;100%,100%,_xlfn.NORM.INV(R316,C316,'Regressão Grupo 2'!$B$7)))</f>
        <v>0.32097242288702377</v>
      </c>
      <c r="F316" s="39">
        <f>IF(_xlfn.NORM.INV(S316,D316,'Regressão Grupo 2'!$B$7)&lt;=0,0,IF(_xlfn.NORM.INV(S316,D316,'Regressão Grupo 2'!$B$7)&gt;100%,100%,_xlfn.NORM.INV(S316,D316,'Regressão Grupo 2'!$B$7)))</f>
        <v>0.89731707816986583</v>
      </c>
      <c r="G316" s="41">
        <v>8.4503394030514475E-3</v>
      </c>
      <c r="H316" s="41">
        <v>1.7880219677785296E-2</v>
      </c>
      <c r="I316" s="40">
        <f t="shared" si="42"/>
        <v>54.222982323573461</v>
      </c>
      <c r="J316" s="40">
        <f t="shared" si="42"/>
        <v>0</v>
      </c>
      <c r="K316" s="36">
        <v>0.45363708464355246</v>
      </c>
      <c r="L316" s="42">
        <f t="shared" si="49"/>
        <v>19991.322604477216</v>
      </c>
      <c r="M316" s="42">
        <f t="shared" si="49"/>
        <v>0</v>
      </c>
      <c r="N316" s="42">
        <f t="shared" si="43"/>
        <v>9068.8053044637945</v>
      </c>
      <c r="O316" s="36">
        <v>6.500022172982483</v>
      </c>
      <c r="P316" s="42">
        <f t="shared" si="44"/>
        <v>-5938.5312578393969</v>
      </c>
      <c r="Q316" s="42"/>
      <c r="R316">
        <v>0.10687582018494217</v>
      </c>
      <c r="S316">
        <v>0.27326273384807886</v>
      </c>
    </row>
    <row r="317" spans="1:19" x14ac:dyDescent="0.25">
      <c r="A317" s="40">
        <f t="shared" si="45"/>
        <v>64.229676878151835</v>
      </c>
      <c r="B317" s="40">
        <f t="shared" si="45"/>
        <v>32.933286051621081</v>
      </c>
      <c r="C317" s="41">
        <f t="shared" si="40"/>
        <v>0.49289226185293716</v>
      </c>
      <c r="D317" s="41">
        <f t="shared" si="41"/>
        <v>0.98069361229543572</v>
      </c>
      <c r="E317" s="39">
        <f>IF(_xlfn.NORM.INV(R317,C317,'Regressão Grupo 2'!$B$7)&lt;=0,0,IF(_xlfn.NORM.INV(R317,C317,'Regressão Grupo 2'!$B$7)&gt;100%,100%,_xlfn.NORM.INV(R317,C317,'Regressão Grupo 2'!$B$7)))</f>
        <v>0.39163730540626113</v>
      </c>
      <c r="F317" s="39">
        <f>IF(_xlfn.NORM.INV(S317,D317,'Regressão Grupo 2'!$B$7)&lt;=0,0,IF(_xlfn.NORM.INV(S317,D317,'Regressão Grupo 2'!$B$7)&gt;100%,100%,_xlfn.NORM.INV(S317,D317,'Regressão Grupo 2'!$B$7)))</f>
        <v>0.96279359947067344</v>
      </c>
      <c r="G317" s="41">
        <v>1.2886587724484987E-2</v>
      </c>
      <c r="H317" s="41">
        <v>2.1530480212186023E-2</v>
      </c>
      <c r="I317" s="40">
        <f t="shared" si="42"/>
        <v>100.89357617191492</v>
      </c>
      <c r="J317" s="40">
        <f t="shared" si="42"/>
        <v>0</v>
      </c>
      <c r="K317" s="36">
        <v>0.44321925165275172</v>
      </c>
      <c r="L317" s="42">
        <f t="shared" si="49"/>
        <v>19991.322604477216</v>
      </c>
      <c r="M317" s="42">
        <f t="shared" si="49"/>
        <v>0</v>
      </c>
      <c r="N317" s="42">
        <f t="shared" si="43"/>
        <v>8860.539044305131</v>
      </c>
      <c r="O317" s="36">
        <v>4.0051875786305846</v>
      </c>
      <c r="P317" s="42">
        <f t="shared" si="44"/>
        <v>-2784.2749457492091</v>
      </c>
      <c r="Q317" s="42"/>
      <c r="R317">
        <v>0.23200170903653067</v>
      </c>
      <c r="S317">
        <v>0.44850001525925476</v>
      </c>
    </row>
    <row r="318" spans="1:19" x14ac:dyDescent="0.25">
      <c r="A318" s="40">
        <f t="shared" si="45"/>
        <v>64.229676878151835</v>
      </c>
      <c r="B318" s="40">
        <f t="shared" si="45"/>
        <v>32.933286051621081</v>
      </c>
      <c r="C318" s="41">
        <f t="shared" si="40"/>
        <v>0.49289226185293716</v>
      </c>
      <c r="D318" s="41">
        <f t="shared" si="41"/>
        <v>0.98069361229543572</v>
      </c>
      <c r="E318" s="39">
        <f>IF(_xlfn.NORM.INV(R318,C318,'Regressão Grupo 2'!$B$7)&lt;=0,0,IF(_xlfn.NORM.INV(R318,C318,'Regressão Grupo 2'!$B$7)&gt;100%,100%,_xlfn.NORM.INV(R318,C318,'Regressão Grupo 2'!$B$7)))</f>
        <v>0.53581440141790848</v>
      </c>
      <c r="F318" s="39">
        <f>IF(_xlfn.NORM.INV(S318,D318,'Regressão Grupo 2'!$B$7)&lt;=0,0,IF(_xlfn.NORM.INV(S318,D318,'Regressão Grupo 2'!$B$7)&gt;100%,100%,_xlfn.NORM.INV(S318,D318,'Regressão Grupo 2'!$B$7)))</f>
        <v>1</v>
      </c>
      <c r="G318" s="41">
        <v>2.7627480647946848E-2</v>
      </c>
      <c r="H318" s="41">
        <v>8.1112319496013906E-3</v>
      </c>
      <c r="I318" s="40">
        <f t="shared" si="42"/>
        <v>295.93558688247953</v>
      </c>
      <c r="J318" s="40">
        <f t="shared" si="42"/>
        <v>0</v>
      </c>
      <c r="K318" s="36">
        <v>0.29909427119797427</v>
      </c>
      <c r="L318" s="42">
        <f t="shared" si="49"/>
        <v>19991.322604477216</v>
      </c>
      <c r="M318" s="42">
        <f t="shared" si="49"/>
        <v>0</v>
      </c>
      <c r="N318" s="42">
        <f t="shared" si="43"/>
        <v>5979.2900646697017</v>
      </c>
      <c r="O318" s="36">
        <v>8.0663516764631122</v>
      </c>
      <c r="P318" s="42">
        <f t="shared" si="44"/>
        <v>10641.436540163602</v>
      </c>
      <c r="Q318" s="42"/>
      <c r="R318">
        <v>0.62187566759239477</v>
      </c>
      <c r="S318">
        <v>0.82982879116183961</v>
      </c>
    </row>
    <row r="319" spans="1:19" x14ac:dyDescent="0.25">
      <c r="A319" s="40">
        <f t="shared" si="45"/>
        <v>64.229676878151835</v>
      </c>
      <c r="B319" s="40">
        <f t="shared" si="45"/>
        <v>32.933286051621081</v>
      </c>
      <c r="C319" s="41">
        <f t="shared" si="40"/>
        <v>0.49289226185293716</v>
      </c>
      <c r="D319" s="41">
        <f t="shared" si="41"/>
        <v>0.98069361229543572</v>
      </c>
      <c r="E319" s="39">
        <f>IF(_xlfn.NORM.INV(R319,C319,'Regressão Grupo 2'!$B$7)&lt;=0,0,IF(_xlfn.NORM.INV(R319,C319,'Regressão Grupo 2'!$B$7)&gt;100%,100%,_xlfn.NORM.INV(R319,C319,'Regressão Grupo 2'!$B$7)))</f>
        <v>0.69840490025239044</v>
      </c>
      <c r="F319" s="39">
        <f>IF(_xlfn.NORM.INV(S319,D319,'Regressão Grupo 2'!$B$7)&lt;=0,0,IF(_xlfn.NORM.INV(S319,D319,'Regressão Grupo 2'!$B$7)&gt;100%,100%,_xlfn.NORM.INV(S319,D319,'Regressão Grupo 2'!$B$7)))</f>
        <v>0.87466161772008411</v>
      </c>
      <c r="G319" s="41">
        <v>2.2789425364125718E-2</v>
      </c>
      <c r="H319" s="41">
        <v>4.2885328288894903E-3</v>
      </c>
      <c r="I319" s="40">
        <f t="shared" si="42"/>
        <v>318.18681540002859</v>
      </c>
      <c r="J319" s="40">
        <f t="shared" si="42"/>
        <v>0</v>
      </c>
      <c r="K319" s="36">
        <v>0.23975598868707332</v>
      </c>
      <c r="L319" s="42">
        <f t="shared" si="49"/>
        <v>19991.322604477216</v>
      </c>
      <c r="M319" s="42">
        <f t="shared" si="49"/>
        <v>0</v>
      </c>
      <c r="N319" s="42">
        <f t="shared" si="43"/>
        <v>4793.0393161986722</v>
      </c>
      <c r="O319" s="36">
        <v>4.3173271394352541</v>
      </c>
      <c r="P319" s="42">
        <f t="shared" si="44"/>
        <v>14270.280450296294</v>
      </c>
      <c r="Q319" s="42"/>
      <c r="R319">
        <v>0.93139439069795826</v>
      </c>
      <c r="S319">
        <v>0.22159489730521562</v>
      </c>
    </row>
    <row r="320" spans="1:19" x14ac:dyDescent="0.25">
      <c r="A320" s="40">
        <f t="shared" si="45"/>
        <v>64.229676878151835</v>
      </c>
      <c r="B320" s="40">
        <f t="shared" si="45"/>
        <v>32.933286051621081</v>
      </c>
      <c r="C320" s="41">
        <f t="shared" si="40"/>
        <v>0.49289226185293716</v>
      </c>
      <c r="D320" s="41">
        <f t="shared" si="41"/>
        <v>0.98069361229543572</v>
      </c>
      <c r="E320" s="39">
        <f>IF(_xlfn.NORM.INV(R320,C320,'Regressão Grupo 2'!$B$7)&lt;=0,0,IF(_xlfn.NORM.INV(R320,C320,'Regressão Grupo 2'!$B$7)&gt;100%,100%,_xlfn.NORM.INV(R320,C320,'Regressão Grupo 2'!$B$7)))</f>
        <v>0.58762022452505325</v>
      </c>
      <c r="F320" s="39">
        <f>IF(_xlfn.NORM.INV(S320,D320,'Regressão Grupo 2'!$B$7)&lt;=0,0,IF(_xlfn.NORM.INV(S320,D320,'Regressão Grupo 2'!$B$7)&gt;100%,100%,_xlfn.NORM.INV(S320,D320,'Regressão Grupo 2'!$B$7)))</f>
        <v>1</v>
      </c>
      <c r="G320" s="41">
        <v>7.0642460040461772E-3</v>
      </c>
      <c r="H320" s="41">
        <v>2.3713062242502043E-2</v>
      </c>
      <c r="I320" s="40">
        <f t="shared" si="42"/>
        <v>82.985855777002172</v>
      </c>
      <c r="J320" s="40">
        <f t="shared" si="42"/>
        <v>0</v>
      </c>
      <c r="K320" s="36">
        <v>0.2223463090845762</v>
      </c>
      <c r="L320" s="42">
        <f t="shared" si="49"/>
        <v>19991.322604477216</v>
      </c>
      <c r="M320" s="42">
        <f t="shared" si="49"/>
        <v>0</v>
      </c>
      <c r="N320" s="42">
        <f t="shared" si="43"/>
        <v>4444.9967948245658</v>
      </c>
      <c r="O320" s="36">
        <v>6.0389745044252274</v>
      </c>
      <c r="P320" s="42">
        <f t="shared" si="44"/>
        <v>384.00843992396858</v>
      </c>
      <c r="Q320" s="42"/>
      <c r="R320">
        <v>0.75334940641499071</v>
      </c>
      <c r="S320">
        <v>0.89004181035798213</v>
      </c>
    </row>
    <row r="321" spans="1:19" x14ac:dyDescent="0.25">
      <c r="A321" s="40">
        <f t="shared" si="45"/>
        <v>64.229676878151835</v>
      </c>
      <c r="B321" s="40">
        <f t="shared" si="45"/>
        <v>32.933286051621081</v>
      </c>
      <c r="C321" s="41">
        <f t="shared" si="40"/>
        <v>0.49289226185293716</v>
      </c>
      <c r="D321" s="41">
        <f t="shared" si="41"/>
        <v>0.98069361229543572</v>
      </c>
      <c r="E321" s="39">
        <f>IF(_xlfn.NORM.INV(R321,C321,'Regressão Grupo 2'!$B$7)&lt;=0,0,IF(_xlfn.NORM.INV(R321,C321,'Regressão Grupo 2'!$B$7)&gt;100%,100%,_xlfn.NORM.INV(R321,C321,'Regressão Grupo 2'!$B$7)))</f>
        <v>0.74775206314387677</v>
      </c>
      <c r="F321" s="39">
        <f>IF(_xlfn.NORM.INV(S321,D321,'Regressão Grupo 2'!$B$7)&lt;=0,0,IF(_xlfn.NORM.INV(S321,D321,'Regressão Grupo 2'!$B$7)&gt;100%,100%,_xlfn.NORM.INV(S321,D321,'Regressão Grupo 2'!$B$7)))</f>
        <v>1</v>
      </c>
      <c r="G321" s="41">
        <v>2.1299558727997735E-2</v>
      </c>
      <c r="H321" s="41">
        <v>7.8552123738796029E-3</v>
      </c>
      <c r="I321" s="40">
        <f t="shared" si="42"/>
        <v>318.3975766108768</v>
      </c>
      <c r="J321" s="40">
        <f t="shared" si="42"/>
        <v>0</v>
      </c>
      <c r="K321" s="36">
        <v>0.40858240442507426</v>
      </c>
      <c r="L321" s="42">
        <f t="shared" si="49"/>
        <v>19991.322604477216</v>
      </c>
      <c r="M321" s="42">
        <f t="shared" si="49"/>
        <v>0</v>
      </c>
      <c r="N321" s="42">
        <f t="shared" si="43"/>
        <v>8168.1026573746385</v>
      </c>
      <c r="O321" s="36">
        <v>7.5573846903646791</v>
      </c>
      <c r="P321" s="42">
        <f t="shared" si="44"/>
        <v>9876.2178362003142</v>
      </c>
      <c r="Q321" s="42"/>
      <c r="R321">
        <v>0.96734519486068304</v>
      </c>
      <c r="S321">
        <v>0.72389904477065337</v>
      </c>
    </row>
    <row r="322" spans="1:19" x14ac:dyDescent="0.25">
      <c r="A322" s="40">
        <f t="shared" si="45"/>
        <v>64.229676878151835</v>
      </c>
      <c r="B322" s="40">
        <f t="shared" si="45"/>
        <v>32.933286051621081</v>
      </c>
      <c r="C322" s="41">
        <f t="shared" si="40"/>
        <v>0.49289226185293716</v>
      </c>
      <c r="D322" s="41">
        <f t="shared" si="41"/>
        <v>0.98069361229543572</v>
      </c>
      <c r="E322" s="39">
        <f>IF(_xlfn.NORM.INV(R322,C322,'Regressão Grupo 2'!$B$7)&lt;=0,0,IF(_xlfn.NORM.INV(R322,C322,'Regressão Grupo 2'!$B$7)&gt;100%,100%,_xlfn.NORM.INV(R322,C322,'Regressão Grupo 2'!$B$7)))</f>
        <v>0.5411983314089176</v>
      </c>
      <c r="F322" s="39">
        <f>IF(_xlfn.NORM.INV(S322,D322,'Regressão Grupo 2'!$B$7)&lt;=0,0,IF(_xlfn.NORM.INV(S322,D322,'Regressão Grupo 2'!$B$7)&gt;100%,100%,_xlfn.NORM.INV(S322,D322,'Regressão Grupo 2'!$B$7)))</f>
        <v>0.94835559765206168</v>
      </c>
      <c r="G322" s="41">
        <v>1.5464405258834251E-2</v>
      </c>
      <c r="H322" s="41">
        <v>1.6326560351590396E-2</v>
      </c>
      <c r="I322" s="40">
        <f t="shared" si="42"/>
        <v>167.31358263032814</v>
      </c>
      <c r="J322" s="40">
        <f t="shared" si="42"/>
        <v>0</v>
      </c>
      <c r="K322" s="36">
        <v>0.28437551724636134</v>
      </c>
      <c r="L322" s="42">
        <f t="shared" si="49"/>
        <v>19991.322604477216</v>
      </c>
      <c r="M322" s="42">
        <f t="shared" si="49"/>
        <v>0</v>
      </c>
      <c r="N322" s="42">
        <f t="shared" si="43"/>
        <v>5685.0427060870843</v>
      </c>
      <c r="O322" s="36">
        <v>7.5044903779651326</v>
      </c>
      <c r="P322" s="42">
        <f t="shared" si="44"/>
        <v>3805.8514726326775</v>
      </c>
      <c r="Q322" s="42"/>
      <c r="R322">
        <v>0.63658558915982544</v>
      </c>
      <c r="S322">
        <v>0.40754417554246652</v>
      </c>
    </row>
    <row r="323" spans="1:19" x14ac:dyDescent="0.25">
      <c r="A323" s="40">
        <f t="shared" si="45"/>
        <v>64.229676878151835</v>
      </c>
      <c r="B323" s="40">
        <f t="shared" si="45"/>
        <v>32.933286051621081</v>
      </c>
      <c r="C323" s="41">
        <f t="shared" si="40"/>
        <v>0.49289226185293716</v>
      </c>
      <c r="D323" s="41">
        <f t="shared" si="41"/>
        <v>0.98069361229543572</v>
      </c>
      <c r="E323" s="39">
        <f>IF(_xlfn.NORM.INV(R323,C323,'Regressão Grupo 2'!$B$7)&lt;=0,0,IF(_xlfn.NORM.INV(R323,C323,'Regressão Grupo 2'!$B$7)&gt;100%,100%,_xlfn.NORM.INV(R323,C323,'Regressão Grupo 2'!$B$7)))</f>
        <v>0.66942086704625126</v>
      </c>
      <c r="F323" s="39">
        <f>IF(_xlfn.NORM.INV(S323,D323,'Regressão Grupo 2'!$B$7)&lt;=0,0,IF(_xlfn.NORM.INV(S323,D323,'Regressão Grupo 2'!$B$7)&gt;100%,100%,_xlfn.NORM.INV(S323,D323,'Regressão Grupo 2'!$B$7)))</f>
        <v>0.98637022998761925</v>
      </c>
      <c r="G323" s="41">
        <v>1.7475736350397855E-2</v>
      </c>
      <c r="H323" s="41">
        <v>1.8620376755562815E-2</v>
      </c>
      <c r="I323" s="40">
        <f t="shared" si="42"/>
        <v>233.8709380239024</v>
      </c>
      <c r="J323" s="40">
        <f t="shared" si="42"/>
        <v>0</v>
      </c>
      <c r="K323" s="36">
        <v>0.24779596732268491</v>
      </c>
      <c r="L323" s="42">
        <f t="shared" si="49"/>
        <v>19991.322604477216</v>
      </c>
      <c r="M323" s="42">
        <f t="shared" si="49"/>
        <v>0</v>
      </c>
      <c r="N323" s="42">
        <f t="shared" si="43"/>
        <v>4953.7691228362883</v>
      </c>
      <c r="O323" s="36">
        <v>5.3197146262076656</v>
      </c>
      <c r="P323" s="42">
        <f t="shared" si="44"/>
        <v>8823.5590079785761</v>
      </c>
      <c r="Q323" s="42"/>
      <c r="R323">
        <v>0.89913632618182926</v>
      </c>
      <c r="S323">
        <v>0.51637318033387247</v>
      </c>
    </row>
    <row r="324" spans="1:19" x14ac:dyDescent="0.25">
      <c r="A324" s="40">
        <f t="shared" si="45"/>
        <v>64.229676878151835</v>
      </c>
      <c r="B324" s="40">
        <f t="shared" si="45"/>
        <v>32.933286051621081</v>
      </c>
      <c r="C324" s="41">
        <f t="shared" si="40"/>
        <v>0.49289226185293716</v>
      </c>
      <c r="D324" s="41">
        <f t="shared" si="41"/>
        <v>0.98069361229543572</v>
      </c>
      <c r="E324" s="39">
        <f>IF(_xlfn.NORM.INV(R324,C324,'Regressão Grupo 2'!$B$7)&lt;=0,0,IF(_xlfn.NORM.INV(R324,C324,'Regressão Grupo 2'!$B$7)&gt;100%,100%,_xlfn.NORM.INV(R324,C324,'Regressão Grupo 2'!$B$7)))</f>
        <v>0.4479341118535109</v>
      </c>
      <c r="F324" s="39">
        <f>IF(_xlfn.NORM.INV(S324,D324,'Regressão Grupo 2'!$B$7)&lt;=0,0,IF(_xlfn.NORM.INV(S324,D324,'Regressão Grupo 2'!$B$7)&gt;100%,100%,_xlfn.NORM.INV(S324,D324,'Regressão Grupo 2'!$B$7)))</f>
        <v>0.87793899745934578</v>
      </c>
      <c r="G324" s="41">
        <v>1.4503653378469317E-2</v>
      </c>
      <c r="H324" s="41">
        <v>9.4733892727416578E-3</v>
      </c>
      <c r="I324" s="40">
        <f t="shared" si="42"/>
        <v>129.87724762287229</v>
      </c>
      <c r="J324" s="40">
        <f t="shared" si="42"/>
        <v>0</v>
      </c>
      <c r="K324" s="36">
        <v>0.33051208487411776</v>
      </c>
      <c r="L324" s="42">
        <f t="shared" si="49"/>
        <v>19991.322604477216</v>
      </c>
      <c r="M324" s="42">
        <f t="shared" si="49"/>
        <v>0</v>
      </c>
      <c r="N324" s="42">
        <f t="shared" si="43"/>
        <v>6607.3737133968425</v>
      </c>
      <c r="O324" s="36">
        <v>6.1486235944530723</v>
      </c>
      <c r="P324" s="42">
        <f t="shared" si="44"/>
        <v>936.03362612734054</v>
      </c>
      <c r="Q324" s="42"/>
      <c r="R324">
        <v>0.37253944517349774</v>
      </c>
      <c r="S324">
        <v>0.22870571001312295</v>
      </c>
    </row>
    <row r="325" spans="1:19" x14ac:dyDescent="0.25">
      <c r="A325" s="40">
        <f t="shared" si="45"/>
        <v>64.229676878151835</v>
      </c>
      <c r="B325" s="40">
        <f t="shared" si="45"/>
        <v>32.933286051621081</v>
      </c>
      <c r="C325" s="41">
        <f t="shared" si="40"/>
        <v>0.49289226185293716</v>
      </c>
      <c r="D325" s="41">
        <f t="shared" si="41"/>
        <v>0.98069361229543572</v>
      </c>
      <c r="E325" s="39">
        <f>IF(_xlfn.NORM.INV(R325,C325,'Regressão Grupo 2'!$B$7)&lt;=0,0,IF(_xlfn.NORM.INV(R325,C325,'Regressão Grupo 2'!$B$7)&gt;100%,100%,_xlfn.NORM.INV(R325,C325,'Regressão Grupo 2'!$B$7)))</f>
        <v>0.39571503654532736</v>
      </c>
      <c r="F325" s="39">
        <f>IF(_xlfn.NORM.INV(S325,D325,'Regressão Grupo 2'!$B$7)&lt;=0,0,IF(_xlfn.NORM.INV(S325,D325,'Regressão Grupo 2'!$B$7)&gt;100%,100%,_xlfn.NORM.INV(S325,D325,'Regressão Grupo 2'!$B$7)))</f>
        <v>0.94434086256561478</v>
      </c>
      <c r="G325" s="41">
        <v>1.6136453508622566E-2</v>
      </c>
      <c r="H325" s="41">
        <v>7.9142242143984947E-3</v>
      </c>
      <c r="I325" s="40">
        <f t="shared" si="42"/>
        <v>127.65333683258091</v>
      </c>
      <c r="J325" s="40">
        <f t="shared" si="42"/>
        <v>0</v>
      </c>
      <c r="K325" s="36">
        <v>0.45458742865965207</v>
      </c>
      <c r="L325" s="42">
        <f t="shared" si="49"/>
        <v>19991.322604477216</v>
      </c>
      <c r="M325" s="42">
        <f t="shared" si="49"/>
        <v>0</v>
      </c>
      <c r="N325" s="42">
        <f t="shared" si="43"/>
        <v>9087.8039382748757</v>
      </c>
      <c r="O325" s="36">
        <v>5.5266311750002295</v>
      </c>
      <c r="P325" s="42">
        <f t="shared" si="44"/>
        <v>-1594.1642720320715</v>
      </c>
      <c r="Q325" s="42"/>
      <c r="R325">
        <v>0.24109622486037782</v>
      </c>
      <c r="S325">
        <v>0.39631336405529954</v>
      </c>
    </row>
    <row r="326" spans="1:19" x14ac:dyDescent="0.25">
      <c r="A326" s="40">
        <f t="shared" si="45"/>
        <v>64.229676878151835</v>
      </c>
      <c r="B326" s="40">
        <f t="shared" si="45"/>
        <v>32.933286051621081</v>
      </c>
      <c r="C326" s="41">
        <f t="shared" ref="C326:C389" si="50">-0.007*A326 + 0.9425</f>
        <v>0.49289226185293716</v>
      </c>
      <c r="D326" s="41">
        <f t="shared" ref="D326:D389" si="51">-0.0059*B326+1.175</f>
        <v>0.98069361229543572</v>
      </c>
      <c r="E326" s="39">
        <f>IF(_xlfn.NORM.INV(R326,C326,'Regressão Grupo 2'!$B$7)&lt;=0,0,IF(_xlfn.NORM.INV(R326,C326,'Regressão Grupo 2'!$B$7)&gt;100%,100%,_xlfn.NORM.INV(R326,C326,'Regressão Grupo 2'!$B$7)))</f>
        <v>0.26298529533416892</v>
      </c>
      <c r="F326" s="39">
        <f>IF(_xlfn.NORM.INV(S326,D326,'Regressão Grupo 2'!$B$7)&lt;=0,0,IF(_xlfn.NORM.INV(S326,D326,'Regressão Grupo 2'!$B$7)&gt;100%,100%,_xlfn.NORM.INV(S326,D326,'Regressão Grupo 2'!$B$7)))</f>
        <v>0.84059854490601149</v>
      </c>
      <c r="G326" s="41">
        <v>2.1714170750349118E-2</v>
      </c>
      <c r="H326" s="41">
        <v>2.2585550911212476E-2</v>
      </c>
      <c r="I326" s="40">
        <f t="shared" ref="I326:J389" si="52">IF(E326*G326*L326&gt;0,E326*G326*L326,0)</f>
        <v>114.16059982119468</v>
      </c>
      <c r="J326" s="40">
        <f t="shared" si="52"/>
        <v>0</v>
      </c>
      <c r="K326" s="36">
        <v>0.18135574502101745</v>
      </c>
      <c r="L326" s="42">
        <f t="shared" si="49"/>
        <v>19991.322604477216</v>
      </c>
      <c r="M326" s="42">
        <f t="shared" si="49"/>
        <v>0</v>
      </c>
      <c r="N326" s="42">
        <f t="shared" ref="N326:N389" si="53">(L326+M326)*K326</f>
        <v>3625.5412048904727</v>
      </c>
      <c r="O326" s="36">
        <v>9.7714199938154724</v>
      </c>
      <c r="P326" s="42">
        <f t="shared" ref="P326:P389" si="54">SUMPRODUCT(A326:B326,I326:J326)-SUM(I326:J326)*O326-N326</f>
        <v>2591.4460662420715</v>
      </c>
      <c r="Q326" s="42"/>
      <c r="R326">
        <v>4.8188726462599564E-2</v>
      </c>
      <c r="S326">
        <v>0.15549180578020569</v>
      </c>
    </row>
    <row r="327" spans="1:19" x14ac:dyDescent="0.25">
      <c r="A327" s="40">
        <f t="shared" ref="A327:B390" si="55">A326</f>
        <v>64.229676878151835</v>
      </c>
      <c r="B327" s="40">
        <f t="shared" si="55"/>
        <v>32.933286051621081</v>
      </c>
      <c r="C327" s="41">
        <f t="shared" si="50"/>
        <v>0.49289226185293716</v>
      </c>
      <c r="D327" s="41">
        <f t="shared" si="51"/>
        <v>0.98069361229543572</v>
      </c>
      <c r="E327" s="39">
        <f>IF(_xlfn.NORM.INV(R327,C327,'Regressão Grupo 2'!$B$7)&lt;=0,0,IF(_xlfn.NORM.INV(R327,C327,'Regressão Grupo 2'!$B$7)&gt;100%,100%,_xlfn.NORM.INV(R327,C327,'Regressão Grupo 2'!$B$7)))</f>
        <v>0.66880136604763951</v>
      </c>
      <c r="F327" s="39">
        <f>IF(_xlfn.NORM.INV(S327,D327,'Regressão Grupo 2'!$B$7)&lt;=0,0,IF(_xlfn.NORM.INV(S327,D327,'Regressão Grupo 2'!$B$7)&gt;100%,100%,_xlfn.NORM.INV(S327,D327,'Regressão Grupo 2'!$B$7)))</f>
        <v>0.87180017728949</v>
      </c>
      <c r="G327" s="41">
        <v>9.8174534097590343E-3</v>
      </c>
      <c r="H327" s="41">
        <v>1.051874775878012E-2</v>
      </c>
      <c r="I327" s="40">
        <f t="shared" si="52"/>
        <v>131.26154989205978</v>
      </c>
      <c r="J327" s="40">
        <f t="shared" si="52"/>
        <v>0</v>
      </c>
      <c r="K327" s="36">
        <v>0.36102501697763412</v>
      </c>
      <c r="L327" s="42">
        <f t="shared" ref="L327:M342" si="56">L326</f>
        <v>19991.322604477216</v>
      </c>
      <c r="M327" s="42">
        <f t="shared" si="56"/>
        <v>0</v>
      </c>
      <c r="N327" s="42">
        <f t="shared" si="53"/>
        <v>7217.3675826867475</v>
      </c>
      <c r="O327" s="36">
        <v>4.707831623606392</v>
      </c>
      <c r="P327" s="42">
        <f t="shared" si="54"/>
        <v>595.5620778602306</v>
      </c>
      <c r="Q327" s="42"/>
      <c r="R327">
        <v>0.89834284493545336</v>
      </c>
      <c r="S327">
        <v>0.21549119541001618</v>
      </c>
    </row>
    <row r="328" spans="1:19" x14ac:dyDescent="0.25">
      <c r="A328" s="40">
        <f t="shared" si="55"/>
        <v>64.229676878151835</v>
      </c>
      <c r="B328" s="40">
        <f t="shared" si="55"/>
        <v>32.933286051621081</v>
      </c>
      <c r="C328" s="41">
        <f t="shared" si="50"/>
        <v>0.49289226185293716</v>
      </c>
      <c r="D328" s="41">
        <f t="shared" si="51"/>
        <v>0.98069361229543572</v>
      </c>
      <c r="E328" s="39">
        <f>IF(_xlfn.NORM.INV(R328,C328,'Regressão Grupo 2'!$B$7)&lt;=0,0,IF(_xlfn.NORM.INV(R328,C328,'Regressão Grupo 2'!$B$7)&gt;100%,100%,_xlfn.NORM.INV(R328,C328,'Regressão Grupo 2'!$B$7)))</f>
        <v>0.67635550690804302</v>
      </c>
      <c r="F328" s="39">
        <f>IF(_xlfn.NORM.INV(S328,D328,'Regressão Grupo 2'!$B$7)&lt;=0,0,IF(_xlfn.NORM.INV(S328,D328,'Regressão Grupo 2'!$B$7)&gt;100%,100%,_xlfn.NORM.INV(S328,D328,'Regressão Grupo 2'!$B$7)))</f>
        <v>1</v>
      </c>
      <c r="G328" s="41">
        <v>1.7373344328779978E-2</v>
      </c>
      <c r="H328" s="41">
        <v>1.0661132745409968E-2</v>
      </c>
      <c r="I328" s="40">
        <f t="shared" si="52"/>
        <v>234.90917797194106</v>
      </c>
      <c r="J328" s="40">
        <f t="shared" si="52"/>
        <v>0</v>
      </c>
      <c r="K328" s="36">
        <v>0.35012261315751814</v>
      </c>
      <c r="L328" s="42">
        <f t="shared" si="56"/>
        <v>19991.322604477216</v>
      </c>
      <c r="M328" s="42">
        <f t="shared" si="56"/>
        <v>0</v>
      </c>
      <c r="N328" s="42">
        <f t="shared" si="53"/>
        <v>6999.4141107545247</v>
      </c>
      <c r="O328" s="36">
        <v>6.3929887399109315</v>
      </c>
      <c r="P328" s="42">
        <f t="shared" si="54"/>
        <v>6586.9547564191607</v>
      </c>
      <c r="Q328" s="42"/>
      <c r="R328">
        <v>0.90771202734458445</v>
      </c>
      <c r="S328">
        <v>0.55754264961699274</v>
      </c>
    </row>
    <row r="329" spans="1:19" x14ac:dyDescent="0.25">
      <c r="A329" s="40">
        <f t="shared" si="55"/>
        <v>64.229676878151835</v>
      </c>
      <c r="B329" s="40">
        <f t="shared" si="55"/>
        <v>32.933286051621081</v>
      </c>
      <c r="C329" s="41">
        <f t="shared" si="50"/>
        <v>0.49289226185293716</v>
      </c>
      <c r="D329" s="41">
        <f t="shared" si="51"/>
        <v>0.98069361229543572</v>
      </c>
      <c r="E329" s="39">
        <f>IF(_xlfn.NORM.INV(R329,C329,'Regressão Grupo 2'!$B$7)&lt;=0,0,IF(_xlfn.NORM.INV(R329,C329,'Regressão Grupo 2'!$B$7)&gt;100%,100%,_xlfn.NORM.INV(R329,C329,'Regressão Grupo 2'!$B$7)))</f>
        <v>0.72842273353774956</v>
      </c>
      <c r="F329" s="39">
        <f>IF(_xlfn.NORM.INV(S329,D329,'Regressão Grupo 2'!$B$7)&lt;=0,0,IF(_xlfn.NORM.INV(S329,D329,'Regressão Grupo 2'!$B$7)&gt;100%,100%,_xlfn.NORM.INV(S329,D329,'Regressão Grupo 2'!$B$7)))</f>
        <v>1</v>
      </c>
      <c r="G329" s="41">
        <v>2.2692216927304401E-2</v>
      </c>
      <c r="H329" s="41">
        <v>2.3834572308657553E-2</v>
      </c>
      <c r="I329" s="40">
        <f t="shared" si="52"/>
        <v>330.44710044352991</v>
      </c>
      <c r="J329" s="40">
        <f t="shared" si="52"/>
        <v>0</v>
      </c>
      <c r="K329" s="36">
        <v>0.38635426195838041</v>
      </c>
      <c r="L329" s="42">
        <f t="shared" si="56"/>
        <v>19991.322604477216</v>
      </c>
      <c r="M329" s="42">
        <f t="shared" si="56"/>
        <v>0</v>
      </c>
      <c r="N329" s="42">
        <f t="shared" si="53"/>
        <v>7723.732690424682</v>
      </c>
      <c r="O329" s="36">
        <v>4.7681681045204494</v>
      </c>
      <c r="P329" s="42">
        <f t="shared" si="54"/>
        <v>11925.150471819326</v>
      </c>
      <c r="Q329" s="42"/>
      <c r="R329">
        <v>0.95574816125980411</v>
      </c>
      <c r="S329">
        <v>0.63747062593462933</v>
      </c>
    </row>
    <row r="330" spans="1:19" x14ac:dyDescent="0.25">
      <c r="A330" s="40">
        <f t="shared" si="55"/>
        <v>64.229676878151835</v>
      </c>
      <c r="B330" s="40">
        <f t="shared" si="55"/>
        <v>32.933286051621081</v>
      </c>
      <c r="C330" s="41">
        <f t="shared" si="50"/>
        <v>0.49289226185293716</v>
      </c>
      <c r="D330" s="41">
        <f t="shared" si="51"/>
        <v>0.98069361229543572</v>
      </c>
      <c r="E330" s="39">
        <f>IF(_xlfn.NORM.INV(R330,C330,'Regressão Grupo 2'!$B$7)&lt;=0,0,IF(_xlfn.NORM.INV(R330,C330,'Regressão Grupo 2'!$B$7)&gt;100%,100%,_xlfn.NORM.INV(R330,C330,'Regressão Grupo 2'!$B$7)))</f>
        <v>0.56739100033323697</v>
      </c>
      <c r="F330" s="39">
        <f>IF(_xlfn.NORM.INV(S330,D330,'Regressão Grupo 2'!$B$7)&lt;=0,0,IF(_xlfn.NORM.INV(S330,D330,'Regressão Grupo 2'!$B$7)&gt;100%,100%,_xlfn.NORM.INV(S330,D330,'Regressão Grupo 2'!$B$7)))</f>
        <v>0.95950283084634092</v>
      </c>
      <c r="G330" s="41">
        <v>2.4307927429203437E-2</v>
      </c>
      <c r="H330" s="41">
        <v>1.1871926763290658E-2</v>
      </c>
      <c r="I330" s="40">
        <f t="shared" si="52"/>
        <v>275.72230570130012</v>
      </c>
      <c r="J330" s="40">
        <f t="shared" si="52"/>
        <v>0</v>
      </c>
      <c r="K330" s="36">
        <v>0.23951650509560438</v>
      </c>
      <c r="L330" s="42">
        <f t="shared" si="56"/>
        <v>19991.322604477216</v>
      </c>
      <c r="M330" s="42">
        <f t="shared" si="56"/>
        <v>0</v>
      </c>
      <c r="N330" s="42">
        <f t="shared" si="53"/>
        <v>4788.2517224631383</v>
      </c>
      <c r="O330" s="36">
        <v>9.1154786579533909</v>
      </c>
      <c r="P330" s="42">
        <f t="shared" si="54"/>
        <v>10407.962087688469</v>
      </c>
      <c r="Q330" s="42"/>
      <c r="R330">
        <v>0.70497756889553509</v>
      </c>
      <c r="S330">
        <v>0.43910031434064761</v>
      </c>
    </row>
    <row r="331" spans="1:19" x14ac:dyDescent="0.25">
      <c r="A331" s="40">
        <f t="shared" si="55"/>
        <v>64.229676878151835</v>
      </c>
      <c r="B331" s="40">
        <f t="shared" si="55"/>
        <v>32.933286051621081</v>
      </c>
      <c r="C331" s="41">
        <f t="shared" si="50"/>
        <v>0.49289226185293716</v>
      </c>
      <c r="D331" s="41">
        <f t="shared" si="51"/>
        <v>0.98069361229543572</v>
      </c>
      <c r="E331" s="39">
        <f>IF(_xlfn.NORM.INV(R331,C331,'Regressão Grupo 2'!$B$7)&lt;=0,0,IF(_xlfn.NORM.INV(R331,C331,'Regressão Grupo 2'!$B$7)&gt;100%,100%,_xlfn.NORM.INV(R331,C331,'Regressão Grupo 2'!$B$7)))</f>
        <v>0.31736264066380931</v>
      </c>
      <c r="F331" s="39">
        <f>IF(_xlfn.NORM.INV(S331,D331,'Regressão Grupo 2'!$B$7)&lt;=0,0,IF(_xlfn.NORM.INV(S331,D331,'Regressão Grupo 2'!$B$7)&gt;100%,100%,_xlfn.NORM.INV(S331,D331,'Regressão Grupo 2'!$B$7)))</f>
        <v>1</v>
      </c>
      <c r="G331" s="41">
        <v>1.0126545823384712E-2</v>
      </c>
      <c r="H331" s="41">
        <v>2.4716975132252843E-2</v>
      </c>
      <c r="I331" s="40">
        <f t="shared" si="52"/>
        <v>64.247859162518338</v>
      </c>
      <c r="J331" s="40">
        <f t="shared" si="52"/>
        <v>0</v>
      </c>
      <c r="K331" s="36">
        <v>0.28580470111184275</v>
      </c>
      <c r="L331" s="42">
        <f t="shared" si="56"/>
        <v>19991.322604477216</v>
      </c>
      <c r="M331" s="42">
        <f t="shared" si="56"/>
        <v>0</v>
      </c>
      <c r="N331" s="42">
        <f t="shared" si="53"/>
        <v>5713.6139818030369</v>
      </c>
      <c r="O331" s="36">
        <v>8.5639223433925764</v>
      </c>
      <c r="P331" s="42">
        <f t="shared" si="54"/>
        <v>-2137.2084242785081</v>
      </c>
      <c r="Q331" s="42"/>
      <c r="R331">
        <v>0.1021454512161626</v>
      </c>
      <c r="S331">
        <v>0.99078341013824889</v>
      </c>
    </row>
    <row r="332" spans="1:19" x14ac:dyDescent="0.25">
      <c r="A332" s="40">
        <f t="shared" si="55"/>
        <v>64.229676878151835</v>
      </c>
      <c r="B332" s="40">
        <f t="shared" si="55"/>
        <v>32.933286051621081</v>
      </c>
      <c r="C332" s="41">
        <f t="shared" si="50"/>
        <v>0.49289226185293716</v>
      </c>
      <c r="D332" s="41">
        <f t="shared" si="51"/>
        <v>0.98069361229543572</v>
      </c>
      <c r="E332" s="39">
        <f>IF(_xlfn.NORM.INV(R332,C332,'Regressão Grupo 2'!$B$7)&lt;=0,0,IF(_xlfn.NORM.INV(R332,C332,'Regressão Grupo 2'!$B$7)&gt;100%,100%,_xlfn.NORM.INV(R332,C332,'Regressão Grupo 2'!$B$7)))</f>
        <v>0.59475674328020711</v>
      </c>
      <c r="F332" s="39">
        <f>IF(_xlfn.NORM.INV(S332,D332,'Regressão Grupo 2'!$B$7)&lt;=0,0,IF(_xlfn.NORM.INV(S332,D332,'Regressão Grupo 2'!$B$7)&gt;100%,100%,_xlfn.NORM.INV(S332,D332,'Regressão Grupo 2'!$B$7)))</f>
        <v>0.93388013190716135</v>
      </c>
      <c r="G332" s="41">
        <v>1.7368417673133449E-2</v>
      </c>
      <c r="H332" s="41">
        <v>2.0052020254551488E-2</v>
      </c>
      <c r="I332" s="40">
        <f t="shared" si="52"/>
        <v>206.51003327122075</v>
      </c>
      <c r="J332" s="40">
        <f t="shared" si="52"/>
        <v>0</v>
      </c>
      <c r="K332" s="36">
        <v>0.32893065186766401</v>
      </c>
      <c r="L332" s="42">
        <f t="shared" si="56"/>
        <v>19991.322604477216</v>
      </c>
      <c r="M332" s="42">
        <f t="shared" si="56"/>
        <v>0</v>
      </c>
      <c r="N332" s="42">
        <f t="shared" si="53"/>
        <v>6575.7587759874577</v>
      </c>
      <c r="O332" s="36">
        <v>4.3808992803419748</v>
      </c>
      <c r="P332" s="42">
        <f t="shared" si="54"/>
        <v>5783.6142769781463</v>
      </c>
      <c r="Q332" s="42"/>
      <c r="R332">
        <v>0.76934110538041323</v>
      </c>
      <c r="S332">
        <v>0.36747337260048218</v>
      </c>
    </row>
    <row r="333" spans="1:19" x14ac:dyDescent="0.25">
      <c r="A333" s="40">
        <f t="shared" si="55"/>
        <v>64.229676878151835</v>
      </c>
      <c r="B333" s="40">
        <f t="shared" si="55"/>
        <v>32.933286051621081</v>
      </c>
      <c r="C333" s="41">
        <f t="shared" si="50"/>
        <v>0.49289226185293716</v>
      </c>
      <c r="D333" s="41">
        <f t="shared" si="51"/>
        <v>0.98069361229543572</v>
      </c>
      <c r="E333" s="39">
        <f>IF(_xlfn.NORM.INV(R333,C333,'Regressão Grupo 2'!$B$7)&lt;=0,0,IF(_xlfn.NORM.INV(R333,C333,'Regressão Grupo 2'!$B$7)&gt;100%,100%,_xlfn.NORM.INV(R333,C333,'Regressão Grupo 2'!$B$7)))</f>
        <v>0.48257456789581721</v>
      </c>
      <c r="F333" s="39">
        <f>IF(_xlfn.NORM.INV(S333,D333,'Regressão Grupo 2'!$B$7)&lt;=0,0,IF(_xlfn.NORM.INV(S333,D333,'Regressão Grupo 2'!$B$7)&gt;100%,100%,_xlfn.NORM.INV(S333,D333,'Regressão Grupo 2'!$B$7)))</f>
        <v>1</v>
      </c>
      <c r="G333" s="41">
        <v>2.8429084551973394E-2</v>
      </c>
      <c r="H333" s="41">
        <v>1.7202334850989313E-2</v>
      </c>
      <c r="I333" s="40">
        <f t="shared" si="52"/>
        <v>274.26401734834798</v>
      </c>
      <c r="J333" s="40">
        <f t="shared" si="52"/>
        <v>0</v>
      </c>
      <c r="K333" s="36">
        <v>0.43371010595965714</v>
      </c>
      <c r="L333" s="42">
        <f t="shared" si="56"/>
        <v>19991.322604477216</v>
      </c>
      <c r="M333" s="42">
        <f t="shared" si="56"/>
        <v>0</v>
      </c>
      <c r="N333" s="42">
        <f t="shared" si="53"/>
        <v>8670.438645061502</v>
      </c>
      <c r="O333" s="36">
        <v>6.2652560840478397</v>
      </c>
      <c r="P333" s="42">
        <f t="shared" si="54"/>
        <v>7227.1162651995783</v>
      </c>
      <c r="Q333" s="42"/>
      <c r="R333">
        <v>0.47025971251564075</v>
      </c>
      <c r="S333">
        <v>0.87405011139255961</v>
      </c>
    </row>
    <row r="334" spans="1:19" x14ac:dyDescent="0.25">
      <c r="A334" s="40">
        <f t="shared" si="55"/>
        <v>64.229676878151835</v>
      </c>
      <c r="B334" s="40">
        <f t="shared" si="55"/>
        <v>32.933286051621081</v>
      </c>
      <c r="C334" s="41">
        <f t="shared" si="50"/>
        <v>0.49289226185293716</v>
      </c>
      <c r="D334" s="41">
        <f t="shared" si="51"/>
        <v>0.98069361229543572</v>
      </c>
      <c r="E334" s="39">
        <f>IF(_xlfn.NORM.INV(R334,C334,'Regressão Grupo 2'!$B$7)&lt;=0,0,IF(_xlfn.NORM.INV(R334,C334,'Regressão Grupo 2'!$B$7)&gt;100%,100%,_xlfn.NORM.INV(R334,C334,'Regressão Grupo 2'!$B$7)))</f>
        <v>0.61691399789438928</v>
      </c>
      <c r="F334" s="39">
        <f>IF(_xlfn.NORM.INV(S334,D334,'Regressão Grupo 2'!$B$7)&lt;=0,0,IF(_xlfn.NORM.INV(S334,D334,'Regressão Grupo 2'!$B$7)&gt;100%,100%,_xlfn.NORM.INV(S334,D334,'Regressão Grupo 2'!$B$7)))</f>
        <v>0.84813123249552058</v>
      </c>
      <c r="G334" s="41">
        <v>4.3502488952989584E-3</v>
      </c>
      <c r="H334" s="41">
        <v>3.5292298606670303E-3</v>
      </c>
      <c r="I334" s="40">
        <f t="shared" si="52"/>
        <v>53.651300974882389</v>
      </c>
      <c r="J334" s="40">
        <f t="shared" si="52"/>
        <v>0</v>
      </c>
      <c r="K334" s="36">
        <v>0.15324666173079429</v>
      </c>
      <c r="L334" s="42">
        <f t="shared" si="56"/>
        <v>19991.322604477216</v>
      </c>
      <c r="M334" s="42">
        <f t="shared" si="56"/>
        <v>0</v>
      </c>
      <c r="N334" s="42">
        <f t="shared" si="53"/>
        <v>3063.6034527195015</v>
      </c>
      <c r="O334" s="36">
        <v>6.4124071941356302</v>
      </c>
      <c r="P334" s="42">
        <f t="shared" si="54"/>
        <v>38.368284643594961</v>
      </c>
      <c r="Q334" s="42"/>
      <c r="R334">
        <v>0.81511886959440905</v>
      </c>
      <c r="S334">
        <v>0.16885891293069247</v>
      </c>
    </row>
    <row r="335" spans="1:19" x14ac:dyDescent="0.25">
      <c r="A335" s="40">
        <f t="shared" si="55"/>
        <v>64.229676878151835</v>
      </c>
      <c r="B335" s="40">
        <f t="shared" si="55"/>
        <v>32.933286051621081</v>
      </c>
      <c r="C335" s="41">
        <f t="shared" si="50"/>
        <v>0.49289226185293716</v>
      </c>
      <c r="D335" s="41">
        <f t="shared" si="51"/>
        <v>0.98069361229543572</v>
      </c>
      <c r="E335" s="39">
        <f>IF(_xlfn.NORM.INV(R335,C335,'Regressão Grupo 2'!$B$7)&lt;=0,0,IF(_xlfn.NORM.INV(R335,C335,'Regressão Grupo 2'!$B$7)&gt;100%,100%,_xlfn.NORM.INV(R335,C335,'Regressão Grupo 2'!$B$7)))</f>
        <v>0.36296874815569236</v>
      </c>
      <c r="F335" s="39">
        <f>IF(_xlfn.NORM.INV(S335,D335,'Regressão Grupo 2'!$B$7)&lt;=0,0,IF(_xlfn.NORM.INV(S335,D335,'Regressão Grupo 2'!$B$7)&gt;100%,100%,_xlfn.NORM.INV(S335,D335,'Regressão Grupo 2'!$B$7)))</f>
        <v>1</v>
      </c>
      <c r="G335" s="41">
        <v>1.1058883140385996E-2</v>
      </c>
      <c r="H335" s="41">
        <v>2.1306753974784473E-2</v>
      </c>
      <c r="I335" s="40">
        <f t="shared" si="52"/>
        <v>80.245748072311983</v>
      </c>
      <c r="J335" s="40">
        <f t="shared" si="52"/>
        <v>0</v>
      </c>
      <c r="K335" s="36">
        <v>0.16906047421069137</v>
      </c>
      <c r="L335" s="42">
        <f t="shared" si="56"/>
        <v>19991.322604477216</v>
      </c>
      <c r="M335" s="42">
        <f t="shared" si="56"/>
        <v>0</v>
      </c>
      <c r="N335" s="42">
        <f t="shared" si="53"/>
        <v>3379.7424796118316</v>
      </c>
      <c r="O335" s="36">
        <v>7.5568653684187499</v>
      </c>
      <c r="P335" s="42">
        <f t="shared" si="54"/>
        <v>1168.0096753478324</v>
      </c>
      <c r="Q335" s="42"/>
      <c r="R335">
        <v>0.17371135593737602</v>
      </c>
      <c r="S335">
        <v>0.66927091280861839</v>
      </c>
    </row>
    <row r="336" spans="1:19" x14ac:dyDescent="0.25">
      <c r="A336" s="40">
        <f t="shared" si="55"/>
        <v>64.229676878151835</v>
      </c>
      <c r="B336" s="40">
        <f t="shared" si="55"/>
        <v>32.933286051621081</v>
      </c>
      <c r="C336" s="41">
        <f t="shared" si="50"/>
        <v>0.49289226185293716</v>
      </c>
      <c r="D336" s="41">
        <f t="shared" si="51"/>
        <v>0.98069361229543572</v>
      </c>
      <c r="E336" s="39">
        <f>IF(_xlfn.NORM.INV(R336,C336,'Regressão Grupo 2'!$B$7)&lt;=0,0,IF(_xlfn.NORM.INV(R336,C336,'Regressão Grupo 2'!$B$7)&gt;100%,100%,_xlfn.NORM.INV(R336,C336,'Regressão Grupo 2'!$B$7)))</f>
        <v>0.22600265063019931</v>
      </c>
      <c r="F336" s="39">
        <f>IF(_xlfn.NORM.INV(S336,D336,'Regressão Grupo 2'!$B$7)&lt;=0,0,IF(_xlfn.NORM.INV(S336,D336,'Regressão Grupo 2'!$B$7)&gt;100%,100%,_xlfn.NORM.INV(S336,D336,'Regressão Grupo 2'!$B$7)))</f>
        <v>1</v>
      </c>
      <c r="G336" s="41">
        <v>2.307895431147701E-2</v>
      </c>
      <c r="H336" s="41">
        <v>1.067804614432325E-2</v>
      </c>
      <c r="I336" s="40">
        <f t="shared" si="52"/>
        <v>104.27283649396466</v>
      </c>
      <c r="J336" s="40">
        <f t="shared" si="52"/>
        <v>0</v>
      </c>
      <c r="K336" s="36">
        <v>0.30955428753323783</v>
      </c>
      <c r="L336" s="42">
        <f t="shared" si="56"/>
        <v>19991.322604477216</v>
      </c>
      <c r="M336" s="42">
        <f t="shared" si="56"/>
        <v>0</v>
      </c>
      <c r="N336" s="42">
        <f t="shared" si="53"/>
        <v>6188.3996256760574</v>
      </c>
      <c r="O336" s="36">
        <v>6.9168068381124241</v>
      </c>
      <c r="P336" s="42">
        <f t="shared" si="54"/>
        <v>-212.22409899118156</v>
      </c>
      <c r="Q336" s="42"/>
      <c r="R336">
        <v>2.6795251319925537E-2</v>
      </c>
      <c r="S336">
        <v>0.79812005981627854</v>
      </c>
    </row>
    <row r="337" spans="1:19" x14ac:dyDescent="0.25">
      <c r="A337" s="40">
        <f t="shared" si="55"/>
        <v>64.229676878151835</v>
      </c>
      <c r="B337" s="40">
        <f t="shared" si="55"/>
        <v>32.933286051621081</v>
      </c>
      <c r="C337" s="41">
        <f t="shared" si="50"/>
        <v>0.49289226185293716</v>
      </c>
      <c r="D337" s="41">
        <f t="shared" si="51"/>
        <v>0.98069361229543572</v>
      </c>
      <c r="E337" s="39">
        <f>IF(_xlfn.NORM.INV(R337,C337,'Regressão Grupo 2'!$B$7)&lt;=0,0,IF(_xlfn.NORM.INV(R337,C337,'Regressão Grupo 2'!$B$7)&gt;100%,100%,_xlfn.NORM.INV(R337,C337,'Regressão Grupo 2'!$B$7)))</f>
        <v>0.42940534683179499</v>
      </c>
      <c r="F337" s="39">
        <f>IF(_xlfn.NORM.INV(S337,D337,'Regressão Grupo 2'!$B$7)&lt;=0,0,IF(_xlfn.NORM.INV(S337,D337,'Regressão Grupo 2'!$B$7)&gt;100%,100%,_xlfn.NORM.INV(S337,D337,'Regressão Grupo 2'!$B$7)))</f>
        <v>1</v>
      </c>
      <c r="G337" s="41">
        <v>2.1147108805653833E-2</v>
      </c>
      <c r="H337" s="41">
        <v>1.6927883148860012E-2</v>
      </c>
      <c r="I337" s="40">
        <f t="shared" si="52"/>
        <v>181.53483515784666</v>
      </c>
      <c r="J337" s="40">
        <f t="shared" si="52"/>
        <v>0</v>
      </c>
      <c r="K337" s="36">
        <v>0.16984340590833866</v>
      </c>
      <c r="L337" s="42">
        <f t="shared" si="56"/>
        <v>19991.322604477216</v>
      </c>
      <c r="M337" s="42">
        <f t="shared" si="56"/>
        <v>0</v>
      </c>
      <c r="N337" s="42">
        <f t="shared" si="53"/>
        <v>3395.3943197567696</v>
      </c>
      <c r="O337" s="36">
        <v>4.896354502610615</v>
      </c>
      <c r="P337" s="42">
        <f t="shared" si="54"/>
        <v>7375.6705770544795</v>
      </c>
      <c r="Q337" s="42"/>
      <c r="R337">
        <v>0.32306894131290625</v>
      </c>
      <c r="S337">
        <v>0.61970885341959903</v>
      </c>
    </row>
    <row r="338" spans="1:19" x14ac:dyDescent="0.25">
      <c r="A338" s="40">
        <f t="shared" si="55"/>
        <v>64.229676878151835</v>
      </c>
      <c r="B338" s="40">
        <f t="shared" si="55"/>
        <v>32.933286051621081</v>
      </c>
      <c r="C338" s="41">
        <f t="shared" si="50"/>
        <v>0.49289226185293716</v>
      </c>
      <c r="D338" s="41">
        <f t="shared" si="51"/>
        <v>0.98069361229543572</v>
      </c>
      <c r="E338" s="39">
        <f>IF(_xlfn.NORM.INV(R338,C338,'Regressão Grupo 2'!$B$7)&lt;=0,0,IF(_xlfn.NORM.INV(R338,C338,'Regressão Grupo 2'!$B$7)&gt;100%,100%,_xlfn.NORM.INV(R338,C338,'Regressão Grupo 2'!$B$7)))</f>
        <v>0.47578130991274886</v>
      </c>
      <c r="F338" s="39">
        <f>IF(_xlfn.NORM.INV(S338,D338,'Regressão Grupo 2'!$B$7)&lt;=0,0,IF(_xlfn.NORM.INV(S338,D338,'Regressão Grupo 2'!$B$7)&gt;100%,100%,_xlfn.NORM.INV(S338,D338,'Regressão Grupo 2'!$B$7)))</f>
        <v>0.90360110810347982</v>
      </c>
      <c r="G338" s="41">
        <v>1.5262080894920687E-2</v>
      </c>
      <c r="H338" s="41">
        <v>1.9419104921002985E-2</v>
      </c>
      <c r="I338" s="40">
        <f t="shared" si="52"/>
        <v>145.16524665232561</v>
      </c>
      <c r="J338" s="40">
        <f t="shared" si="52"/>
        <v>0</v>
      </c>
      <c r="K338" s="36">
        <v>0.21417251924609959</v>
      </c>
      <c r="L338" s="42">
        <f t="shared" si="56"/>
        <v>19991.322604477216</v>
      </c>
      <c r="M338" s="42">
        <f t="shared" si="56"/>
        <v>0</v>
      </c>
      <c r="N338" s="42">
        <f t="shared" si="53"/>
        <v>4281.5919252623826</v>
      </c>
      <c r="O338" s="36">
        <v>4.7602533771994171</v>
      </c>
      <c r="P338" s="42">
        <f t="shared" si="54"/>
        <v>4351.3016055249827</v>
      </c>
      <c r="Q338" s="42"/>
      <c r="R338">
        <v>0.45075838496047854</v>
      </c>
      <c r="S338">
        <v>0.28858302560502946</v>
      </c>
    </row>
    <row r="339" spans="1:19" x14ac:dyDescent="0.25">
      <c r="A339" s="40">
        <f t="shared" si="55"/>
        <v>64.229676878151835</v>
      </c>
      <c r="B339" s="40">
        <f t="shared" si="55"/>
        <v>32.933286051621081</v>
      </c>
      <c r="C339" s="41">
        <f t="shared" si="50"/>
        <v>0.49289226185293716</v>
      </c>
      <c r="D339" s="41">
        <f t="shared" si="51"/>
        <v>0.98069361229543572</v>
      </c>
      <c r="E339" s="39">
        <f>IF(_xlfn.NORM.INV(R339,C339,'Regressão Grupo 2'!$B$7)&lt;=0,0,IF(_xlfn.NORM.INV(R339,C339,'Regressão Grupo 2'!$B$7)&gt;100%,100%,_xlfn.NORM.INV(R339,C339,'Regressão Grupo 2'!$B$7)))</f>
        <v>0.60984755166330173</v>
      </c>
      <c r="F339" s="39">
        <f>IF(_xlfn.NORM.INV(S339,D339,'Regressão Grupo 2'!$B$7)&lt;=0,0,IF(_xlfn.NORM.INV(S339,D339,'Regressão Grupo 2'!$B$7)&gt;100%,100%,_xlfn.NORM.INV(S339,D339,'Regressão Grupo 2'!$B$7)))</f>
        <v>1</v>
      </c>
      <c r="G339" s="41">
        <v>2.265706371189137E-2</v>
      </c>
      <c r="H339" s="41">
        <v>1.1983370941555837E-2</v>
      </c>
      <c r="I339" s="40">
        <f t="shared" si="52"/>
        <v>276.22719799856691</v>
      </c>
      <c r="J339" s="40">
        <f t="shared" si="52"/>
        <v>0</v>
      </c>
      <c r="K339" s="36">
        <v>0.37083778594113376</v>
      </c>
      <c r="L339" s="42">
        <f t="shared" si="56"/>
        <v>19991.322604477216</v>
      </c>
      <c r="M339" s="42">
        <f t="shared" si="56"/>
        <v>0</v>
      </c>
      <c r="N339" s="42">
        <f t="shared" si="53"/>
        <v>7413.5378126792702</v>
      </c>
      <c r="O339" s="36">
        <v>8.6448988560814328</v>
      </c>
      <c r="P339" s="42">
        <f t="shared" si="54"/>
        <v>7940.4896717295605</v>
      </c>
      <c r="Q339" s="42"/>
      <c r="R339">
        <v>0.80117191076387828</v>
      </c>
      <c r="S339">
        <v>0.62810144352549824</v>
      </c>
    </row>
    <row r="340" spans="1:19" x14ac:dyDescent="0.25">
      <c r="A340" s="40">
        <f t="shared" si="55"/>
        <v>64.229676878151835</v>
      </c>
      <c r="B340" s="40">
        <f t="shared" si="55"/>
        <v>32.933286051621081</v>
      </c>
      <c r="C340" s="41">
        <f t="shared" si="50"/>
        <v>0.49289226185293716</v>
      </c>
      <c r="D340" s="41">
        <f t="shared" si="51"/>
        <v>0.98069361229543572</v>
      </c>
      <c r="E340" s="39">
        <f>IF(_xlfn.NORM.INV(R340,C340,'Regressão Grupo 2'!$B$7)&lt;=0,0,IF(_xlfn.NORM.INV(R340,C340,'Regressão Grupo 2'!$B$7)&gt;100%,100%,_xlfn.NORM.INV(R340,C340,'Regressão Grupo 2'!$B$7)))</f>
        <v>0.38830222692160987</v>
      </c>
      <c r="F340" s="39">
        <f>IF(_xlfn.NORM.INV(S340,D340,'Regressão Grupo 2'!$B$7)&lt;=0,0,IF(_xlfn.NORM.INV(S340,D340,'Regressão Grupo 2'!$B$7)&gt;100%,100%,_xlfn.NORM.INV(S340,D340,'Regressão Grupo 2'!$B$7)))</f>
        <v>0.85841753105459173</v>
      </c>
      <c r="G340" s="41">
        <v>1.1431969165235863E-2</v>
      </c>
      <c r="H340" s="41">
        <v>9.7260458935426123E-3</v>
      </c>
      <c r="I340" s="40">
        <f t="shared" si="52"/>
        <v>88.742662227776052</v>
      </c>
      <c r="J340" s="40">
        <f t="shared" si="52"/>
        <v>0</v>
      </c>
      <c r="K340" s="36">
        <v>0.20561741276865214</v>
      </c>
      <c r="L340" s="42">
        <f t="shared" si="56"/>
        <v>19991.322604477216</v>
      </c>
      <c r="M340" s="42">
        <f t="shared" si="56"/>
        <v>0</v>
      </c>
      <c r="N340" s="42">
        <f t="shared" si="53"/>
        <v>4110.5640317560774</v>
      </c>
      <c r="O340" s="36">
        <v>6.5288262971131026</v>
      </c>
      <c r="P340" s="42">
        <f t="shared" si="54"/>
        <v>1009.9630616124177</v>
      </c>
      <c r="Q340" s="42"/>
      <c r="R340">
        <v>0.22470778527176732</v>
      </c>
      <c r="S340">
        <v>0.18826868495742669</v>
      </c>
    </row>
    <row r="341" spans="1:19" x14ac:dyDescent="0.25">
      <c r="A341" s="40">
        <f t="shared" si="55"/>
        <v>64.229676878151835</v>
      </c>
      <c r="B341" s="40">
        <f t="shared" si="55"/>
        <v>32.933286051621081</v>
      </c>
      <c r="C341" s="41">
        <f t="shared" si="50"/>
        <v>0.49289226185293716</v>
      </c>
      <c r="D341" s="41">
        <f t="shared" si="51"/>
        <v>0.98069361229543572</v>
      </c>
      <c r="E341" s="39">
        <f>IF(_xlfn.NORM.INV(R341,C341,'Regressão Grupo 2'!$B$7)&lt;=0,0,IF(_xlfn.NORM.INV(R341,C341,'Regressão Grupo 2'!$B$7)&gt;100%,100%,_xlfn.NORM.INV(R341,C341,'Regressão Grupo 2'!$B$7)))</f>
        <v>0.52067033040196475</v>
      </c>
      <c r="F341" s="39">
        <f>IF(_xlfn.NORM.INV(S341,D341,'Regressão Grupo 2'!$B$7)&lt;=0,0,IF(_xlfn.NORM.INV(S341,D341,'Regressão Grupo 2'!$B$7)&gt;100%,100%,_xlfn.NORM.INV(S341,D341,'Regressão Grupo 2'!$B$7)))</f>
        <v>0.9571020900163828</v>
      </c>
      <c r="G341" s="41">
        <v>1.8290221140522103E-2</v>
      </c>
      <c r="H341" s="41">
        <v>2.1399946963673387E-2</v>
      </c>
      <c r="I341" s="40">
        <f t="shared" si="52"/>
        <v>190.38087332690219</v>
      </c>
      <c r="J341" s="40">
        <f t="shared" si="52"/>
        <v>0</v>
      </c>
      <c r="K341" s="36">
        <v>0.35214885676454755</v>
      </c>
      <c r="L341" s="42">
        <f t="shared" si="56"/>
        <v>19991.322604477216</v>
      </c>
      <c r="M341" s="42">
        <f t="shared" si="56"/>
        <v>0</v>
      </c>
      <c r="N341" s="42">
        <f t="shared" si="53"/>
        <v>7039.9214003779089</v>
      </c>
      <c r="O341" s="36">
        <v>5.6864171514640605</v>
      </c>
      <c r="P341" s="42">
        <f t="shared" si="54"/>
        <v>4105.5955137925703</v>
      </c>
      <c r="Q341" s="42"/>
      <c r="R341">
        <v>0.57960753196813863</v>
      </c>
      <c r="S341">
        <v>0.43226416821802421</v>
      </c>
    </row>
    <row r="342" spans="1:19" x14ac:dyDescent="0.25">
      <c r="A342" s="40">
        <f t="shared" si="55"/>
        <v>64.229676878151835</v>
      </c>
      <c r="B342" s="40">
        <f t="shared" si="55"/>
        <v>32.933286051621081</v>
      </c>
      <c r="C342" s="41">
        <f t="shared" si="50"/>
        <v>0.49289226185293716</v>
      </c>
      <c r="D342" s="41">
        <f t="shared" si="51"/>
        <v>0.98069361229543572</v>
      </c>
      <c r="E342" s="39">
        <f>IF(_xlfn.NORM.INV(R342,C342,'Regressão Grupo 2'!$B$7)&lt;=0,0,IF(_xlfn.NORM.INV(R342,C342,'Regressão Grupo 2'!$B$7)&gt;100%,100%,_xlfn.NORM.INV(R342,C342,'Regressão Grupo 2'!$B$7)))</f>
        <v>0.55632041425804879</v>
      </c>
      <c r="F342" s="39">
        <f>IF(_xlfn.NORM.INV(S342,D342,'Regressão Grupo 2'!$B$7)&lt;=0,0,IF(_xlfn.NORM.INV(S342,D342,'Regressão Grupo 2'!$B$7)&gt;100%,100%,_xlfn.NORM.INV(S342,D342,'Regressão Grupo 2'!$B$7)))</f>
        <v>0.94158507199567165</v>
      </c>
      <c r="G342" s="41">
        <v>4.0609738344252744E-3</v>
      </c>
      <c r="H342" s="41">
        <v>1.754618272918896E-2</v>
      </c>
      <c r="I342" s="40">
        <f t="shared" si="52"/>
        <v>45.164448922247075</v>
      </c>
      <c r="J342" s="40">
        <f t="shared" si="52"/>
        <v>0</v>
      </c>
      <c r="K342" s="36">
        <v>0.36735182212703565</v>
      </c>
      <c r="L342" s="42">
        <f t="shared" si="56"/>
        <v>19991.322604477216</v>
      </c>
      <c r="M342" s="42">
        <f t="shared" si="56"/>
        <v>0</v>
      </c>
      <c r="N342" s="42">
        <f t="shared" si="53"/>
        <v>7343.8487854841014</v>
      </c>
      <c r="O342" s="36">
        <v>3.3248722185742192</v>
      </c>
      <c r="P342" s="42">
        <f t="shared" si="54"/>
        <v>-4593.1168463171725</v>
      </c>
      <c r="Q342" s="42"/>
      <c r="R342">
        <v>0.67677846613971371</v>
      </c>
      <c r="S342">
        <v>0.38865321817682424</v>
      </c>
    </row>
    <row r="343" spans="1:19" x14ac:dyDescent="0.25">
      <c r="A343" s="40">
        <f t="shared" si="55"/>
        <v>64.229676878151835</v>
      </c>
      <c r="B343" s="40">
        <f t="shared" si="55"/>
        <v>32.933286051621081</v>
      </c>
      <c r="C343" s="41">
        <f t="shared" si="50"/>
        <v>0.49289226185293716</v>
      </c>
      <c r="D343" s="41">
        <f t="shared" si="51"/>
        <v>0.98069361229543572</v>
      </c>
      <c r="E343" s="39">
        <f>IF(_xlfn.NORM.INV(R343,C343,'Regressão Grupo 2'!$B$7)&lt;=0,0,IF(_xlfn.NORM.INV(R343,C343,'Regressão Grupo 2'!$B$7)&gt;100%,100%,_xlfn.NORM.INV(R343,C343,'Regressão Grupo 2'!$B$7)))</f>
        <v>0.64088550057535709</v>
      </c>
      <c r="F343" s="39">
        <f>IF(_xlfn.NORM.INV(S343,D343,'Regressão Grupo 2'!$B$7)&lt;=0,0,IF(_xlfn.NORM.INV(S343,D343,'Regressão Grupo 2'!$B$7)&gt;100%,100%,_xlfn.NORM.INV(S343,D343,'Regressão Grupo 2'!$B$7)))</f>
        <v>0.91358801155996938</v>
      </c>
      <c r="G343" s="41">
        <v>2.109339564175091E-2</v>
      </c>
      <c r="H343" s="41">
        <v>2.7605338867125573E-2</v>
      </c>
      <c r="I343" s="40">
        <f t="shared" si="52"/>
        <v>270.25172354408414</v>
      </c>
      <c r="J343" s="40">
        <f t="shared" si="52"/>
        <v>0</v>
      </c>
      <c r="K343" s="36">
        <v>0.35371933109339371</v>
      </c>
      <c r="L343" s="42">
        <f t="shared" ref="L343:M358" si="57">L342</f>
        <v>19991.322604477216</v>
      </c>
      <c r="M343" s="42">
        <f t="shared" si="57"/>
        <v>0</v>
      </c>
      <c r="N343" s="42">
        <f t="shared" si="53"/>
        <v>7071.3172593279223</v>
      </c>
      <c r="O343" s="36">
        <v>10.069944758979123</v>
      </c>
      <c r="P343" s="42">
        <f t="shared" si="54"/>
        <v>7565.443692564394</v>
      </c>
      <c r="Q343" s="42"/>
      <c r="R343">
        <v>0.85775322733237713</v>
      </c>
      <c r="S343">
        <v>0.31373027741325116</v>
      </c>
    </row>
    <row r="344" spans="1:19" x14ac:dyDescent="0.25">
      <c r="A344" s="40">
        <f t="shared" si="55"/>
        <v>64.229676878151835</v>
      </c>
      <c r="B344" s="40">
        <f t="shared" si="55"/>
        <v>32.933286051621081</v>
      </c>
      <c r="C344" s="41">
        <f t="shared" si="50"/>
        <v>0.49289226185293716</v>
      </c>
      <c r="D344" s="41">
        <f t="shared" si="51"/>
        <v>0.98069361229543572</v>
      </c>
      <c r="E344" s="39">
        <f>IF(_xlfn.NORM.INV(R344,C344,'Regressão Grupo 2'!$B$7)&lt;=0,0,IF(_xlfn.NORM.INV(R344,C344,'Regressão Grupo 2'!$B$7)&gt;100%,100%,_xlfn.NORM.INV(R344,C344,'Regressão Grupo 2'!$B$7)))</f>
        <v>0.62176685755018057</v>
      </c>
      <c r="F344" s="39">
        <f>IF(_xlfn.NORM.INV(S344,D344,'Regressão Grupo 2'!$B$7)&lt;=0,0,IF(_xlfn.NORM.INV(S344,D344,'Regressão Grupo 2'!$B$7)&gt;100%,100%,_xlfn.NORM.INV(S344,D344,'Regressão Grupo 2'!$B$7)))</f>
        <v>1</v>
      </c>
      <c r="G344" s="41">
        <v>2.1097301388122318E-2</v>
      </c>
      <c r="H344" s="41">
        <v>1.1149023199702075E-3</v>
      </c>
      <c r="I344" s="40">
        <f t="shared" si="52"/>
        <v>262.238229109945</v>
      </c>
      <c r="J344" s="40">
        <f t="shared" si="52"/>
        <v>0</v>
      </c>
      <c r="K344" s="36">
        <v>0.28705961007620751</v>
      </c>
      <c r="L344" s="42">
        <f t="shared" si="57"/>
        <v>19991.322604477216</v>
      </c>
      <c r="M344" s="42">
        <f t="shared" si="57"/>
        <v>0</v>
      </c>
      <c r="N344" s="42">
        <f t="shared" si="53"/>
        <v>5738.7012717489024</v>
      </c>
      <c r="O344" s="36">
        <v>3.1310889450837518</v>
      </c>
      <c r="P344" s="42">
        <f t="shared" si="54"/>
        <v>10283.684228937127</v>
      </c>
      <c r="Q344" s="42"/>
      <c r="R344">
        <v>0.82433545945616016</v>
      </c>
      <c r="S344">
        <v>0.75203711050752287</v>
      </c>
    </row>
    <row r="345" spans="1:19" x14ac:dyDescent="0.25">
      <c r="A345" s="40">
        <f t="shared" si="55"/>
        <v>64.229676878151835</v>
      </c>
      <c r="B345" s="40">
        <f t="shared" si="55"/>
        <v>32.933286051621081</v>
      </c>
      <c r="C345" s="41">
        <f t="shared" si="50"/>
        <v>0.49289226185293716</v>
      </c>
      <c r="D345" s="41">
        <f t="shared" si="51"/>
        <v>0.98069361229543572</v>
      </c>
      <c r="E345" s="39">
        <f>IF(_xlfn.NORM.INV(R345,C345,'Regressão Grupo 2'!$B$7)&lt;=0,0,IF(_xlfn.NORM.INV(R345,C345,'Regressão Grupo 2'!$B$7)&gt;100%,100%,_xlfn.NORM.INV(R345,C345,'Regressão Grupo 2'!$B$7)))</f>
        <v>0.61165767021097128</v>
      </c>
      <c r="F345" s="39">
        <f>IF(_xlfn.NORM.INV(S345,D345,'Regressão Grupo 2'!$B$7)&lt;=0,0,IF(_xlfn.NORM.INV(S345,D345,'Regressão Grupo 2'!$B$7)&gt;100%,100%,_xlfn.NORM.INV(S345,D345,'Regressão Grupo 2'!$B$7)))</f>
        <v>1</v>
      </c>
      <c r="G345" s="41">
        <v>1.1653957540367636E-2</v>
      </c>
      <c r="H345" s="41">
        <v>6.7382202145673201E-3</v>
      </c>
      <c r="I345" s="40">
        <f t="shared" si="52"/>
        <v>142.50279586464097</v>
      </c>
      <c r="J345" s="40">
        <f t="shared" si="52"/>
        <v>0</v>
      </c>
      <c r="K345" s="36">
        <v>0.32795055572235893</v>
      </c>
      <c r="L345" s="42">
        <f t="shared" si="57"/>
        <v>19991.322604477216</v>
      </c>
      <c r="M345" s="42">
        <f t="shared" si="57"/>
        <v>0</v>
      </c>
      <c r="N345" s="42">
        <f t="shared" si="53"/>
        <v>6556.1653577632587</v>
      </c>
      <c r="O345" s="36">
        <v>6.3010256633440518</v>
      </c>
      <c r="P345" s="42">
        <f t="shared" si="54"/>
        <v>1698.8294010144818</v>
      </c>
      <c r="Q345" s="42"/>
      <c r="R345">
        <v>0.80480361339152195</v>
      </c>
      <c r="S345">
        <v>0.99566637165440841</v>
      </c>
    </row>
    <row r="346" spans="1:19" x14ac:dyDescent="0.25">
      <c r="A346" s="40">
        <f t="shared" si="55"/>
        <v>64.229676878151835</v>
      </c>
      <c r="B346" s="40">
        <f t="shared" si="55"/>
        <v>32.933286051621081</v>
      </c>
      <c r="C346" s="41">
        <f t="shared" si="50"/>
        <v>0.49289226185293716</v>
      </c>
      <c r="D346" s="41">
        <f t="shared" si="51"/>
        <v>0.98069361229543572</v>
      </c>
      <c r="E346" s="39">
        <f>IF(_xlfn.NORM.INV(R346,C346,'Regressão Grupo 2'!$B$7)&lt;=0,0,IF(_xlfn.NORM.INV(R346,C346,'Regressão Grupo 2'!$B$7)&gt;100%,100%,_xlfn.NORM.INV(R346,C346,'Regressão Grupo 2'!$B$7)))</f>
        <v>0.42230222772772208</v>
      </c>
      <c r="F346" s="39">
        <f>IF(_xlfn.NORM.INV(S346,D346,'Regressão Grupo 2'!$B$7)&lt;=0,0,IF(_xlfn.NORM.INV(S346,D346,'Regressão Grupo 2'!$B$7)&gt;100%,100%,_xlfn.NORM.INV(S346,D346,'Regressão Grupo 2'!$B$7)))</f>
        <v>0.96135257485955716</v>
      </c>
      <c r="G346" s="41">
        <v>1.9790848631433346E-2</v>
      </c>
      <c r="H346" s="41">
        <v>2.4348882274289871E-2</v>
      </c>
      <c r="I346" s="40">
        <f t="shared" si="52"/>
        <v>167.08186607605668</v>
      </c>
      <c r="J346" s="40">
        <f t="shared" si="52"/>
        <v>0</v>
      </c>
      <c r="K346" s="36">
        <v>0.2858171345902315</v>
      </c>
      <c r="L346" s="42">
        <f t="shared" si="57"/>
        <v>19991.322604477216</v>
      </c>
      <c r="M346" s="42">
        <f t="shared" si="57"/>
        <v>0</v>
      </c>
      <c r="N346" s="42">
        <f t="shared" si="53"/>
        <v>5713.8625434806017</v>
      </c>
      <c r="O346" s="36">
        <v>3.826760883506136</v>
      </c>
      <c r="P346" s="42">
        <f t="shared" si="54"/>
        <v>4378.3693773400919</v>
      </c>
      <c r="Q346" s="42"/>
      <c r="R346">
        <v>0.30484939115573595</v>
      </c>
      <c r="S346">
        <v>0.44438001647999514</v>
      </c>
    </row>
    <row r="347" spans="1:19" x14ac:dyDescent="0.25">
      <c r="A347" s="40">
        <f t="shared" si="55"/>
        <v>64.229676878151835</v>
      </c>
      <c r="B347" s="40">
        <f t="shared" si="55"/>
        <v>32.933286051621081</v>
      </c>
      <c r="C347" s="41">
        <f t="shared" si="50"/>
        <v>0.49289226185293716</v>
      </c>
      <c r="D347" s="41">
        <f t="shared" si="51"/>
        <v>0.98069361229543572</v>
      </c>
      <c r="E347" s="39">
        <f>IF(_xlfn.NORM.INV(R347,C347,'Regressão Grupo 2'!$B$7)&lt;=0,0,IF(_xlfn.NORM.INV(R347,C347,'Regressão Grupo 2'!$B$7)&gt;100%,100%,_xlfn.NORM.INV(R347,C347,'Regressão Grupo 2'!$B$7)))</f>
        <v>0.37000507490213869</v>
      </c>
      <c r="F347" s="39">
        <f>IF(_xlfn.NORM.INV(S347,D347,'Regressão Grupo 2'!$B$7)&lt;=0,0,IF(_xlfn.NORM.INV(S347,D347,'Regressão Grupo 2'!$B$7)&gt;100%,100%,_xlfn.NORM.INV(S347,D347,'Regressão Grupo 2'!$B$7)))</f>
        <v>1</v>
      </c>
      <c r="G347" s="41">
        <v>1.1190909329711504E-2</v>
      </c>
      <c r="H347" s="41">
        <v>2.0505358224427755E-2</v>
      </c>
      <c r="I347" s="40">
        <f t="shared" si="52"/>
        <v>82.777934462235635</v>
      </c>
      <c r="J347" s="40">
        <f t="shared" si="52"/>
        <v>0</v>
      </c>
      <c r="K347" s="36">
        <v>0.34106650076923878</v>
      </c>
      <c r="L347" s="42">
        <f t="shared" si="57"/>
        <v>19991.322604477216</v>
      </c>
      <c r="M347" s="42">
        <f t="shared" si="57"/>
        <v>0</v>
      </c>
      <c r="N347" s="42">
        <f t="shared" si="53"/>
        <v>6818.3704464580287</v>
      </c>
      <c r="O347" s="36">
        <v>5.7769457013664596</v>
      </c>
      <c r="P347" s="42">
        <f t="shared" si="54"/>
        <v>-1979.7740959674111</v>
      </c>
      <c r="Q347" s="42"/>
      <c r="R347">
        <v>0.1870784630878628</v>
      </c>
      <c r="S347">
        <v>0.88671529282509842</v>
      </c>
    </row>
    <row r="348" spans="1:19" x14ac:dyDescent="0.25">
      <c r="A348" s="40">
        <f t="shared" si="55"/>
        <v>64.229676878151835</v>
      </c>
      <c r="B348" s="40">
        <f t="shared" si="55"/>
        <v>32.933286051621081</v>
      </c>
      <c r="C348" s="41">
        <f t="shared" si="50"/>
        <v>0.49289226185293716</v>
      </c>
      <c r="D348" s="41">
        <f t="shared" si="51"/>
        <v>0.98069361229543572</v>
      </c>
      <c r="E348" s="39">
        <f>IF(_xlfn.NORM.INV(R348,C348,'Regressão Grupo 2'!$B$7)&lt;=0,0,IF(_xlfn.NORM.INV(R348,C348,'Regressão Grupo 2'!$B$7)&gt;100%,100%,_xlfn.NORM.INV(R348,C348,'Regressão Grupo 2'!$B$7)))</f>
        <v>0.4080648394397694</v>
      </c>
      <c r="F348" s="39">
        <f>IF(_xlfn.NORM.INV(S348,D348,'Regressão Grupo 2'!$B$7)&lt;=0,0,IF(_xlfn.NORM.INV(S348,D348,'Regressão Grupo 2'!$B$7)&gt;100%,100%,_xlfn.NORM.INV(S348,D348,'Regressão Grupo 2'!$B$7)))</f>
        <v>0.93818198236939865</v>
      </c>
      <c r="G348" s="41">
        <v>2.2313229804836826E-2</v>
      </c>
      <c r="H348" s="41">
        <v>1.5846390317960788E-2</v>
      </c>
      <c r="I348" s="40">
        <f t="shared" si="52"/>
        <v>182.0258809456831</v>
      </c>
      <c r="J348" s="40">
        <f t="shared" si="52"/>
        <v>0</v>
      </c>
      <c r="K348" s="36">
        <v>0.31646988043734581</v>
      </c>
      <c r="L348" s="42">
        <f t="shared" si="57"/>
        <v>19991.322604477216</v>
      </c>
      <c r="M348" s="42">
        <f t="shared" si="57"/>
        <v>0</v>
      </c>
      <c r="N348" s="42">
        <f t="shared" si="53"/>
        <v>6326.6514744233136</v>
      </c>
      <c r="O348" s="36">
        <v>4.3673111156253412</v>
      </c>
      <c r="P348" s="42">
        <f t="shared" si="54"/>
        <v>4569.8483889932686</v>
      </c>
      <c r="Q348" s="42"/>
      <c r="R348">
        <v>0.26978362376781517</v>
      </c>
      <c r="S348">
        <v>0.3792535172582171</v>
      </c>
    </row>
    <row r="349" spans="1:19" x14ac:dyDescent="0.25">
      <c r="A349" s="40">
        <f t="shared" si="55"/>
        <v>64.229676878151835</v>
      </c>
      <c r="B349" s="40">
        <f t="shared" si="55"/>
        <v>32.933286051621081</v>
      </c>
      <c r="C349" s="41">
        <f t="shared" si="50"/>
        <v>0.49289226185293716</v>
      </c>
      <c r="D349" s="41">
        <f t="shared" si="51"/>
        <v>0.98069361229543572</v>
      </c>
      <c r="E349" s="39">
        <f>IF(_xlfn.NORM.INV(R349,C349,'Regressão Grupo 2'!$B$7)&lt;=0,0,IF(_xlfn.NORM.INV(R349,C349,'Regressão Grupo 2'!$B$7)&gt;100%,100%,_xlfn.NORM.INV(R349,C349,'Regressão Grupo 2'!$B$7)))</f>
        <v>0.55030347682677616</v>
      </c>
      <c r="F349" s="39">
        <f>IF(_xlfn.NORM.INV(S349,D349,'Regressão Grupo 2'!$B$7)&lt;=0,0,IF(_xlfn.NORM.INV(S349,D349,'Regressão Grupo 2'!$B$7)&gt;100%,100%,_xlfn.NORM.INV(S349,D349,'Regressão Grupo 2'!$B$7)))</f>
        <v>0.91864896586553213</v>
      </c>
      <c r="G349" s="41">
        <v>4.9778184009684426E-3</v>
      </c>
      <c r="H349" s="41">
        <v>1.659364650715597E-2</v>
      </c>
      <c r="I349" s="40">
        <f t="shared" si="52"/>
        <v>54.762445378267039</v>
      </c>
      <c r="J349" s="40">
        <f t="shared" si="52"/>
        <v>0</v>
      </c>
      <c r="K349" s="36">
        <v>0.37117922755877641</v>
      </c>
      <c r="L349" s="42">
        <f t="shared" si="57"/>
        <v>19991.322604477216</v>
      </c>
      <c r="M349" s="42">
        <f t="shared" si="57"/>
        <v>0</v>
      </c>
      <c r="N349" s="42">
        <f t="shared" si="53"/>
        <v>7420.3636822081598</v>
      </c>
      <c r="O349" s="36">
        <v>7.8213764817968388</v>
      </c>
      <c r="P349" s="42">
        <f t="shared" si="54"/>
        <v>-4331.3072128718904</v>
      </c>
      <c r="Q349" s="42"/>
      <c r="R349">
        <v>0.66100039674062316</v>
      </c>
      <c r="S349">
        <v>0.32682271797845391</v>
      </c>
    </row>
    <row r="350" spans="1:19" x14ac:dyDescent="0.25">
      <c r="A350" s="40">
        <f t="shared" si="55"/>
        <v>64.229676878151835</v>
      </c>
      <c r="B350" s="40">
        <f t="shared" si="55"/>
        <v>32.933286051621081</v>
      </c>
      <c r="C350" s="41">
        <f t="shared" si="50"/>
        <v>0.49289226185293716</v>
      </c>
      <c r="D350" s="41">
        <f t="shared" si="51"/>
        <v>0.98069361229543572</v>
      </c>
      <c r="E350" s="39">
        <f>IF(_xlfn.NORM.INV(R350,C350,'Regressão Grupo 2'!$B$7)&lt;=0,0,IF(_xlfn.NORM.INV(R350,C350,'Regressão Grupo 2'!$B$7)&gt;100%,100%,_xlfn.NORM.INV(R350,C350,'Regressão Grupo 2'!$B$7)))</f>
        <v>0.40905855095675558</v>
      </c>
      <c r="F350" s="39">
        <f>IF(_xlfn.NORM.INV(S350,D350,'Regressão Grupo 2'!$B$7)&lt;=0,0,IF(_xlfn.NORM.INV(S350,D350,'Regressão Grupo 2'!$B$7)&gt;100%,100%,_xlfn.NORM.INV(S350,D350,'Regressão Grupo 2'!$B$7)))</f>
        <v>1</v>
      </c>
      <c r="G350" s="41">
        <v>2.2300266045051313E-2</v>
      </c>
      <c r="H350" s="41">
        <v>1.7393216909065461E-2</v>
      </c>
      <c r="I350" s="40">
        <f t="shared" si="52"/>
        <v>182.36313409113154</v>
      </c>
      <c r="J350" s="40">
        <f t="shared" si="52"/>
        <v>0</v>
      </c>
      <c r="K350" s="36">
        <v>0.35525849660138487</v>
      </c>
      <c r="L350" s="42">
        <f t="shared" si="57"/>
        <v>19991.322604477216</v>
      </c>
      <c r="M350" s="42">
        <f t="shared" si="57"/>
        <v>0</v>
      </c>
      <c r="N350" s="42">
        <f t="shared" si="53"/>
        <v>7102.0872135398577</v>
      </c>
      <c r="O350" s="36">
        <v>6.03247207699365</v>
      </c>
      <c r="P350" s="42">
        <f t="shared" si="54"/>
        <v>3510.9374493427977</v>
      </c>
      <c r="Q350" s="42"/>
      <c r="R350">
        <v>0.27216406750694294</v>
      </c>
      <c r="S350">
        <v>0.67925046540726952</v>
      </c>
    </row>
    <row r="351" spans="1:19" x14ac:dyDescent="0.25">
      <c r="A351" s="40">
        <f t="shared" si="55"/>
        <v>64.229676878151835</v>
      </c>
      <c r="B351" s="40">
        <f t="shared" si="55"/>
        <v>32.933286051621081</v>
      </c>
      <c r="C351" s="41">
        <f t="shared" si="50"/>
        <v>0.49289226185293716</v>
      </c>
      <c r="D351" s="41">
        <f t="shared" si="51"/>
        <v>0.98069361229543572</v>
      </c>
      <c r="E351" s="39">
        <f>IF(_xlfn.NORM.INV(R351,C351,'Regressão Grupo 2'!$B$7)&lt;=0,0,IF(_xlfn.NORM.INV(R351,C351,'Regressão Grupo 2'!$B$7)&gt;100%,100%,_xlfn.NORM.INV(R351,C351,'Regressão Grupo 2'!$B$7)))</f>
        <v>0.18643713017935254</v>
      </c>
      <c r="F351" s="39">
        <f>IF(_xlfn.NORM.INV(S351,D351,'Regressão Grupo 2'!$B$7)&lt;=0,0,IF(_xlfn.NORM.INV(S351,D351,'Regressão Grupo 2'!$B$7)&gt;100%,100%,_xlfn.NORM.INV(S351,D351,'Regressão Grupo 2'!$B$7)))</f>
        <v>1</v>
      </c>
      <c r="G351" s="41">
        <v>2.4187672094616239E-2</v>
      </c>
      <c r="H351" s="41">
        <v>1.7364279479091638E-2</v>
      </c>
      <c r="I351" s="40">
        <f t="shared" si="52"/>
        <v>90.150472877742942</v>
      </c>
      <c r="J351" s="40">
        <f t="shared" si="52"/>
        <v>0</v>
      </c>
      <c r="K351" s="36">
        <v>0.31579878640590187</v>
      </c>
      <c r="L351" s="42">
        <f t="shared" si="57"/>
        <v>19991.322604477216</v>
      </c>
      <c r="M351" s="42">
        <f t="shared" si="57"/>
        <v>0</v>
      </c>
      <c r="N351" s="42">
        <f t="shared" si="53"/>
        <v>6313.2354171427778</v>
      </c>
      <c r="O351" s="36">
        <v>3.8405664081671245</v>
      </c>
      <c r="P351" s="42">
        <f t="shared" si="54"/>
        <v>-869.12855160739946</v>
      </c>
      <c r="Q351" s="42"/>
      <c r="R351">
        <v>1.3336588641010774E-2</v>
      </c>
      <c r="S351">
        <v>0.99108859523300885</v>
      </c>
    </row>
    <row r="352" spans="1:19" x14ac:dyDescent="0.25">
      <c r="A352" s="40">
        <f t="shared" si="55"/>
        <v>64.229676878151835</v>
      </c>
      <c r="B352" s="40">
        <f t="shared" si="55"/>
        <v>32.933286051621081</v>
      </c>
      <c r="C352" s="41">
        <f t="shared" si="50"/>
        <v>0.49289226185293716</v>
      </c>
      <c r="D352" s="41">
        <f t="shared" si="51"/>
        <v>0.98069361229543572</v>
      </c>
      <c r="E352" s="39">
        <f>IF(_xlfn.NORM.INV(R352,C352,'Regressão Grupo 2'!$B$7)&lt;=0,0,IF(_xlfn.NORM.INV(R352,C352,'Regressão Grupo 2'!$B$7)&gt;100%,100%,_xlfn.NORM.INV(R352,C352,'Regressão Grupo 2'!$B$7)))</f>
        <v>0.5575214592995309</v>
      </c>
      <c r="F352" s="39">
        <f>IF(_xlfn.NORM.INV(S352,D352,'Regressão Grupo 2'!$B$7)&lt;=0,0,IF(_xlfn.NORM.INV(S352,D352,'Regressão Grupo 2'!$B$7)&gt;100%,100%,_xlfn.NORM.INV(S352,D352,'Regressão Grupo 2'!$B$7)))</f>
        <v>1</v>
      </c>
      <c r="G352" s="41">
        <v>1.1937792050449043E-2</v>
      </c>
      <c r="H352" s="41">
        <v>1.9254846866823886E-2</v>
      </c>
      <c r="I352" s="40">
        <f t="shared" si="52"/>
        <v>133.05375183678319</v>
      </c>
      <c r="J352" s="40">
        <f t="shared" si="52"/>
        <v>0</v>
      </c>
      <c r="K352" s="36">
        <v>0.37977621203180956</v>
      </c>
      <c r="L352" s="42">
        <f t="shared" si="57"/>
        <v>19991.322604477216</v>
      </c>
      <c r="M352" s="42">
        <f t="shared" si="57"/>
        <v>0</v>
      </c>
      <c r="N352" s="42">
        <f t="shared" si="53"/>
        <v>7592.2287722342462</v>
      </c>
      <c r="O352" s="36">
        <v>6.8977241046613225</v>
      </c>
      <c r="P352" s="42">
        <f t="shared" si="54"/>
        <v>36.002644407933985</v>
      </c>
      <c r="Q352" s="42"/>
      <c r="R352">
        <v>0.67989135410626544</v>
      </c>
      <c r="S352">
        <v>0.56154057435834837</v>
      </c>
    </row>
    <row r="353" spans="1:19" x14ac:dyDescent="0.25">
      <c r="A353" s="40">
        <f t="shared" si="55"/>
        <v>64.229676878151835</v>
      </c>
      <c r="B353" s="40">
        <f t="shared" si="55"/>
        <v>32.933286051621081</v>
      </c>
      <c r="C353" s="41">
        <f t="shared" si="50"/>
        <v>0.49289226185293716</v>
      </c>
      <c r="D353" s="41">
        <f t="shared" si="51"/>
        <v>0.98069361229543572</v>
      </c>
      <c r="E353" s="39">
        <f>IF(_xlfn.NORM.INV(R353,C353,'Regressão Grupo 2'!$B$7)&lt;=0,0,IF(_xlfn.NORM.INV(R353,C353,'Regressão Grupo 2'!$B$7)&gt;100%,100%,_xlfn.NORM.INV(R353,C353,'Regressão Grupo 2'!$B$7)))</f>
        <v>0.33740498792470719</v>
      </c>
      <c r="F353" s="39">
        <f>IF(_xlfn.NORM.INV(S353,D353,'Regressão Grupo 2'!$B$7)&lt;=0,0,IF(_xlfn.NORM.INV(S353,D353,'Regressão Grupo 2'!$B$7)&gt;100%,100%,_xlfn.NORM.INV(S353,D353,'Regressão Grupo 2'!$B$7)))</f>
        <v>0.80961832406219447</v>
      </c>
      <c r="G353" s="41">
        <v>2.6118903464435E-2</v>
      </c>
      <c r="H353" s="41">
        <v>2.0095589757449898E-2</v>
      </c>
      <c r="I353" s="40">
        <f t="shared" si="52"/>
        <v>176.17649532551377</v>
      </c>
      <c r="J353" s="40">
        <f t="shared" si="52"/>
        <v>0</v>
      </c>
      <c r="K353" s="36">
        <v>0.2278454219137192</v>
      </c>
      <c r="L353" s="42">
        <f t="shared" si="57"/>
        <v>19991.322604477216</v>
      </c>
      <c r="M353" s="42">
        <f t="shared" si="57"/>
        <v>0</v>
      </c>
      <c r="N353" s="42">
        <f t="shared" si="53"/>
        <v>4554.9313334303833</v>
      </c>
      <c r="O353" s="36">
        <v>7.0831309347165714</v>
      </c>
      <c r="P353" s="42">
        <f t="shared" si="54"/>
        <v>5512.9468508424989</v>
      </c>
      <c r="Q353" s="42"/>
      <c r="R353">
        <v>0.13040559099093602</v>
      </c>
      <c r="S353">
        <v>0.10800500503555406</v>
      </c>
    </row>
    <row r="354" spans="1:19" x14ac:dyDescent="0.25">
      <c r="A354" s="40">
        <f t="shared" si="55"/>
        <v>64.229676878151835</v>
      </c>
      <c r="B354" s="40">
        <f t="shared" si="55"/>
        <v>32.933286051621081</v>
      </c>
      <c r="C354" s="41">
        <f t="shared" si="50"/>
        <v>0.49289226185293716</v>
      </c>
      <c r="D354" s="41">
        <f t="shared" si="51"/>
        <v>0.98069361229543572</v>
      </c>
      <c r="E354" s="39">
        <f>IF(_xlfn.NORM.INV(R354,C354,'Regressão Grupo 2'!$B$7)&lt;=0,0,IF(_xlfn.NORM.INV(R354,C354,'Regressão Grupo 2'!$B$7)&gt;100%,100%,_xlfn.NORM.INV(R354,C354,'Regressão Grupo 2'!$B$7)))</f>
        <v>0.54450676232354767</v>
      </c>
      <c r="F354" s="39">
        <f>IF(_xlfn.NORM.INV(S354,D354,'Regressão Grupo 2'!$B$7)&lt;=0,0,IF(_xlfn.NORM.INV(S354,D354,'Regressão Grupo 2'!$B$7)&gt;100%,100%,_xlfn.NORM.INV(S354,D354,'Regressão Grupo 2'!$B$7)))</f>
        <v>0.99918046570841779</v>
      </c>
      <c r="G354" s="41">
        <v>1.3759847929080943E-2</v>
      </c>
      <c r="H354" s="41">
        <v>2.0177903148548389E-2</v>
      </c>
      <c r="I354" s="40">
        <f t="shared" si="52"/>
        <v>149.78159100563349</v>
      </c>
      <c r="J354" s="40">
        <f t="shared" si="52"/>
        <v>0</v>
      </c>
      <c r="K354" s="36">
        <v>0.36437459356834734</v>
      </c>
      <c r="L354" s="42">
        <f t="shared" si="57"/>
        <v>19991.322604477216</v>
      </c>
      <c r="M354" s="42">
        <f t="shared" si="57"/>
        <v>0</v>
      </c>
      <c r="N354" s="42">
        <f t="shared" si="53"/>
        <v>7284.3300489001003</v>
      </c>
      <c r="O354" s="36">
        <v>9.5506672042931324</v>
      </c>
      <c r="P354" s="42">
        <f t="shared" si="54"/>
        <v>905.57901466288058</v>
      </c>
      <c r="Q354" s="42"/>
      <c r="R354">
        <v>0.64552751243629258</v>
      </c>
      <c r="S354">
        <v>0.55317850276192515</v>
      </c>
    </row>
    <row r="355" spans="1:19" x14ac:dyDescent="0.25">
      <c r="A355" s="40">
        <f t="shared" si="55"/>
        <v>64.229676878151835</v>
      </c>
      <c r="B355" s="40">
        <f t="shared" si="55"/>
        <v>32.933286051621081</v>
      </c>
      <c r="C355" s="41">
        <f t="shared" si="50"/>
        <v>0.49289226185293716</v>
      </c>
      <c r="D355" s="41">
        <f t="shared" si="51"/>
        <v>0.98069361229543572</v>
      </c>
      <c r="E355" s="39">
        <f>IF(_xlfn.NORM.INV(R355,C355,'Regressão Grupo 2'!$B$7)&lt;=0,0,IF(_xlfn.NORM.INV(R355,C355,'Regressão Grupo 2'!$B$7)&gt;100%,100%,_xlfn.NORM.INV(R355,C355,'Regressão Grupo 2'!$B$7)))</f>
        <v>0.76709557932927497</v>
      </c>
      <c r="F355" s="39">
        <f>IF(_xlfn.NORM.INV(S355,D355,'Regressão Grupo 2'!$B$7)&lt;=0,0,IF(_xlfn.NORM.INV(S355,D355,'Regressão Grupo 2'!$B$7)&gt;100%,100%,_xlfn.NORM.INV(S355,D355,'Regressão Grupo 2'!$B$7)))</f>
        <v>1</v>
      </c>
      <c r="G355" s="41">
        <v>2.0725550088974826E-2</v>
      </c>
      <c r="H355" s="41">
        <v>2.6843938700963049E-2</v>
      </c>
      <c r="I355" s="40">
        <f t="shared" si="52"/>
        <v>317.83159966786536</v>
      </c>
      <c r="J355" s="40">
        <f t="shared" si="52"/>
        <v>0</v>
      </c>
      <c r="K355" s="36">
        <v>0.26621313216915488</v>
      </c>
      <c r="L355" s="42">
        <f t="shared" si="57"/>
        <v>19991.322604477216</v>
      </c>
      <c r="M355" s="42">
        <f t="shared" si="57"/>
        <v>0</v>
      </c>
      <c r="N355" s="42">
        <f t="shared" si="53"/>
        <v>5321.9526067419065</v>
      </c>
      <c r="O355" s="36">
        <v>6.2508493731126382</v>
      </c>
      <c r="P355" s="42">
        <f t="shared" si="54"/>
        <v>13105.550886051933</v>
      </c>
      <c r="Q355" s="42"/>
      <c r="R355">
        <v>0.97631763664662619</v>
      </c>
      <c r="S355">
        <v>0.64888454847865229</v>
      </c>
    </row>
    <row r="356" spans="1:19" x14ac:dyDescent="0.25">
      <c r="A356" s="40">
        <f t="shared" si="55"/>
        <v>64.229676878151835</v>
      </c>
      <c r="B356" s="40">
        <f t="shared" si="55"/>
        <v>32.933286051621081</v>
      </c>
      <c r="C356" s="41">
        <f t="shared" si="50"/>
        <v>0.49289226185293716</v>
      </c>
      <c r="D356" s="41">
        <f t="shared" si="51"/>
        <v>0.98069361229543572</v>
      </c>
      <c r="E356" s="39">
        <f>IF(_xlfn.NORM.INV(R356,C356,'Regressão Grupo 2'!$B$7)&lt;=0,0,IF(_xlfn.NORM.INV(R356,C356,'Regressão Grupo 2'!$B$7)&gt;100%,100%,_xlfn.NORM.INV(R356,C356,'Regressão Grupo 2'!$B$7)))</f>
        <v>0.35769302099975531</v>
      </c>
      <c r="F356" s="39">
        <f>IF(_xlfn.NORM.INV(S356,D356,'Regressão Grupo 2'!$B$7)&lt;=0,0,IF(_xlfn.NORM.INV(S356,D356,'Regressão Grupo 2'!$B$7)&gt;100%,100%,_xlfn.NORM.INV(S356,D356,'Regressão Grupo 2'!$B$7)))</f>
        <v>0.96086108672760129</v>
      </c>
      <c r="G356" s="41">
        <v>1.2907718768839836E-2</v>
      </c>
      <c r="H356" s="41">
        <v>2.2235866344437874E-2</v>
      </c>
      <c r="I356" s="40">
        <f t="shared" si="52"/>
        <v>92.299954869713801</v>
      </c>
      <c r="J356" s="40">
        <f t="shared" si="52"/>
        <v>0</v>
      </c>
      <c r="K356" s="36">
        <v>0.26866001979763077</v>
      </c>
      <c r="L356" s="42">
        <f t="shared" si="57"/>
        <v>19991.322604477216</v>
      </c>
      <c r="M356" s="42">
        <f t="shared" si="57"/>
        <v>0</v>
      </c>
      <c r="N356" s="42">
        <f t="shared" si="53"/>
        <v>5370.8691266996721</v>
      </c>
      <c r="O356" s="36">
        <v>8.6769813366119468</v>
      </c>
      <c r="P356" s="42">
        <f t="shared" si="54"/>
        <v>-243.35783532458936</v>
      </c>
      <c r="Q356" s="42"/>
      <c r="R356">
        <v>0.1640980254524369</v>
      </c>
      <c r="S356">
        <v>0.44297616504409926</v>
      </c>
    </row>
    <row r="357" spans="1:19" x14ac:dyDescent="0.25">
      <c r="A357" s="40">
        <f t="shared" si="55"/>
        <v>64.229676878151835</v>
      </c>
      <c r="B357" s="40">
        <f t="shared" si="55"/>
        <v>32.933286051621081</v>
      </c>
      <c r="C357" s="41">
        <f t="shared" si="50"/>
        <v>0.49289226185293716</v>
      </c>
      <c r="D357" s="41">
        <f t="shared" si="51"/>
        <v>0.98069361229543572</v>
      </c>
      <c r="E357" s="39">
        <f>IF(_xlfn.NORM.INV(R357,C357,'Regressão Grupo 2'!$B$7)&lt;=0,0,IF(_xlfn.NORM.INV(R357,C357,'Regressão Grupo 2'!$B$7)&gt;100%,100%,_xlfn.NORM.INV(R357,C357,'Regressão Grupo 2'!$B$7)))</f>
        <v>0.44439500754275463</v>
      </c>
      <c r="F357" s="39">
        <f>IF(_xlfn.NORM.INV(S357,D357,'Regressão Grupo 2'!$B$7)&lt;=0,0,IF(_xlfn.NORM.INV(S357,D357,'Regressão Grupo 2'!$B$7)&gt;100%,100%,_xlfn.NORM.INV(S357,D357,'Regressão Grupo 2'!$B$7)))</f>
        <v>0.83350437821439738</v>
      </c>
      <c r="G357" s="41">
        <v>2.5414370657186828E-3</v>
      </c>
      <c r="H357" s="41">
        <v>2.2001832397030678E-2</v>
      </c>
      <c r="I357" s="40">
        <f t="shared" si="52"/>
        <v>22.578238612417607</v>
      </c>
      <c r="J357" s="40">
        <f t="shared" si="52"/>
        <v>0</v>
      </c>
      <c r="K357" s="36">
        <v>0.2567027285174604</v>
      </c>
      <c r="L357" s="42">
        <f t="shared" si="57"/>
        <v>19991.322604477216</v>
      </c>
      <c r="M357" s="42">
        <f t="shared" si="57"/>
        <v>0</v>
      </c>
      <c r="N357" s="42">
        <f t="shared" si="53"/>
        <v>5131.827059242084</v>
      </c>
      <c r="O357" s="36">
        <v>2.2531850107899767</v>
      </c>
      <c r="P357" s="42">
        <f t="shared" si="54"/>
        <v>-3732.5070375002288</v>
      </c>
      <c r="Q357" s="42"/>
      <c r="R357">
        <v>0.36289559617908262</v>
      </c>
      <c r="S357">
        <v>0.14355906857509079</v>
      </c>
    </row>
    <row r="358" spans="1:19" x14ac:dyDescent="0.25">
      <c r="A358" s="40">
        <f t="shared" si="55"/>
        <v>64.229676878151835</v>
      </c>
      <c r="B358" s="40">
        <f t="shared" si="55"/>
        <v>32.933286051621081</v>
      </c>
      <c r="C358" s="41">
        <f t="shared" si="50"/>
        <v>0.49289226185293716</v>
      </c>
      <c r="D358" s="41">
        <f t="shared" si="51"/>
        <v>0.98069361229543572</v>
      </c>
      <c r="E358" s="39">
        <f>IF(_xlfn.NORM.INV(R358,C358,'Regressão Grupo 2'!$B$7)&lt;=0,0,IF(_xlfn.NORM.INV(R358,C358,'Regressão Grupo 2'!$B$7)&gt;100%,100%,_xlfn.NORM.INV(R358,C358,'Regressão Grupo 2'!$B$7)))</f>
        <v>0.39963029162063113</v>
      </c>
      <c r="F358" s="39">
        <f>IF(_xlfn.NORM.INV(S358,D358,'Regressão Grupo 2'!$B$7)&lt;=0,0,IF(_xlfn.NORM.INV(S358,D358,'Regressão Grupo 2'!$B$7)&gt;100%,100%,_xlfn.NORM.INV(S358,D358,'Regressão Grupo 2'!$B$7)))</f>
        <v>1</v>
      </c>
      <c r="G358" s="41">
        <v>9.8686122273448952E-3</v>
      </c>
      <c r="H358" s="41">
        <v>1.4650834764777384E-2</v>
      </c>
      <c r="I358" s="40">
        <f t="shared" si="52"/>
        <v>78.841705765024741</v>
      </c>
      <c r="J358" s="40">
        <f t="shared" si="52"/>
        <v>0</v>
      </c>
      <c r="K358" s="36">
        <v>0.33289902689022605</v>
      </c>
      <c r="L358" s="42">
        <f t="shared" si="57"/>
        <v>19991.322604477216</v>
      </c>
      <c r="M358" s="42">
        <f t="shared" si="57"/>
        <v>0</v>
      </c>
      <c r="N358" s="42">
        <f t="shared" si="53"/>
        <v>6655.0918412790443</v>
      </c>
      <c r="O358" s="36">
        <v>3.1993514990877161</v>
      </c>
      <c r="P358" s="42">
        <f t="shared" si="54"/>
        <v>-1843.3568849991489</v>
      </c>
      <c r="Q358" s="42"/>
      <c r="R358">
        <v>0.250007629627369</v>
      </c>
      <c r="S358">
        <v>0.8758201849421674</v>
      </c>
    </row>
    <row r="359" spans="1:19" x14ac:dyDescent="0.25">
      <c r="A359" s="40">
        <f t="shared" si="55"/>
        <v>64.229676878151835</v>
      </c>
      <c r="B359" s="40">
        <f t="shared" si="55"/>
        <v>32.933286051621081</v>
      </c>
      <c r="C359" s="41">
        <f t="shared" si="50"/>
        <v>0.49289226185293716</v>
      </c>
      <c r="D359" s="41">
        <f t="shared" si="51"/>
        <v>0.98069361229543572</v>
      </c>
      <c r="E359" s="39">
        <f>IF(_xlfn.NORM.INV(R359,C359,'Regressão Grupo 2'!$B$7)&lt;=0,0,IF(_xlfn.NORM.INV(R359,C359,'Regressão Grupo 2'!$B$7)&gt;100%,100%,_xlfn.NORM.INV(R359,C359,'Regressão Grupo 2'!$B$7)))</f>
        <v>0.6051351426888395</v>
      </c>
      <c r="F359" s="39">
        <f>IF(_xlfn.NORM.INV(S359,D359,'Regressão Grupo 2'!$B$7)&lt;=0,0,IF(_xlfn.NORM.INV(S359,D359,'Regressão Grupo 2'!$B$7)&gt;100%,100%,_xlfn.NORM.INV(S359,D359,'Regressão Grupo 2'!$B$7)))</f>
        <v>0.90002879370049815</v>
      </c>
      <c r="G359" s="41">
        <v>6.6249086985504671E-3</v>
      </c>
      <c r="H359" s="41">
        <v>1.2598198457626653E-2</v>
      </c>
      <c r="I359" s="40">
        <f t="shared" si="52"/>
        <v>80.144514036402825</v>
      </c>
      <c r="J359" s="40">
        <f t="shared" si="52"/>
        <v>0</v>
      </c>
      <c r="K359" s="36">
        <v>0.41481707229626247</v>
      </c>
      <c r="L359" s="42">
        <f t="shared" ref="L359:M374" si="58">L358</f>
        <v>19991.322604477216</v>
      </c>
      <c r="M359" s="42">
        <f t="shared" si="58"/>
        <v>0</v>
      </c>
      <c r="N359" s="42">
        <f t="shared" si="53"/>
        <v>8292.7419141193313</v>
      </c>
      <c r="O359" s="36">
        <v>3.8009260537271783</v>
      </c>
      <c r="P359" s="42">
        <f t="shared" si="54"/>
        <v>-3449.7090454689405</v>
      </c>
      <c r="Q359" s="42"/>
      <c r="R359">
        <v>0.79152806176946322</v>
      </c>
      <c r="S359">
        <v>0.27982421338541824</v>
      </c>
    </row>
    <row r="360" spans="1:19" x14ac:dyDescent="0.25">
      <c r="A360" s="40">
        <f t="shared" si="55"/>
        <v>64.229676878151835</v>
      </c>
      <c r="B360" s="40">
        <f t="shared" si="55"/>
        <v>32.933286051621081</v>
      </c>
      <c r="C360" s="41">
        <f t="shared" si="50"/>
        <v>0.49289226185293716</v>
      </c>
      <c r="D360" s="41">
        <f t="shared" si="51"/>
        <v>0.98069361229543572</v>
      </c>
      <c r="E360" s="39">
        <f>IF(_xlfn.NORM.INV(R360,C360,'Regressão Grupo 2'!$B$7)&lt;=0,0,IF(_xlfn.NORM.INV(R360,C360,'Regressão Grupo 2'!$B$7)&gt;100%,100%,_xlfn.NORM.INV(R360,C360,'Regressão Grupo 2'!$B$7)))</f>
        <v>0.5924399386724184</v>
      </c>
      <c r="F360" s="39">
        <f>IF(_xlfn.NORM.INV(S360,D360,'Regressão Grupo 2'!$B$7)&lt;=0,0,IF(_xlfn.NORM.INV(S360,D360,'Regressão Grupo 2'!$B$7)&gt;100%,100%,_xlfn.NORM.INV(S360,D360,'Regressão Grupo 2'!$B$7)))</f>
        <v>1</v>
      </c>
      <c r="G360" s="41">
        <v>1.6839266135995085E-2</v>
      </c>
      <c r="H360" s="41">
        <v>1.3685661558245356E-2</v>
      </c>
      <c r="I360" s="40">
        <f t="shared" si="52"/>
        <v>199.43850803791787</v>
      </c>
      <c r="J360" s="40">
        <f t="shared" si="52"/>
        <v>0</v>
      </c>
      <c r="K360" s="36">
        <v>0.14992350448790634</v>
      </c>
      <c r="L360" s="42">
        <f t="shared" si="58"/>
        <v>19991.322604477216</v>
      </c>
      <c r="M360" s="42">
        <f t="shared" si="58"/>
        <v>0</v>
      </c>
      <c r="N360" s="42">
        <f t="shared" si="53"/>
        <v>2997.1691442115234</v>
      </c>
      <c r="O360" s="36">
        <v>4.8673028325056071</v>
      </c>
      <c r="P360" s="42">
        <f t="shared" si="54"/>
        <v>8841.9741690409792</v>
      </c>
      <c r="Q360" s="42"/>
      <c r="R360">
        <v>0.76421399578844573</v>
      </c>
      <c r="S360">
        <v>0.99584948271126439</v>
      </c>
    </row>
    <row r="361" spans="1:19" x14ac:dyDescent="0.25">
      <c r="A361" s="40">
        <f t="shared" si="55"/>
        <v>64.229676878151835</v>
      </c>
      <c r="B361" s="40">
        <f t="shared" si="55"/>
        <v>32.933286051621081</v>
      </c>
      <c r="C361" s="41">
        <f t="shared" si="50"/>
        <v>0.49289226185293716</v>
      </c>
      <c r="D361" s="41">
        <f t="shared" si="51"/>
        <v>0.98069361229543572</v>
      </c>
      <c r="E361" s="39">
        <f>IF(_xlfn.NORM.INV(R361,C361,'Regressão Grupo 2'!$B$7)&lt;=0,0,IF(_xlfn.NORM.INV(R361,C361,'Regressão Grupo 2'!$B$7)&gt;100%,100%,_xlfn.NORM.INV(R361,C361,'Regressão Grupo 2'!$B$7)))</f>
        <v>0.3487065841171354</v>
      </c>
      <c r="F361" s="39">
        <f>IF(_xlfn.NORM.INV(S361,D361,'Regressão Grupo 2'!$B$7)&lt;=0,0,IF(_xlfn.NORM.INV(S361,D361,'Regressão Grupo 2'!$B$7)&gt;100%,100%,_xlfn.NORM.INV(S361,D361,'Regressão Grupo 2'!$B$7)))</f>
        <v>1</v>
      </c>
      <c r="G361" s="41">
        <v>1.4850468370006491E-2</v>
      </c>
      <c r="H361" s="41">
        <v>2.1951254534295354E-2</v>
      </c>
      <c r="I361" s="40">
        <f t="shared" si="52"/>
        <v>103.52418644513217</v>
      </c>
      <c r="J361" s="40">
        <f t="shared" si="52"/>
        <v>0</v>
      </c>
      <c r="K361" s="36">
        <v>0.31096078054459286</v>
      </c>
      <c r="L361" s="42">
        <f t="shared" si="58"/>
        <v>19991.322604477216</v>
      </c>
      <c r="M361" s="42">
        <f t="shared" si="58"/>
        <v>0</v>
      </c>
      <c r="N361" s="42">
        <f t="shared" si="53"/>
        <v>6216.5172812069986</v>
      </c>
      <c r="O361" s="36">
        <v>7.6445578774919198</v>
      </c>
      <c r="P361" s="42">
        <f t="shared" si="54"/>
        <v>-358.58887176269036</v>
      </c>
      <c r="Q361" s="42"/>
      <c r="R361">
        <v>0.14853358561967833</v>
      </c>
      <c r="S361">
        <v>0.94207586901455731</v>
      </c>
    </row>
    <row r="362" spans="1:19" x14ac:dyDescent="0.25">
      <c r="A362" s="40">
        <f t="shared" si="55"/>
        <v>64.229676878151835</v>
      </c>
      <c r="B362" s="40">
        <f t="shared" si="55"/>
        <v>32.933286051621081</v>
      </c>
      <c r="C362" s="41">
        <f t="shared" si="50"/>
        <v>0.49289226185293716</v>
      </c>
      <c r="D362" s="41">
        <f t="shared" si="51"/>
        <v>0.98069361229543572</v>
      </c>
      <c r="E362" s="39">
        <f>IF(_xlfn.NORM.INV(R362,C362,'Regressão Grupo 2'!$B$7)&lt;=0,0,IF(_xlfn.NORM.INV(R362,C362,'Regressão Grupo 2'!$B$7)&gt;100%,100%,_xlfn.NORM.INV(R362,C362,'Regressão Grupo 2'!$B$7)))</f>
        <v>0.69018703378540691</v>
      </c>
      <c r="F362" s="39">
        <f>IF(_xlfn.NORM.INV(S362,D362,'Regressão Grupo 2'!$B$7)&lt;=0,0,IF(_xlfn.NORM.INV(S362,D362,'Regressão Grupo 2'!$B$7)&gt;100%,100%,_xlfn.NORM.INV(S362,D362,'Regressão Grupo 2'!$B$7)))</f>
        <v>0.74592668101878201</v>
      </c>
      <c r="G362" s="41">
        <v>2.7547556686356538E-2</v>
      </c>
      <c r="H362" s="41">
        <v>2.377310158595829E-2</v>
      </c>
      <c r="I362" s="40">
        <f t="shared" si="52"/>
        <v>380.09434571799676</v>
      </c>
      <c r="J362" s="40">
        <f t="shared" si="52"/>
        <v>0</v>
      </c>
      <c r="K362" s="36">
        <v>0.26238851390865947</v>
      </c>
      <c r="L362" s="42">
        <f t="shared" si="58"/>
        <v>19991.322604477216</v>
      </c>
      <c r="M362" s="42">
        <f t="shared" si="58"/>
        <v>0</v>
      </c>
      <c r="N362" s="42">
        <f t="shared" si="53"/>
        <v>5245.4934292573689</v>
      </c>
      <c r="O362" s="36">
        <v>5.626747859104217</v>
      </c>
      <c r="P362" s="42">
        <f t="shared" si="54"/>
        <v>17029.148533395739</v>
      </c>
      <c r="Q362" s="42"/>
      <c r="R362">
        <v>0.92318491164891503</v>
      </c>
      <c r="S362">
        <v>4.4770653401287878E-2</v>
      </c>
    </row>
    <row r="363" spans="1:19" x14ac:dyDescent="0.25">
      <c r="A363" s="40">
        <f t="shared" si="55"/>
        <v>64.229676878151835</v>
      </c>
      <c r="B363" s="40">
        <f t="shared" si="55"/>
        <v>32.933286051621081</v>
      </c>
      <c r="C363" s="41">
        <f t="shared" si="50"/>
        <v>0.49289226185293716</v>
      </c>
      <c r="D363" s="41">
        <f t="shared" si="51"/>
        <v>0.98069361229543572</v>
      </c>
      <c r="E363" s="39">
        <f>IF(_xlfn.NORM.INV(R363,C363,'Regressão Grupo 2'!$B$7)&lt;=0,0,IF(_xlfn.NORM.INV(R363,C363,'Regressão Grupo 2'!$B$7)&gt;100%,100%,_xlfn.NORM.INV(R363,C363,'Regressão Grupo 2'!$B$7)))</f>
        <v>0.50522652079826491</v>
      </c>
      <c r="F363" s="39">
        <f>IF(_xlfn.NORM.INV(S363,D363,'Regressão Grupo 2'!$B$7)&lt;=0,0,IF(_xlfn.NORM.INV(S363,D363,'Regressão Grupo 2'!$B$7)&gt;100%,100%,_xlfn.NORM.INV(S363,D363,'Regressão Grupo 2'!$B$7)))</f>
        <v>1</v>
      </c>
      <c r="G363" s="41">
        <v>8.2108336060082356E-3</v>
      </c>
      <c r="H363" s="41">
        <v>1.2479818264481649E-2</v>
      </c>
      <c r="I363" s="40">
        <f t="shared" si="52"/>
        <v>82.9306212043996</v>
      </c>
      <c r="J363" s="40">
        <f t="shared" si="52"/>
        <v>0</v>
      </c>
      <c r="K363" s="36">
        <v>0.19362201856034705</v>
      </c>
      <c r="L363" s="42">
        <f t="shared" si="58"/>
        <v>19991.322604477216</v>
      </c>
      <c r="M363" s="42">
        <f t="shared" si="58"/>
        <v>0</v>
      </c>
      <c r="N363" s="42">
        <f t="shared" si="53"/>
        <v>3870.760236369973</v>
      </c>
      <c r="O363" s="36">
        <v>6.4800556605736332</v>
      </c>
      <c r="P363" s="42">
        <f t="shared" si="54"/>
        <v>918.45172552256236</v>
      </c>
      <c r="Q363" s="42"/>
      <c r="R363">
        <v>0.53553880428479872</v>
      </c>
      <c r="S363">
        <v>0.84569841608935814</v>
      </c>
    </row>
    <row r="364" spans="1:19" x14ac:dyDescent="0.25">
      <c r="A364" s="40">
        <f t="shared" si="55"/>
        <v>64.229676878151835</v>
      </c>
      <c r="B364" s="40">
        <f t="shared" si="55"/>
        <v>32.933286051621081</v>
      </c>
      <c r="C364" s="41">
        <f t="shared" si="50"/>
        <v>0.49289226185293716</v>
      </c>
      <c r="D364" s="41">
        <f t="shared" si="51"/>
        <v>0.98069361229543572</v>
      </c>
      <c r="E364" s="39">
        <f>IF(_xlfn.NORM.INV(R364,C364,'Regressão Grupo 2'!$B$7)&lt;=0,0,IF(_xlfn.NORM.INV(R364,C364,'Regressão Grupo 2'!$B$7)&gt;100%,100%,_xlfn.NORM.INV(R364,C364,'Regressão Grupo 2'!$B$7)))</f>
        <v>0.21077134649463269</v>
      </c>
      <c r="F364" s="39">
        <f>IF(_xlfn.NORM.INV(S364,D364,'Regressão Grupo 2'!$B$7)&lt;=0,0,IF(_xlfn.NORM.INV(S364,D364,'Regressão Grupo 2'!$B$7)&gt;100%,100%,_xlfn.NORM.INV(S364,D364,'Regressão Grupo 2'!$B$7)))</f>
        <v>0.91659488344227957</v>
      </c>
      <c r="G364" s="41">
        <v>2.0046237612641831E-2</v>
      </c>
      <c r="H364" s="41">
        <v>1.181330717447354E-2</v>
      </c>
      <c r="I364" s="40">
        <f t="shared" si="52"/>
        <v>84.466786382476982</v>
      </c>
      <c r="J364" s="40">
        <f t="shared" si="52"/>
        <v>0</v>
      </c>
      <c r="K364" s="36">
        <v>0.26877598032699845</v>
      </c>
      <c r="L364" s="42">
        <f t="shared" si="58"/>
        <v>19991.322604477216</v>
      </c>
      <c r="M364" s="42">
        <f t="shared" si="58"/>
        <v>0</v>
      </c>
      <c r="N364" s="42">
        <f t="shared" si="53"/>
        <v>5373.1873310516476</v>
      </c>
      <c r="O364" s="36">
        <v>8.1802303805001841</v>
      </c>
      <c r="P364" s="42">
        <f t="shared" si="54"/>
        <v>-638.87070687843243</v>
      </c>
      <c r="Q364" s="42"/>
      <c r="R364">
        <v>2.0661030915250098E-2</v>
      </c>
      <c r="S364">
        <v>0.32148197882015445</v>
      </c>
    </row>
    <row r="365" spans="1:19" x14ac:dyDescent="0.25">
      <c r="A365" s="40">
        <f t="shared" si="55"/>
        <v>64.229676878151835</v>
      </c>
      <c r="B365" s="40">
        <f t="shared" si="55"/>
        <v>32.933286051621081</v>
      </c>
      <c r="C365" s="41">
        <f t="shared" si="50"/>
        <v>0.49289226185293716</v>
      </c>
      <c r="D365" s="41">
        <f t="shared" si="51"/>
        <v>0.98069361229543572</v>
      </c>
      <c r="E365" s="39">
        <f>IF(_xlfn.NORM.INV(R365,C365,'Regressão Grupo 2'!$B$7)&lt;=0,0,IF(_xlfn.NORM.INV(R365,C365,'Regressão Grupo 2'!$B$7)&gt;100%,100%,_xlfn.NORM.INV(R365,C365,'Regressão Grupo 2'!$B$7)))</f>
        <v>0.19419967179602898</v>
      </c>
      <c r="F365" s="39">
        <f>IF(_xlfn.NORM.INV(S365,D365,'Regressão Grupo 2'!$B$7)&lt;=0,0,IF(_xlfn.NORM.INV(S365,D365,'Regressão Grupo 2'!$B$7)&gt;100%,100%,_xlfn.NORM.INV(S365,D365,'Regressão Grupo 2'!$B$7)))</f>
        <v>0.95397250262077371</v>
      </c>
      <c r="G365" s="41">
        <v>1.7217894988112086E-2</v>
      </c>
      <c r="H365" s="41">
        <v>2.2641440369891366E-2</v>
      </c>
      <c r="I365" s="40">
        <f t="shared" si="52"/>
        <v>66.845176423868978</v>
      </c>
      <c r="J365" s="40">
        <f t="shared" si="52"/>
        <v>0</v>
      </c>
      <c r="K365" s="36">
        <v>0.29144067571473736</v>
      </c>
      <c r="L365" s="42">
        <f t="shared" si="58"/>
        <v>19991.322604477216</v>
      </c>
      <c r="M365" s="42">
        <f t="shared" si="58"/>
        <v>0</v>
      </c>
      <c r="N365" s="42">
        <f t="shared" si="53"/>
        <v>5826.2845682801435</v>
      </c>
      <c r="O365" s="36">
        <v>6.2052670020732039</v>
      </c>
      <c r="P365" s="42">
        <f t="shared" si="54"/>
        <v>-1947.6326532227818</v>
      </c>
      <c r="Q365" s="42"/>
      <c r="R365">
        <v>1.5381328775902585E-2</v>
      </c>
      <c r="S365">
        <v>0.42338328196050906</v>
      </c>
    </row>
    <row r="366" spans="1:19" x14ac:dyDescent="0.25">
      <c r="A366" s="40">
        <f t="shared" si="55"/>
        <v>64.229676878151835</v>
      </c>
      <c r="B366" s="40">
        <f t="shared" si="55"/>
        <v>32.933286051621081</v>
      </c>
      <c r="C366" s="41">
        <f t="shared" si="50"/>
        <v>0.49289226185293716</v>
      </c>
      <c r="D366" s="41">
        <f t="shared" si="51"/>
        <v>0.98069361229543572</v>
      </c>
      <c r="E366" s="39">
        <f>IF(_xlfn.NORM.INV(R366,C366,'Regressão Grupo 2'!$B$7)&lt;=0,0,IF(_xlfn.NORM.INV(R366,C366,'Regressão Grupo 2'!$B$7)&gt;100%,100%,_xlfn.NORM.INV(R366,C366,'Regressão Grupo 2'!$B$7)))</f>
        <v>0.45561891622886103</v>
      </c>
      <c r="F366" s="39">
        <f>IF(_xlfn.NORM.INV(S366,D366,'Regressão Grupo 2'!$B$7)&lt;=0,0,IF(_xlfn.NORM.INV(S366,D366,'Regressão Grupo 2'!$B$7)&gt;100%,100%,_xlfn.NORM.INV(S366,D366,'Regressão Grupo 2'!$B$7)))</f>
        <v>0.94889890565235691</v>
      </c>
      <c r="G366" s="41">
        <v>2.4816971005443764E-2</v>
      </c>
      <c r="H366" s="41">
        <v>1.8576321166995504E-2</v>
      </c>
      <c r="I366" s="40">
        <f t="shared" si="52"/>
        <v>226.04351265385958</v>
      </c>
      <c r="J366" s="40">
        <f t="shared" si="52"/>
        <v>0</v>
      </c>
      <c r="K366" s="36">
        <v>0.43754846544646947</v>
      </c>
      <c r="L366" s="42">
        <f t="shared" si="58"/>
        <v>19991.322604477216</v>
      </c>
      <c r="M366" s="42">
        <f t="shared" si="58"/>
        <v>0</v>
      </c>
      <c r="N366" s="42">
        <f t="shared" si="53"/>
        <v>8747.1725278343238</v>
      </c>
      <c r="O366" s="36">
        <v>4.467745492080283</v>
      </c>
      <c r="P366" s="42">
        <f t="shared" si="54"/>
        <v>4761.6243656522292</v>
      </c>
      <c r="Q366" s="42"/>
      <c r="R366">
        <v>0.3937498092593158</v>
      </c>
      <c r="S366">
        <v>0.40907010101626634</v>
      </c>
    </row>
    <row r="367" spans="1:19" x14ac:dyDescent="0.25">
      <c r="A367" s="40">
        <f t="shared" si="55"/>
        <v>64.229676878151835</v>
      </c>
      <c r="B367" s="40">
        <f t="shared" si="55"/>
        <v>32.933286051621081</v>
      </c>
      <c r="C367" s="41">
        <f t="shared" si="50"/>
        <v>0.49289226185293716</v>
      </c>
      <c r="D367" s="41">
        <f t="shared" si="51"/>
        <v>0.98069361229543572</v>
      </c>
      <c r="E367" s="39">
        <f>IF(_xlfn.NORM.INV(R367,C367,'Regressão Grupo 2'!$B$7)&lt;=0,0,IF(_xlfn.NORM.INV(R367,C367,'Regressão Grupo 2'!$B$7)&gt;100%,100%,_xlfn.NORM.INV(R367,C367,'Regressão Grupo 2'!$B$7)))</f>
        <v>0.51237217307132643</v>
      </c>
      <c r="F367" s="39">
        <f>IF(_xlfn.NORM.INV(S367,D367,'Regressão Grupo 2'!$B$7)&lt;=0,0,IF(_xlfn.NORM.INV(S367,D367,'Regressão Grupo 2'!$B$7)&gt;100%,100%,_xlfn.NORM.INV(S367,D367,'Regressão Grupo 2'!$B$7)))</f>
        <v>0.81811556107917249</v>
      </c>
      <c r="G367" s="41">
        <v>1.2190497103217969E-2</v>
      </c>
      <c r="H367" s="41">
        <v>1.963885337104565E-2</v>
      </c>
      <c r="I367" s="40">
        <f t="shared" si="52"/>
        <v>124.86723019911385</v>
      </c>
      <c r="J367" s="40">
        <f t="shared" si="52"/>
        <v>0</v>
      </c>
      <c r="K367" s="36">
        <v>0.32031978456087196</v>
      </c>
      <c r="L367" s="42">
        <f t="shared" si="58"/>
        <v>19991.322604477216</v>
      </c>
      <c r="M367" s="42">
        <f t="shared" si="58"/>
        <v>0</v>
      </c>
      <c r="N367" s="42">
        <f t="shared" si="53"/>
        <v>6403.616149753032</v>
      </c>
      <c r="O367" s="36">
        <v>3.5879902825983061</v>
      </c>
      <c r="P367" s="42">
        <f t="shared" si="54"/>
        <v>1168.5432900364667</v>
      </c>
      <c r="Q367" s="42"/>
      <c r="R367">
        <v>0.55601672414319281</v>
      </c>
      <c r="S367">
        <v>0.11984618671224097</v>
      </c>
    </row>
    <row r="368" spans="1:19" x14ac:dyDescent="0.25">
      <c r="A368" s="40">
        <f t="shared" si="55"/>
        <v>64.229676878151835</v>
      </c>
      <c r="B368" s="40">
        <f t="shared" si="55"/>
        <v>32.933286051621081</v>
      </c>
      <c r="C368" s="41">
        <f t="shared" si="50"/>
        <v>0.49289226185293716</v>
      </c>
      <c r="D368" s="41">
        <f t="shared" si="51"/>
        <v>0.98069361229543572</v>
      </c>
      <c r="E368" s="39">
        <f>IF(_xlfn.NORM.INV(R368,C368,'Regressão Grupo 2'!$B$7)&lt;=0,0,IF(_xlfn.NORM.INV(R368,C368,'Regressão Grupo 2'!$B$7)&gt;100%,100%,_xlfn.NORM.INV(R368,C368,'Regressão Grupo 2'!$B$7)))</f>
        <v>0.35762476259911102</v>
      </c>
      <c r="F368" s="39">
        <f>IF(_xlfn.NORM.INV(S368,D368,'Regressão Grupo 2'!$B$7)&lt;=0,0,IF(_xlfn.NORM.INV(S368,D368,'Regressão Grupo 2'!$B$7)&gt;100%,100%,_xlfn.NORM.INV(S368,D368,'Regressão Grupo 2'!$B$7)))</f>
        <v>0.78266422479526021</v>
      </c>
      <c r="G368" s="41">
        <v>1.8479762052329346E-2</v>
      </c>
      <c r="H368" s="41">
        <v>1.3715205384182774E-2</v>
      </c>
      <c r="I368" s="40">
        <f t="shared" si="52"/>
        <v>132.11906298748303</v>
      </c>
      <c r="J368" s="40">
        <f t="shared" si="52"/>
        <v>0</v>
      </c>
      <c r="K368" s="36">
        <v>0.41919893902445993</v>
      </c>
      <c r="L368" s="42">
        <f t="shared" si="58"/>
        <v>19991.322604477216</v>
      </c>
      <c r="M368" s="42">
        <f t="shared" si="58"/>
        <v>0</v>
      </c>
      <c r="N368" s="42">
        <f t="shared" si="53"/>
        <v>8380.3412254925515</v>
      </c>
      <c r="O368" s="36">
        <v>7.9776261892227591</v>
      </c>
      <c r="P368" s="42">
        <f t="shared" si="54"/>
        <v>-948.37299734684257</v>
      </c>
      <c r="Q368" s="42"/>
      <c r="R368">
        <v>0.16397595141453292</v>
      </c>
      <c r="S368">
        <v>7.6052125614185007E-2</v>
      </c>
    </row>
    <row r="369" spans="1:19" x14ac:dyDescent="0.25">
      <c r="A369" s="40">
        <f t="shared" si="55"/>
        <v>64.229676878151835</v>
      </c>
      <c r="B369" s="40">
        <f t="shared" si="55"/>
        <v>32.933286051621081</v>
      </c>
      <c r="C369" s="41">
        <f t="shared" si="50"/>
        <v>0.49289226185293716</v>
      </c>
      <c r="D369" s="41">
        <f t="shared" si="51"/>
        <v>0.98069361229543572</v>
      </c>
      <c r="E369" s="39">
        <f>IF(_xlfn.NORM.INV(R369,C369,'Regressão Grupo 2'!$B$7)&lt;=0,0,IF(_xlfn.NORM.INV(R369,C369,'Regressão Grupo 2'!$B$7)&gt;100%,100%,_xlfn.NORM.INV(R369,C369,'Regressão Grupo 2'!$B$7)))</f>
        <v>0.72313703742352309</v>
      </c>
      <c r="F369" s="39">
        <f>IF(_xlfn.NORM.INV(S369,D369,'Regressão Grupo 2'!$B$7)&lt;=0,0,IF(_xlfn.NORM.INV(S369,D369,'Regressão Grupo 2'!$B$7)&gt;100%,100%,_xlfn.NORM.INV(S369,D369,'Regressão Grupo 2'!$B$7)))</f>
        <v>1</v>
      </c>
      <c r="G369" s="41">
        <v>1.9409251547626408E-2</v>
      </c>
      <c r="H369" s="41">
        <v>8.2356641364718305E-3</v>
      </c>
      <c r="I369" s="40">
        <f t="shared" si="52"/>
        <v>280.58918124804381</v>
      </c>
      <c r="J369" s="40">
        <f t="shared" si="52"/>
        <v>0</v>
      </c>
      <c r="K369" s="36">
        <v>0.233426244470955</v>
      </c>
      <c r="L369" s="42">
        <f t="shared" si="58"/>
        <v>19991.322604477216</v>
      </c>
      <c r="M369" s="42">
        <f t="shared" si="58"/>
        <v>0</v>
      </c>
      <c r="N369" s="42">
        <f t="shared" si="53"/>
        <v>4666.4993575704275</v>
      </c>
      <c r="O369" s="36">
        <v>6.832320533502183</v>
      </c>
      <c r="P369" s="42">
        <f t="shared" si="54"/>
        <v>11438.577864977029</v>
      </c>
      <c r="Q369" s="42"/>
      <c r="R369">
        <v>0.95205542161320844</v>
      </c>
      <c r="S369">
        <v>0.75066377758110292</v>
      </c>
    </row>
    <row r="370" spans="1:19" x14ac:dyDescent="0.25">
      <c r="A370" s="40">
        <f t="shared" si="55"/>
        <v>64.229676878151835</v>
      </c>
      <c r="B370" s="40">
        <f t="shared" si="55"/>
        <v>32.933286051621081</v>
      </c>
      <c r="C370" s="41">
        <f t="shared" si="50"/>
        <v>0.49289226185293716</v>
      </c>
      <c r="D370" s="41">
        <f t="shared" si="51"/>
        <v>0.98069361229543572</v>
      </c>
      <c r="E370" s="39">
        <f>IF(_xlfn.NORM.INV(R370,C370,'Regressão Grupo 2'!$B$7)&lt;=0,0,IF(_xlfn.NORM.INV(R370,C370,'Regressão Grupo 2'!$B$7)&gt;100%,100%,_xlfn.NORM.INV(R370,C370,'Regressão Grupo 2'!$B$7)))</f>
        <v>0.60229124350460406</v>
      </c>
      <c r="F370" s="39">
        <f>IF(_xlfn.NORM.INV(S370,D370,'Regressão Grupo 2'!$B$7)&lt;=0,0,IF(_xlfn.NORM.INV(S370,D370,'Regressão Grupo 2'!$B$7)&gt;100%,100%,_xlfn.NORM.INV(S370,D370,'Regressão Grupo 2'!$B$7)))</f>
        <v>1</v>
      </c>
      <c r="G370" s="41">
        <v>1.8694063673381736E-2</v>
      </c>
      <c r="H370" s="41">
        <v>2.0621458722423366E-2</v>
      </c>
      <c r="I370" s="40">
        <f t="shared" si="52"/>
        <v>225.08771597339103</v>
      </c>
      <c r="J370" s="40">
        <f t="shared" si="52"/>
        <v>0</v>
      </c>
      <c r="K370" s="36">
        <v>0.30357050363337312</v>
      </c>
      <c r="L370" s="42">
        <f t="shared" si="58"/>
        <v>19991.322604477216</v>
      </c>
      <c r="M370" s="42">
        <f t="shared" si="58"/>
        <v>0</v>
      </c>
      <c r="N370" s="42">
        <f t="shared" si="53"/>
        <v>6068.7758713383855</v>
      </c>
      <c r="O370" s="36">
        <v>5.9682025496451061</v>
      </c>
      <c r="P370" s="42">
        <f t="shared" si="54"/>
        <v>7045.1663145075499</v>
      </c>
      <c r="Q370" s="42"/>
      <c r="R370">
        <v>0.78557695242164371</v>
      </c>
      <c r="S370">
        <v>0.75725577562791835</v>
      </c>
    </row>
    <row r="371" spans="1:19" x14ac:dyDescent="0.25">
      <c r="A371" s="40">
        <f t="shared" si="55"/>
        <v>64.229676878151835</v>
      </c>
      <c r="B371" s="40">
        <f t="shared" si="55"/>
        <v>32.933286051621081</v>
      </c>
      <c r="C371" s="41">
        <f t="shared" si="50"/>
        <v>0.49289226185293716</v>
      </c>
      <c r="D371" s="41">
        <f t="shared" si="51"/>
        <v>0.98069361229543572</v>
      </c>
      <c r="E371" s="39">
        <f>IF(_xlfn.NORM.INV(R371,C371,'Regressão Grupo 2'!$B$7)&lt;=0,0,IF(_xlfn.NORM.INV(R371,C371,'Regressão Grupo 2'!$B$7)&gt;100%,100%,_xlfn.NORM.INV(R371,C371,'Regressão Grupo 2'!$B$7)))</f>
        <v>0.15215919395838806</v>
      </c>
      <c r="F371" s="39">
        <f>IF(_xlfn.NORM.INV(S371,D371,'Regressão Grupo 2'!$B$7)&lt;=0,0,IF(_xlfn.NORM.INV(S371,D371,'Regressão Grupo 2'!$B$7)&gt;100%,100%,_xlfn.NORM.INV(S371,D371,'Regressão Grupo 2'!$B$7)))</f>
        <v>0.78819700411382421</v>
      </c>
      <c r="G371" s="41">
        <v>1.0197590540553891E-2</v>
      </c>
      <c r="H371" s="41">
        <v>1.2394772599085896E-2</v>
      </c>
      <c r="I371" s="40">
        <f t="shared" si="52"/>
        <v>31.019678796500486</v>
      </c>
      <c r="J371" s="40">
        <f t="shared" si="52"/>
        <v>0</v>
      </c>
      <c r="K371" s="36">
        <v>0.34039335442709423</v>
      </c>
      <c r="L371" s="42">
        <f t="shared" si="58"/>
        <v>19991.322604477216</v>
      </c>
      <c r="M371" s="42">
        <f t="shared" si="58"/>
        <v>0</v>
      </c>
      <c r="N371" s="42">
        <f t="shared" si="53"/>
        <v>6804.9133607721933</v>
      </c>
      <c r="O371" s="36">
        <v>3.2325406750279266</v>
      </c>
      <c r="P371" s="42">
        <f t="shared" si="54"/>
        <v>-4912.8017882448985</v>
      </c>
      <c r="Q371" s="42"/>
      <c r="R371">
        <v>6.8666646320993683E-3</v>
      </c>
      <c r="S371">
        <v>8.1942197943052464E-2</v>
      </c>
    </row>
    <row r="372" spans="1:19" x14ac:dyDescent="0.25">
      <c r="A372" s="40">
        <f t="shared" si="55"/>
        <v>64.229676878151835</v>
      </c>
      <c r="B372" s="40">
        <f t="shared" si="55"/>
        <v>32.933286051621081</v>
      </c>
      <c r="C372" s="41">
        <f t="shared" si="50"/>
        <v>0.49289226185293716</v>
      </c>
      <c r="D372" s="41">
        <f t="shared" si="51"/>
        <v>0.98069361229543572</v>
      </c>
      <c r="E372" s="39">
        <f>IF(_xlfn.NORM.INV(R372,C372,'Regressão Grupo 2'!$B$7)&lt;=0,0,IF(_xlfn.NORM.INV(R372,C372,'Regressão Grupo 2'!$B$7)&gt;100%,100%,_xlfn.NORM.INV(R372,C372,'Regressão Grupo 2'!$B$7)))</f>
        <v>0.69811805973884344</v>
      </c>
      <c r="F372" s="39">
        <f>IF(_xlfn.NORM.INV(S372,D372,'Regressão Grupo 2'!$B$7)&lt;=0,0,IF(_xlfn.NORM.INV(S372,D372,'Regressão Grupo 2'!$B$7)&gt;100%,100%,_xlfn.NORM.INV(S372,D372,'Regressão Grupo 2'!$B$7)))</f>
        <v>0.70024761094261412</v>
      </c>
      <c r="G372" s="41">
        <v>1.8377777940612253E-2</v>
      </c>
      <c r="H372" s="41">
        <v>1.7936219664812604E-2</v>
      </c>
      <c r="I372" s="40">
        <f t="shared" si="52"/>
        <v>256.48584380597862</v>
      </c>
      <c r="J372" s="40">
        <f t="shared" si="52"/>
        <v>0</v>
      </c>
      <c r="K372" s="36">
        <v>0.40877288373713555</v>
      </c>
      <c r="L372" s="42">
        <f t="shared" si="58"/>
        <v>19991.322604477216</v>
      </c>
      <c r="M372" s="42">
        <f t="shared" si="58"/>
        <v>0</v>
      </c>
      <c r="N372" s="42">
        <f t="shared" si="53"/>
        <v>8171.910590751535</v>
      </c>
      <c r="O372" s="36">
        <v>9.4275640923442054</v>
      </c>
      <c r="P372" s="42">
        <f t="shared" si="54"/>
        <v>5884.055549466746</v>
      </c>
      <c r="Q372" s="42"/>
      <c r="R372">
        <v>0.9311197241126743</v>
      </c>
      <c r="S372">
        <v>2.1271401104770042E-2</v>
      </c>
    </row>
    <row r="373" spans="1:19" x14ac:dyDescent="0.25">
      <c r="A373" s="40">
        <f t="shared" si="55"/>
        <v>64.229676878151835</v>
      </c>
      <c r="B373" s="40">
        <f t="shared" si="55"/>
        <v>32.933286051621081</v>
      </c>
      <c r="C373" s="41">
        <f t="shared" si="50"/>
        <v>0.49289226185293716</v>
      </c>
      <c r="D373" s="41">
        <f t="shared" si="51"/>
        <v>0.98069361229543572</v>
      </c>
      <c r="E373" s="39">
        <f>IF(_xlfn.NORM.INV(R373,C373,'Regressão Grupo 2'!$B$7)&lt;=0,0,IF(_xlfn.NORM.INV(R373,C373,'Regressão Grupo 2'!$B$7)&gt;100%,100%,_xlfn.NORM.INV(R373,C373,'Regressão Grupo 2'!$B$7)))</f>
        <v>0.5884780804245503</v>
      </c>
      <c r="F373" s="39">
        <f>IF(_xlfn.NORM.INV(S373,D373,'Regressão Grupo 2'!$B$7)&lt;=0,0,IF(_xlfn.NORM.INV(S373,D373,'Regressão Grupo 2'!$B$7)&gt;100%,100%,_xlfn.NORM.INV(S373,D373,'Regressão Grupo 2'!$B$7)))</f>
        <v>0.90308158989013743</v>
      </c>
      <c r="G373" s="41">
        <v>1.3125336506480728E-2</v>
      </c>
      <c r="H373" s="41">
        <v>1.3066534888485332E-2</v>
      </c>
      <c r="I373" s="40">
        <f t="shared" si="52"/>
        <v>154.41243267792831</v>
      </c>
      <c r="J373" s="40">
        <f t="shared" si="52"/>
        <v>0</v>
      </c>
      <c r="K373" s="36">
        <v>0.2837817978107271</v>
      </c>
      <c r="L373" s="42">
        <f t="shared" si="58"/>
        <v>19991.322604477216</v>
      </c>
      <c r="M373" s="42">
        <f t="shared" si="58"/>
        <v>0</v>
      </c>
      <c r="N373" s="42">
        <f t="shared" si="53"/>
        <v>5673.1734693127719</v>
      </c>
      <c r="O373" s="36">
        <v>3.23541377819339</v>
      </c>
      <c r="P373" s="42">
        <f t="shared" si="54"/>
        <v>3745.099075349407</v>
      </c>
      <c r="Q373" s="42"/>
      <c r="R373">
        <v>0.75530259102145447</v>
      </c>
      <c r="S373">
        <v>0.28730124820703756</v>
      </c>
    </row>
    <row r="374" spans="1:19" x14ac:dyDescent="0.25">
      <c r="A374" s="40">
        <f t="shared" si="55"/>
        <v>64.229676878151835</v>
      </c>
      <c r="B374" s="40">
        <f t="shared" si="55"/>
        <v>32.933286051621081</v>
      </c>
      <c r="C374" s="41">
        <f t="shared" si="50"/>
        <v>0.49289226185293716</v>
      </c>
      <c r="D374" s="41">
        <f t="shared" si="51"/>
        <v>0.98069361229543572</v>
      </c>
      <c r="E374" s="39">
        <f>IF(_xlfn.NORM.INV(R374,C374,'Regressão Grupo 2'!$B$7)&lt;=0,0,IF(_xlfn.NORM.INV(R374,C374,'Regressão Grupo 2'!$B$7)&gt;100%,100%,_xlfn.NORM.INV(R374,C374,'Regressão Grupo 2'!$B$7)))</f>
        <v>0.5846986483833454</v>
      </c>
      <c r="F374" s="39">
        <f>IF(_xlfn.NORM.INV(S374,D374,'Regressão Grupo 2'!$B$7)&lt;=0,0,IF(_xlfn.NORM.INV(S374,D374,'Regressão Grupo 2'!$B$7)&gt;100%,100%,_xlfn.NORM.INV(S374,D374,'Regressão Grupo 2'!$B$7)))</f>
        <v>1</v>
      </c>
      <c r="G374" s="41">
        <v>1.4101102615423487E-2</v>
      </c>
      <c r="H374" s="41">
        <v>4.2316324847176618E-3</v>
      </c>
      <c r="I374" s="40">
        <f t="shared" si="52"/>
        <v>164.82636857854743</v>
      </c>
      <c r="J374" s="40">
        <f t="shared" si="52"/>
        <v>0</v>
      </c>
      <c r="K374" s="36">
        <v>0.31879411116057665</v>
      </c>
      <c r="L374" s="42">
        <f t="shared" si="58"/>
        <v>19991.322604477216</v>
      </c>
      <c r="M374" s="42">
        <f t="shared" si="58"/>
        <v>0</v>
      </c>
      <c r="N374" s="42">
        <f t="shared" si="53"/>
        <v>6373.1159206186585</v>
      </c>
      <c r="O374" s="36">
        <v>7.2840056651859744</v>
      </c>
      <c r="P374" s="42">
        <f t="shared" si="54"/>
        <v>3013.0322716824303</v>
      </c>
      <c r="Q374" s="42"/>
      <c r="R374">
        <v>0.74663533433027129</v>
      </c>
      <c r="S374">
        <v>0.93066194647053435</v>
      </c>
    </row>
    <row r="375" spans="1:19" x14ac:dyDescent="0.25">
      <c r="A375" s="40">
        <f t="shared" si="55"/>
        <v>64.229676878151835</v>
      </c>
      <c r="B375" s="40">
        <f t="shared" si="55"/>
        <v>32.933286051621081</v>
      </c>
      <c r="C375" s="41">
        <f t="shared" si="50"/>
        <v>0.49289226185293716</v>
      </c>
      <c r="D375" s="41">
        <f t="shared" si="51"/>
        <v>0.98069361229543572</v>
      </c>
      <c r="E375" s="39">
        <f>IF(_xlfn.NORM.INV(R375,C375,'Regressão Grupo 2'!$B$7)&lt;=0,0,IF(_xlfn.NORM.INV(R375,C375,'Regressão Grupo 2'!$B$7)&gt;100%,100%,_xlfn.NORM.INV(R375,C375,'Regressão Grupo 2'!$B$7)))</f>
        <v>0.16295711420727188</v>
      </c>
      <c r="F375" s="39">
        <f>IF(_xlfn.NORM.INV(S375,D375,'Regressão Grupo 2'!$B$7)&lt;=0,0,IF(_xlfn.NORM.INV(S375,D375,'Regressão Grupo 2'!$B$7)&gt;100%,100%,_xlfn.NORM.INV(S375,D375,'Regressão Grupo 2'!$B$7)))</f>
        <v>0.9588711417948671</v>
      </c>
      <c r="G375" s="41">
        <v>2.2383732777947907E-2</v>
      </c>
      <c r="H375" s="41">
        <v>9.7180119813812631E-3</v>
      </c>
      <c r="I375" s="40">
        <f t="shared" si="52"/>
        <v>72.920118405514827</v>
      </c>
      <c r="J375" s="40">
        <f t="shared" si="52"/>
        <v>0</v>
      </c>
      <c r="K375" s="36">
        <v>0.32179646132072759</v>
      </c>
      <c r="L375" s="42">
        <f t="shared" ref="L375:M390" si="59">L374</f>
        <v>19991.322604477216</v>
      </c>
      <c r="M375" s="42">
        <f t="shared" si="59"/>
        <v>0</v>
      </c>
      <c r="N375" s="42">
        <f t="shared" si="53"/>
        <v>6433.1368712418398</v>
      </c>
      <c r="O375" s="36">
        <v>8.1766062948375602</v>
      </c>
      <c r="P375" s="42">
        <f t="shared" si="54"/>
        <v>-2345.7403273138825</v>
      </c>
      <c r="Q375" s="42"/>
      <c r="R375">
        <v>8.5146641438032175E-3</v>
      </c>
      <c r="S375">
        <v>0.43729972228156377</v>
      </c>
    </row>
    <row r="376" spans="1:19" x14ac:dyDescent="0.25">
      <c r="A376" s="40">
        <f t="shared" si="55"/>
        <v>64.229676878151835</v>
      </c>
      <c r="B376" s="40">
        <f t="shared" si="55"/>
        <v>32.933286051621081</v>
      </c>
      <c r="C376" s="41">
        <f t="shared" si="50"/>
        <v>0.49289226185293716</v>
      </c>
      <c r="D376" s="41">
        <f t="shared" si="51"/>
        <v>0.98069361229543572</v>
      </c>
      <c r="E376" s="39">
        <f>IF(_xlfn.NORM.INV(R376,C376,'Regressão Grupo 2'!$B$7)&lt;=0,0,IF(_xlfn.NORM.INV(R376,C376,'Regressão Grupo 2'!$B$7)&gt;100%,100%,_xlfn.NORM.INV(R376,C376,'Regressão Grupo 2'!$B$7)))</f>
        <v>0.15259799747415553</v>
      </c>
      <c r="F376" s="39">
        <f>IF(_xlfn.NORM.INV(S376,D376,'Regressão Grupo 2'!$B$7)&lt;=0,0,IF(_xlfn.NORM.INV(S376,D376,'Regressão Grupo 2'!$B$7)&gt;100%,100%,_xlfn.NORM.INV(S376,D376,'Regressão Grupo 2'!$B$7)))</f>
        <v>1</v>
      </c>
      <c r="G376" s="41">
        <v>2.2820573033191884E-2</v>
      </c>
      <c r="H376" s="41">
        <v>2.0944142309436725E-2</v>
      </c>
      <c r="I376" s="40">
        <f t="shared" si="52"/>
        <v>69.617256987203064</v>
      </c>
      <c r="J376" s="40">
        <f t="shared" si="52"/>
        <v>0</v>
      </c>
      <c r="K376" s="36">
        <v>0.17111081767352809</v>
      </c>
      <c r="L376" s="42">
        <f t="shared" si="59"/>
        <v>19991.322604477216</v>
      </c>
      <c r="M376" s="42">
        <f t="shared" si="59"/>
        <v>0</v>
      </c>
      <c r="N376" s="42">
        <f t="shared" si="53"/>
        <v>3420.7315572273819</v>
      </c>
      <c r="O376" s="36">
        <v>4.9887007474969263</v>
      </c>
      <c r="P376" s="42">
        <f t="shared" si="54"/>
        <v>703.46270223318334</v>
      </c>
      <c r="Q376" s="42"/>
      <c r="R376">
        <v>6.9277016510513626E-3</v>
      </c>
      <c r="S376">
        <v>0.70030823694570754</v>
      </c>
    </row>
    <row r="377" spans="1:19" x14ac:dyDescent="0.25">
      <c r="A377" s="40">
        <f t="shared" si="55"/>
        <v>64.229676878151835</v>
      </c>
      <c r="B377" s="40">
        <f t="shared" si="55"/>
        <v>32.933286051621081</v>
      </c>
      <c r="C377" s="41">
        <f t="shared" si="50"/>
        <v>0.49289226185293716</v>
      </c>
      <c r="D377" s="41">
        <f t="shared" si="51"/>
        <v>0.98069361229543572</v>
      </c>
      <c r="E377" s="39">
        <f>IF(_xlfn.NORM.INV(R377,C377,'Regressão Grupo 2'!$B$7)&lt;=0,0,IF(_xlfn.NORM.INV(R377,C377,'Regressão Grupo 2'!$B$7)&gt;100%,100%,_xlfn.NORM.INV(R377,C377,'Regressão Grupo 2'!$B$7)))</f>
        <v>0.11043533678846351</v>
      </c>
      <c r="F377" s="39">
        <f>IF(_xlfn.NORM.INV(S377,D377,'Regressão Grupo 2'!$B$7)&lt;=0,0,IF(_xlfn.NORM.INV(S377,D377,'Regressão Grupo 2'!$B$7)&gt;100%,100%,_xlfn.NORM.INV(S377,D377,'Regressão Grupo 2'!$B$7)))</f>
        <v>1</v>
      </c>
      <c r="G377" s="41">
        <v>1.1474397957660053E-2</v>
      </c>
      <c r="H377" s="41">
        <v>1.9939133293194182E-2</v>
      </c>
      <c r="I377" s="40">
        <f t="shared" si="52"/>
        <v>25.332584244574594</v>
      </c>
      <c r="J377" s="40">
        <f t="shared" si="52"/>
        <v>0</v>
      </c>
      <c r="K377" s="36">
        <v>0.35001147631996049</v>
      </c>
      <c r="L377" s="42">
        <f t="shared" si="59"/>
        <v>19991.322604477216</v>
      </c>
      <c r="M377" s="42">
        <f t="shared" si="59"/>
        <v>0</v>
      </c>
      <c r="N377" s="42">
        <f t="shared" si="53"/>
        <v>6997.1923383816684</v>
      </c>
      <c r="O377" s="36">
        <v>5.9690434559223409</v>
      </c>
      <c r="P377" s="42">
        <f t="shared" si="54"/>
        <v>-5521.2999340707611</v>
      </c>
      <c r="Q377" s="42"/>
      <c r="R377">
        <v>2.8382213812677389E-3</v>
      </c>
      <c r="S377">
        <v>0.67915890987884153</v>
      </c>
    </row>
    <row r="378" spans="1:19" x14ac:dyDescent="0.25">
      <c r="A378" s="40">
        <f t="shared" si="55"/>
        <v>64.229676878151835</v>
      </c>
      <c r="B378" s="40">
        <f t="shared" si="55"/>
        <v>32.933286051621081</v>
      </c>
      <c r="C378" s="41">
        <f t="shared" si="50"/>
        <v>0.49289226185293716</v>
      </c>
      <c r="D378" s="41">
        <f t="shared" si="51"/>
        <v>0.98069361229543572</v>
      </c>
      <c r="E378" s="39">
        <f>IF(_xlfn.NORM.INV(R378,C378,'Regressão Grupo 2'!$B$7)&lt;=0,0,IF(_xlfn.NORM.INV(R378,C378,'Regressão Grupo 2'!$B$7)&gt;100%,100%,_xlfn.NORM.INV(R378,C378,'Regressão Grupo 2'!$B$7)))</f>
        <v>0.37786188159264639</v>
      </c>
      <c r="F378" s="39">
        <f>IF(_xlfn.NORM.INV(S378,D378,'Regressão Grupo 2'!$B$7)&lt;=0,0,IF(_xlfn.NORM.INV(S378,D378,'Regressão Grupo 2'!$B$7)&gt;100%,100%,_xlfn.NORM.INV(S378,D378,'Regressão Grupo 2'!$B$7)))</f>
        <v>1</v>
      </c>
      <c r="G378" s="41">
        <v>1.0637025199003174E-3</v>
      </c>
      <c r="H378" s="41">
        <v>8.8612150673131312E-3</v>
      </c>
      <c r="I378" s="40">
        <f t="shared" si="52"/>
        <v>8.0351649840346386</v>
      </c>
      <c r="J378" s="40">
        <f t="shared" si="52"/>
        <v>0</v>
      </c>
      <c r="K378" s="36">
        <v>0.2579461164701678</v>
      </c>
      <c r="L378" s="42">
        <f t="shared" si="59"/>
        <v>19991.322604477216</v>
      </c>
      <c r="M378" s="42">
        <f t="shared" si="59"/>
        <v>0</v>
      </c>
      <c r="N378" s="42">
        <f t="shared" si="53"/>
        <v>5156.6840289271786</v>
      </c>
      <c r="O378" s="36">
        <v>7.8141911448904295</v>
      </c>
      <c r="P378" s="42">
        <f t="shared" si="54"/>
        <v>-4703.3762934059705</v>
      </c>
      <c r="Q378" s="42"/>
      <c r="R378">
        <v>0.20273445844904936</v>
      </c>
      <c r="S378">
        <v>0.56181524094363233</v>
      </c>
    </row>
    <row r="379" spans="1:19" x14ac:dyDescent="0.25">
      <c r="A379" s="40">
        <f t="shared" si="55"/>
        <v>64.229676878151835</v>
      </c>
      <c r="B379" s="40">
        <f t="shared" si="55"/>
        <v>32.933286051621081</v>
      </c>
      <c r="C379" s="41">
        <f t="shared" si="50"/>
        <v>0.49289226185293716</v>
      </c>
      <c r="D379" s="41">
        <f t="shared" si="51"/>
        <v>0.98069361229543572</v>
      </c>
      <c r="E379" s="39">
        <f>IF(_xlfn.NORM.INV(R379,C379,'Regressão Grupo 2'!$B$7)&lt;=0,0,IF(_xlfn.NORM.INV(R379,C379,'Regressão Grupo 2'!$B$7)&gt;100%,100%,_xlfn.NORM.INV(R379,C379,'Regressão Grupo 2'!$B$7)))</f>
        <v>0.46951537009358763</v>
      </c>
      <c r="F379" s="39">
        <f>IF(_xlfn.NORM.INV(S379,D379,'Regressão Grupo 2'!$B$7)&lt;=0,0,IF(_xlfn.NORM.INV(S379,D379,'Regressão Grupo 2'!$B$7)&gt;100%,100%,_xlfn.NORM.INV(S379,D379,'Regressão Grupo 2'!$B$7)))</f>
        <v>0.89235293971497032</v>
      </c>
      <c r="G379" s="41">
        <v>1.5674059714629603E-2</v>
      </c>
      <c r="H379" s="41">
        <v>1.1893696873155814E-2</v>
      </c>
      <c r="I379" s="40">
        <f t="shared" si="52"/>
        <v>147.12038016285931</v>
      </c>
      <c r="J379" s="40">
        <f t="shared" si="52"/>
        <v>0</v>
      </c>
      <c r="K379" s="36">
        <v>0.21920428467032821</v>
      </c>
      <c r="L379" s="42">
        <f t="shared" si="59"/>
        <v>19991.322604477216</v>
      </c>
      <c r="M379" s="42">
        <f t="shared" si="59"/>
        <v>0</v>
      </c>
      <c r="N379" s="42">
        <f t="shared" si="53"/>
        <v>4382.183571128191</v>
      </c>
      <c r="O379" s="36">
        <v>4.1394643491095708</v>
      </c>
      <c r="P379" s="42">
        <f t="shared" si="54"/>
        <v>4458.3113402115196</v>
      </c>
      <c r="Q379" s="42"/>
      <c r="R379">
        <v>0.4328745384075442</v>
      </c>
      <c r="S379">
        <v>0.26145207068086795</v>
      </c>
    </row>
    <row r="380" spans="1:19" x14ac:dyDescent="0.25">
      <c r="A380" s="40">
        <f t="shared" si="55"/>
        <v>64.229676878151835</v>
      </c>
      <c r="B380" s="40">
        <f t="shared" si="55"/>
        <v>32.933286051621081</v>
      </c>
      <c r="C380" s="41">
        <f t="shared" si="50"/>
        <v>0.49289226185293716</v>
      </c>
      <c r="D380" s="41">
        <f t="shared" si="51"/>
        <v>0.98069361229543572</v>
      </c>
      <c r="E380" s="39">
        <f>IF(_xlfn.NORM.INV(R380,C380,'Regressão Grupo 2'!$B$7)&lt;=0,0,IF(_xlfn.NORM.INV(R380,C380,'Regressão Grupo 2'!$B$7)&gt;100%,100%,_xlfn.NORM.INV(R380,C380,'Regressão Grupo 2'!$B$7)))</f>
        <v>0.3079389731846448</v>
      </c>
      <c r="F380" s="39">
        <f>IF(_xlfn.NORM.INV(S380,D380,'Regressão Grupo 2'!$B$7)&lt;=0,0,IF(_xlfn.NORM.INV(S380,D380,'Regressão Grupo 2'!$B$7)&gt;100%,100%,_xlfn.NORM.INV(S380,D380,'Regressão Grupo 2'!$B$7)))</f>
        <v>0.88229390136645913</v>
      </c>
      <c r="G380" s="41">
        <v>2.4344588473594095E-2</v>
      </c>
      <c r="H380" s="41">
        <v>2.643227839414369E-2</v>
      </c>
      <c r="I380" s="40">
        <f t="shared" si="52"/>
        <v>149.86790016710415</v>
      </c>
      <c r="J380" s="40">
        <f t="shared" si="52"/>
        <v>0</v>
      </c>
      <c r="K380" s="36">
        <v>0.38153807798765921</v>
      </c>
      <c r="L380" s="42">
        <f t="shared" si="59"/>
        <v>19991.322604477216</v>
      </c>
      <c r="M380" s="42">
        <f t="shared" si="59"/>
        <v>0</v>
      </c>
      <c r="N380" s="42">
        <f t="shared" si="53"/>
        <v>7627.4508029434828</v>
      </c>
      <c r="O380" s="36">
        <v>4.1438557545904242</v>
      </c>
      <c r="P380" s="42">
        <f t="shared" si="54"/>
        <v>1377.4850386608969</v>
      </c>
      <c r="Q380" s="42"/>
      <c r="R380">
        <v>9.0517899105807667E-2</v>
      </c>
      <c r="S380">
        <v>0.23834955900753807</v>
      </c>
    </row>
    <row r="381" spans="1:19" x14ac:dyDescent="0.25">
      <c r="A381" s="40">
        <f t="shared" si="55"/>
        <v>64.229676878151835</v>
      </c>
      <c r="B381" s="40">
        <f t="shared" si="55"/>
        <v>32.933286051621081</v>
      </c>
      <c r="C381" s="41">
        <f t="shared" si="50"/>
        <v>0.49289226185293716</v>
      </c>
      <c r="D381" s="41">
        <f t="shared" si="51"/>
        <v>0.98069361229543572</v>
      </c>
      <c r="E381" s="39">
        <f>IF(_xlfn.NORM.INV(R381,C381,'Regressão Grupo 2'!$B$7)&lt;=0,0,IF(_xlfn.NORM.INV(R381,C381,'Regressão Grupo 2'!$B$7)&gt;100%,100%,_xlfn.NORM.INV(R381,C381,'Regressão Grupo 2'!$B$7)))</f>
        <v>0.54651966006331543</v>
      </c>
      <c r="F381" s="39">
        <f>IF(_xlfn.NORM.INV(S381,D381,'Regressão Grupo 2'!$B$7)&lt;=0,0,IF(_xlfn.NORM.INV(S381,D381,'Regressão Grupo 2'!$B$7)&gt;100%,100%,_xlfn.NORM.INV(S381,D381,'Regressão Grupo 2'!$B$7)))</f>
        <v>0.767286140914201</v>
      </c>
      <c r="G381" s="41">
        <v>1.6313231396995139E-2</v>
      </c>
      <c r="H381" s="41">
        <v>9.9675307051370118E-3</v>
      </c>
      <c r="I381" s="40">
        <f t="shared" si="52"/>
        <v>178.23267021805898</v>
      </c>
      <c r="J381" s="40">
        <f t="shared" si="52"/>
        <v>0</v>
      </c>
      <c r="K381" s="36">
        <v>0.4099628970013926</v>
      </c>
      <c r="L381" s="42">
        <f t="shared" si="59"/>
        <v>19991.322604477216</v>
      </c>
      <c r="M381" s="42">
        <f t="shared" si="59"/>
        <v>0</v>
      </c>
      <c r="N381" s="42">
        <f t="shared" si="53"/>
        <v>8195.7005298209042</v>
      </c>
      <c r="O381" s="36">
        <v>4.9581370736332531</v>
      </c>
      <c r="P381" s="42">
        <f t="shared" si="54"/>
        <v>2368.4242774744125</v>
      </c>
      <c r="Q381" s="42"/>
      <c r="R381">
        <v>0.65092928861354415</v>
      </c>
      <c r="S381">
        <v>6.1372722556230351E-2</v>
      </c>
    </row>
    <row r="382" spans="1:19" x14ac:dyDescent="0.25">
      <c r="A382" s="40">
        <f t="shared" si="55"/>
        <v>64.229676878151835</v>
      </c>
      <c r="B382" s="40">
        <f t="shared" si="55"/>
        <v>32.933286051621081</v>
      </c>
      <c r="C382" s="41">
        <f t="shared" si="50"/>
        <v>0.49289226185293716</v>
      </c>
      <c r="D382" s="41">
        <f t="shared" si="51"/>
        <v>0.98069361229543572</v>
      </c>
      <c r="E382" s="39">
        <f>IF(_xlfn.NORM.INV(R382,C382,'Regressão Grupo 2'!$B$7)&lt;=0,0,IF(_xlfn.NORM.INV(R382,C382,'Regressão Grupo 2'!$B$7)&gt;100%,100%,_xlfn.NORM.INV(R382,C382,'Regressão Grupo 2'!$B$7)))</f>
        <v>0.58044304091207155</v>
      </c>
      <c r="F382" s="39">
        <f>IF(_xlfn.NORM.INV(S382,D382,'Regressão Grupo 2'!$B$7)&lt;=0,0,IF(_xlfn.NORM.INV(S382,D382,'Regressão Grupo 2'!$B$7)&gt;100%,100%,_xlfn.NORM.INV(S382,D382,'Regressão Grupo 2'!$B$7)))</f>
        <v>1</v>
      </c>
      <c r="G382" s="41">
        <v>2.52751654638773E-2</v>
      </c>
      <c r="H382" s="41">
        <v>1.6464496215193383E-2</v>
      </c>
      <c r="I382" s="40">
        <f t="shared" si="52"/>
        <v>293.28857374685845</v>
      </c>
      <c r="J382" s="40">
        <f t="shared" si="52"/>
        <v>0</v>
      </c>
      <c r="K382" s="36">
        <v>0.45053265093668299</v>
      </c>
      <c r="L382" s="42">
        <f t="shared" si="59"/>
        <v>19991.322604477216</v>
      </c>
      <c r="M382" s="42">
        <f t="shared" si="59"/>
        <v>0</v>
      </c>
      <c r="N382" s="42">
        <f t="shared" si="53"/>
        <v>9006.7435687255547</v>
      </c>
      <c r="O382" s="36">
        <v>8.5095237221123483</v>
      </c>
      <c r="P382" s="42">
        <f t="shared" si="54"/>
        <v>7335.3406793657796</v>
      </c>
      <c r="Q382" s="42"/>
      <c r="R382">
        <v>0.73668630024109627</v>
      </c>
      <c r="S382">
        <v>0.93771172215948972</v>
      </c>
    </row>
    <row r="383" spans="1:19" x14ac:dyDescent="0.25">
      <c r="A383" s="40">
        <f t="shared" si="55"/>
        <v>64.229676878151835</v>
      </c>
      <c r="B383" s="40">
        <f t="shared" si="55"/>
        <v>32.933286051621081</v>
      </c>
      <c r="C383" s="41">
        <f t="shared" si="50"/>
        <v>0.49289226185293716</v>
      </c>
      <c r="D383" s="41">
        <f t="shared" si="51"/>
        <v>0.98069361229543572</v>
      </c>
      <c r="E383" s="39">
        <f>IF(_xlfn.NORM.INV(R383,C383,'Regressão Grupo 2'!$B$7)&lt;=0,0,IF(_xlfn.NORM.INV(R383,C383,'Regressão Grupo 2'!$B$7)&gt;100%,100%,_xlfn.NORM.INV(R383,C383,'Regressão Grupo 2'!$B$7)))</f>
        <v>0.42575095941114272</v>
      </c>
      <c r="F383" s="39">
        <f>IF(_xlfn.NORM.INV(S383,D383,'Regressão Grupo 2'!$B$7)&lt;=0,0,IF(_xlfn.NORM.INV(S383,D383,'Regressão Grupo 2'!$B$7)&gt;100%,100%,_xlfn.NORM.INV(S383,D383,'Regressão Grupo 2'!$B$7)))</f>
        <v>1</v>
      </c>
      <c r="G383" s="41">
        <v>1.9814575255098908E-2</v>
      </c>
      <c r="H383" s="41">
        <v>1.9833821193187197E-2</v>
      </c>
      <c r="I383" s="40">
        <f t="shared" si="52"/>
        <v>168.64828534920602</v>
      </c>
      <c r="J383" s="40">
        <f t="shared" si="52"/>
        <v>0</v>
      </c>
      <c r="K383" s="36">
        <v>0.16869730230196012</v>
      </c>
      <c r="L383" s="42">
        <f t="shared" si="59"/>
        <v>19991.322604477216</v>
      </c>
      <c r="M383" s="42">
        <f t="shared" si="59"/>
        <v>0</v>
      </c>
      <c r="N383" s="42">
        <f t="shared" si="53"/>
        <v>3372.4821928235015</v>
      </c>
      <c r="O383" s="36">
        <v>5.6213100701241627</v>
      </c>
      <c r="P383" s="42">
        <f t="shared" si="54"/>
        <v>6511.7183764676847</v>
      </c>
      <c r="Q383" s="42"/>
      <c r="R383">
        <v>0.31363872188482317</v>
      </c>
      <c r="S383">
        <v>0.76973784600360118</v>
      </c>
    </row>
    <row r="384" spans="1:19" x14ac:dyDescent="0.25">
      <c r="A384" s="40">
        <f t="shared" si="55"/>
        <v>64.229676878151835</v>
      </c>
      <c r="B384" s="40">
        <f t="shared" si="55"/>
        <v>32.933286051621081</v>
      </c>
      <c r="C384" s="41">
        <f t="shared" si="50"/>
        <v>0.49289226185293716</v>
      </c>
      <c r="D384" s="41">
        <f t="shared" si="51"/>
        <v>0.98069361229543572</v>
      </c>
      <c r="E384" s="39">
        <f>IF(_xlfn.NORM.INV(R384,C384,'Regressão Grupo 2'!$B$7)&lt;=0,0,IF(_xlfn.NORM.INV(R384,C384,'Regressão Grupo 2'!$B$7)&gt;100%,100%,_xlfn.NORM.INV(R384,C384,'Regressão Grupo 2'!$B$7)))</f>
        <v>0.52321162510409636</v>
      </c>
      <c r="F384" s="39">
        <f>IF(_xlfn.NORM.INV(S384,D384,'Regressão Grupo 2'!$B$7)&lt;=0,0,IF(_xlfn.NORM.INV(S384,D384,'Regressão Grupo 2'!$B$7)&gt;100%,100%,_xlfn.NORM.INV(S384,D384,'Regressão Grupo 2'!$B$7)))</f>
        <v>0.89539328070146174</v>
      </c>
      <c r="G384" s="41">
        <v>9.3383932674521927E-3</v>
      </c>
      <c r="H384" s="41">
        <v>2.0577726344101765E-2</v>
      </c>
      <c r="I384" s="40">
        <f t="shared" si="52"/>
        <v>97.676720974494771</v>
      </c>
      <c r="J384" s="40">
        <f t="shared" si="52"/>
        <v>0</v>
      </c>
      <c r="K384" s="36">
        <v>0.31506712662172576</v>
      </c>
      <c r="L384" s="42">
        <f t="shared" si="59"/>
        <v>19991.322604477216</v>
      </c>
      <c r="M384" s="42">
        <f t="shared" si="59"/>
        <v>0</v>
      </c>
      <c r="N384" s="42">
        <f t="shared" si="53"/>
        <v>6298.6085703605913</v>
      </c>
      <c r="O384" s="36">
        <v>8.3165445821508897</v>
      </c>
      <c r="P384" s="42">
        <f t="shared" si="54"/>
        <v>-837.19714827409462</v>
      </c>
      <c r="Q384" s="42"/>
      <c r="R384">
        <v>0.58677938169499799</v>
      </c>
      <c r="S384">
        <v>0.26865443891720331</v>
      </c>
    </row>
    <row r="385" spans="1:19" x14ac:dyDescent="0.25">
      <c r="A385" s="40">
        <f t="shared" si="55"/>
        <v>64.229676878151835</v>
      </c>
      <c r="B385" s="40">
        <f t="shared" si="55"/>
        <v>32.933286051621081</v>
      </c>
      <c r="C385" s="41">
        <f t="shared" si="50"/>
        <v>0.49289226185293716</v>
      </c>
      <c r="D385" s="41">
        <f t="shared" si="51"/>
        <v>0.98069361229543572</v>
      </c>
      <c r="E385" s="39">
        <f>IF(_xlfn.NORM.INV(R385,C385,'Regressão Grupo 2'!$B$7)&lt;=0,0,IF(_xlfn.NORM.INV(R385,C385,'Regressão Grupo 2'!$B$7)&gt;100%,100%,_xlfn.NORM.INV(R385,C385,'Regressão Grupo 2'!$B$7)))</f>
        <v>0.40264918473795297</v>
      </c>
      <c r="F385" s="39">
        <f>IF(_xlfn.NORM.INV(S385,D385,'Regressão Grupo 2'!$B$7)&lt;=0,0,IF(_xlfn.NORM.INV(S385,D385,'Regressão Grupo 2'!$B$7)&gt;100%,100%,_xlfn.NORM.INV(S385,D385,'Regressão Grupo 2'!$B$7)))</f>
        <v>0.94227818294489085</v>
      </c>
      <c r="G385" s="41">
        <v>1.8628332211206383E-2</v>
      </c>
      <c r="H385" s="41">
        <v>1.7968675696177893E-2</v>
      </c>
      <c r="I385" s="40">
        <f t="shared" si="52"/>
        <v>149.94856916624548</v>
      </c>
      <c r="J385" s="40">
        <f t="shared" si="52"/>
        <v>0</v>
      </c>
      <c r="K385" s="36">
        <v>0.25708990567301093</v>
      </c>
      <c r="L385" s="42">
        <f t="shared" si="59"/>
        <v>19991.322604477216</v>
      </c>
      <c r="M385" s="42">
        <f t="shared" si="59"/>
        <v>0</v>
      </c>
      <c r="N385" s="42">
        <f t="shared" si="53"/>
        <v>5139.5672426637784</v>
      </c>
      <c r="O385" s="36">
        <v>3.1590216897756713</v>
      </c>
      <c r="P385" s="42">
        <f t="shared" si="54"/>
        <v>4017.8901208783727</v>
      </c>
      <c r="Q385" s="42"/>
      <c r="R385">
        <v>0.25699636829737238</v>
      </c>
      <c r="S385">
        <v>0.39057588427381207</v>
      </c>
    </row>
    <row r="386" spans="1:19" x14ac:dyDescent="0.25">
      <c r="A386" s="40">
        <f t="shared" si="55"/>
        <v>64.229676878151835</v>
      </c>
      <c r="B386" s="40">
        <f t="shared" si="55"/>
        <v>32.933286051621081</v>
      </c>
      <c r="C386" s="41">
        <f t="shared" si="50"/>
        <v>0.49289226185293716</v>
      </c>
      <c r="D386" s="41">
        <f t="shared" si="51"/>
        <v>0.98069361229543572</v>
      </c>
      <c r="E386" s="39">
        <f>IF(_xlfn.NORM.INV(R386,C386,'Regressão Grupo 2'!$B$7)&lt;=0,0,IF(_xlfn.NORM.INV(R386,C386,'Regressão Grupo 2'!$B$7)&gt;100%,100%,_xlfn.NORM.INV(R386,C386,'Regressão Grupo 2'!$B$7)))</f>
        <v>0.52503462853609861</v>
      </c>
      <c r="F386" s="39">
        <f>IF(_xlfn.NORM.INV(S386,D386,'Regressão Grupo 2'!$B$7)&lt;=0,0,IF(_xlfn.NORM.INV(S386,D386,'Regressão Grupo 2'!$B$7)&gt;100%,100%,_xlfn.NORM.INV(S386,D386,'Regressão Grupo 2'!$B$7)))</f>
        <v>1</v>
      </c>
      <c r="G386" s="41">
        <v>2.506660356712314E-2</v>
      </c>
      <c r="H386" s="41">
        <v>1.5580491570147709E-2</v>
      </c>
      <c r="I386" s="40">
        <f t="shared" si="52"/>
        <v>263.10249608075037</v>
      </c>
      <c r="J386" s="40">
        <f t="shared" si="52"/>
        <v>0</v>
      </c>
      <c r="K386" s="36">
        <v>0.2801654595620755</v>
      </c>
      <c r="L386" s="42">
        <f t="shared" si="59"/>
        <v>19991.322604477216</v>
      </c>
      <c r="M386" s="42">
        <f t="shared" si="59"/>
        <v>0</v>
      </c>
      <c r="N386" s="42">
        <f t="shared" si="53"/>
        <v>5600.8780847370672</v>
      </c>
      <c r="O386" s="36">
        <v>4.3548250599898344</v>
      </c>
      <c r="P386" s="42">
        <f t="shared" si="54"/>
        <v>10152.34488108641</v>
      </c>
      <c r="Q386" s="42"/>
      <c r="R386">
        <v>0.5919064912869656</v>
      </c>
      <c r="S386">
        <v>0.98794518875698112</v>
      </c>
    </row>
    <row r="387" spans="1:19" x14ac:dyDescent="0.25">
      <c r="A387" s="40">
        <f t="shared" si="55"/>
        <v>64.229676878151835</v>
      </c>
      <c r="B387" s="40">
        <f t="shared" si="55"/>
        <v>32.933286051621081</v>
      </c>
      <c r="C387" s="41">
        <f t="shared" si="50"/>
        <v>0.49289226185293716</v>
      </c>
      <c r="D387" s="41">
        <f t="shared" si="51"/>
        <v>0.98069361229543572</v>
      </c>
      <c r="E387" s="39">
        <f>IF(_xlfn.NORM.INV(R387,C387,'Regressão Grupo 2'!$B$7)&lt;=0,0,IF(_xlfn.NORM.INV(R387,C387,'Regressão Grupo 2'!$B$7)&gt;100%,100%,_xlfn.NORM.INV(R387,C387,'Regressão Grupo 2'!$B$7)))</f>
        <v>0.65633921919977156</v>
      </c>
      <c r="F387" s="39">
        <f>IF(_xlfn.NORM.INV(S387,D387,'Regressão Grupo 2'!$B$7)&lt;=0,0,IF(_xlfn.NORM.INV(S387,D387,'Regressão Grupo 2'!$B$7)&gt;100%,100%,_xlfn.NORM.INV(S387,D387,'Regressão Grupo 2'!$B$7)))</f>
        <v>0.87000245582282842</v>
      </c>
      <c r="G387" s="41">
        <v>1.8720580863254913E-2</v>
      </c>
      <c r="H387" s="41">
        <v>8.6433911991744619E-3</v>
      </c>
      <c r="I387" s="40">
        <f t="shared" si="52"/>
        <v>245.63440893005955</v>
      </c>
      <c r="J387" s="40">
        <f t="shared" si="52"/>
        <v>0</v>
      </c>
      <c r="K387" s="36">
        <v>0.20321050624744325</v>
      </c>
      <c r="L387" s="42">
        <f t="shared" si="59"/>
        <v>19991.322604477216</v>
      </c>
      <c r="M387" s="42">
        <f t="shared" si="59"/>
        <v>0</v>
      </c>
      <c r="N387" s="42">
        <f t="shared" si="53"/>
        <v>4062.4467870117705</v>
      </c>
      <c r="O387" s="36">
        <v>6.5275105736539221</v>
      </c>
      <c r="P387" s="42">
        <f t="shared" si="54"/>
        <v>10111.190727177574</v>
      </c>
      <c r="Q387" s="42"/>
      <c r="R387">
        <v>0.88140507217627495</v>
      </c>
      <c r="S387">
        <v>0.21170690023499253</v>
      </c>
    </row>
    <row r="388" spans="1:19" x14ac:dyDescent="0.25">
      <c r="A388" s="40">
        <f t="shared" si="55"/>
        <v>64.229676878151835</v>
      </c>
      <c r="B388" s="40">
        <f t="shared" si="55"/>
        <v>32.933286051621081</v>
      </c>
      <c r="C388" s="41">
        <f t="shared" si="50"/>
        <v>0.49289226185293716</v>
      </c>
      <c r="D388" s="41">
        <f t="shared" si="51"/>
        <v>0.98069361229543572</v>
      </c>
      <c r="E388" s="39">
        <f>IF(_xlfn.NORM.INV(R388,C388,'Regressão Grupo 2'!$B$7)&lt;=0,0,IF(_xlfn.NORM.INV(R388,C388,'Regressão Grupo 2'!$B$7)&gt;100%,100%,_xlfn.NORM.INV(R388,C388,'Regressão Grupo 2'!$B$7)))</f>
        <v>0.68957423206070212</v>
      </c>
      <c r="F388" s="39">
        <f>IF(_xlfn.NORM.INV(S388,D388,'Regressão Grupo 2'!$B$7)&lt;=0,0,IF(_xlfn.NORM.INV(S388,D388,'Regressão Grupo 2'!$B$7)&gt;100%,100%,_xlfn.NORM.INV(S388,D388,'Regressão Grupo 2'!$B$7)))</f>
        <v>1</v>
      </c>
      <c r="G388" s="41">
        <v>2.9023880105183277E-2</v>
      </c>
      <c r="H388" s="41">
        <v>2.7104048610138914E-2</v>
      </c>
      <c r="I388" s="40">
        <f t="shared" si="52"/>
        <v>400.10872626522467</v>
      </c>
      <c r="J388" s="40">
        <f t="shared" si="52"/>
        <v>0</v>
      </c>
      <c r="K388" s="36">
        <v>0.36110316511207918</v>
      </c>
      <c r="L388" s="42">
        <f t="shared" si="59"/>
        <v>19991.322604477216</v>
      </c>
      <c r="M388" s="42">
        <f t="shared" si="59"/>
        <v>0</v>
      </c>
      <c r="N388" s="42">
        <f t="shared" si="53"/>
        <v>7218.9298672533769</v>
      </c>
      <c r="O388" s="36">
        <v>4.6963866374022114</v>
      </c>
      <c r="P388" s="42">
        <f t="shared" si="54"/>
        <v>16600.859061350886</v>
      </c>
      <c r="Q388" s="42"/>
      <c r="R388">
        <v>0.92254402294991911</v>
      </c>
      <c r="S388">
        <v>0.98312326425977359</v>
      </c>
    </row>
    <row r="389" spans="1:19" x14ac:dyDescent="0.25">
      <c r="A389" s="40">
        <f t="shared" si="55"/>
        <v>64.229676878151835</v>
      </c>
      <c r="B389" s="40">
        <f t="shared" si="55"/>
        <v>32.933286051621081</v>
      </c>
      <c r="C389" s="41">
        <f t="shared" si="50"/>
        <v>0.49289226185293716</v>
      </c>
      <c r="D389" s="41">
        <f t="shared" si="51"/>
        <v>0.98069361229543572</v>
      </c>
      <c r="E389" s="39">
        <f>IF(_xlfn.NORM.INV(R389,C389,'Regressão Grupo 2'!$B$7)&lt;=0,0,IF(_xlfn.NORM.INV(R389,C389,'Regressão Grupo 2'!$B$7)&gt;100%,100%,_xlfn.NORM.INV(R389,C389,'Regressão Grupo 2'!$B$7)))</f>
        <v>0.62339257675483295</v>
      </c>
      <c r="F389" s="39">
        <f>IF(_xlfn.NORM.INV(S389,D389,'Regressão Grupo 2'!$B$7)&lt;=0,0,IF(_xlfn.NORM.INV(S389,D389,'Regressão Grupo 2'!$B$7)&gt;100%,100%,_xlfn.NORM.INV(S389,D389,'Regressão Grupo 2'!$B$7)))</f>
        <v>1</v>
      </c>
      <c r="G389" s="41">
        <v>1.3783162613579848E-2</v>
      </c>
      <c r="H389" s="41">
        <v>1.6395702786473218E-2</v>
      </c>
      <c r="I389" s="40">
        <f t="shared" si="52"/>
        <v>171.77186618019815</v>
      </c>
      <c r="J389" s="40">
        <f t="shared" si="52"/>
        <v>0</v>
      </c>
      <c r="K389" s="36">
        <v>0.38459109317502338</v>
      </c>
      <c r="L389" s="42">
        <f t="shared" si="59"/>
        <v>19991.322604477216</v>
      </c>
      <c r="M389" s="42">
        <f t="shared" si="59"/>
        <v>0</v>
      </c>
      <c r="N389" s="42">
        <f t="shared" si="53"/>
        <v>7688.4846144704479</v>
      </c>
      <c r="O389" s="36">
        <v>4.3557614955894879</v>
      </c>
      <c r="P389" s="42">
        <f t="shared" si="54"/>
        <v>2596.1695663075589</v>
      </c>
      <c r="Q389" s="42"/>
      <c r="R389">
        <v>0.82735679189428391</v>
      </c>
      <c r="S389">
        <v>0.90182195501571705</v>
      </c>
    </row>
    <row r="390" spans="1:19" x14ac:dyDescent="0.25">
      <c r="A390" s="40">
        <f t="shared" si="55"/>
        <v>64.229676878151835</v>
      </c>
      <c r="B390" s="40">
        <f t="shared" si="55"/>
        <v>32.933286051621081</v>
      </c>
      <c r="C390" s="41">
        <f t="shared" ref="C390:C453" si="60">-0.007*A390 + 0.9425</f>
        <v>0.49289226185293716</v>
      </c>
      <c r="D390" s="41">
        <f t="shared" ref="D390:D453" si="61">-0.0059*B390+1.175</f>
        <v>0.98069361229543572</v>
      </c>
      <c r="E390" s="39">
        <f>IF(_xlfn.NORM.INV(R390,C390,'Regressão Grupo 2'!$B$7)&lt;=0,0,IF(_xlfn.NORM.INV(R390,C390,'Regressão Grupo 2'!$B$7)&gt;100%,100%,_xlfn.NORM.INV(R390,C390,'Regressão Grupo 2'!$B$7)))</f>
        <v>0.42103398834794875</v>
      </c>
      <c r="F390" s="39">
        <f>IF(_xlfn.NORM.INV(S390,D390,'Regressão Grupo 2'!$B$7)&lt;=0,0,IF(_xlfn.NORM.INV(S390,D390,'Regressão Grupo 2'!$B$7)&gt;100%,100%,_xlfn.NORM.INV(S390,D390,'Regressão Grupo 2'!$B$7)))</f>
        <v>0.94500837970595752</v>
      </c>
      <c r="G390" s="41">
        <v>1.5368093660727495E-2</v>
      </c>
      <c r="H390" s="41">
        <v>9.8510061495673366E-3</v>
      </c>
      <c r="I390" s="40">
        <f t="shared" ref="I390:J453" si="62">IF(E390*G390*L390&gt;0,E390*G390*L390,0)</f>
        <v>129.35364834668167</v>
      </c>
      <c r="J390" s="40">
        <f t="shared" si="62"/>
        <v>0</v>
      </c>
      <c r="K390" s="36">
        <v>0.29970305571761202</v>
      </c>
      <c r="L390" s="42">
        <f t="shared" si="59"/>
        <v>19991.322604477216</v>
      </c>
      <c r="M390" s="42">
        <f t="shared" si="59"/>
        <v>0</v>
      </c>
      <c r="N390" s="42">
        <f t="shared" ref="N390:N453" si="63">(L390+M390)*K390</f>
        <v>5991.4604723983921</v>
      </c>
      <c r="O390" s="36">
        <v>9.2454011920846479</v>
      </c>
      <c r="P390" s="42">
        <f t="shared" ref="P390:P453" si="64">SUMPRODUCT(A390:B390,I390:J390)-SUM(I390:J390)*O390-N390</f>
        <v>1120.956189294142</v>
      </c>
      <c r="Q390" s="42"/>
      <c r="R390">
        <v>0.30164494766075622</v>
      </c>
      <c r="S390">
        <v>0.39817499313333538</v>
      </c>
    </row>
    <row r="391" spans="1:19" x14ac:dyDescent="0.25">
      <c r="A391" s="40">
        <f t="shared" ref="A391:B454" si="65">A390</f>
        <v>64.229676878151835</v>
      </c>
      <c r="B391" s="40">
        <f t="shared" si="65"/>
        <v>32.933286051621081</v>
      </c>
      <c r="C391" s="41">
        <f t="shared" si="60"/>
        <v>0.49289226185293716</v>
      </c>
      <c r="D391" s="41">
        <f t="shared" si="61"/>
        <v>0.98069361229543572</v>
      </c>
      <c r="E391" s="39">
        <f>IF(_xlfn.NORM.INV(R391,C391,'Regressão Grupo 2'!$B$7)&lt;=0,0,IF(_xlfn.NORM.INV(R391,C391,'Regressão Grupo 2'!$B$7)&gt;100%,100%,_xlfn.NORM.INV(R391,C391,'Regressão Grupo 2'!$B$7)))</f>
        <v>0.38789342066794597</v>
      </c>
      <c r="F391" s="39">
        <f>IF(_xlfn.NORM.INV(S391,D391,'Regressão Grupo 2'!$B$7)&lt;=0,0,IF(_xlfn.NORM.INV(S391,D391,'Regressão Grupo 2'!$B$7)&gt;100%,100%,_xlfn.NORM.INV(S391,D391,'Regressão Grupo 2'!$B$7)))</f>
        <v>1</v>
      </c>
      <c r="G391" s="41">
        <v>2.4896504906959535E-2</v>
      </c>
      <c r="H391" s="41">
        <v>2.4424117274524267E-2</v>
      </c>
      <c r="I391" s="40">
        <f t="shared" si="62"/>
        <v>193.06000975955422</v>
      </c>
      <c r="J391" s="40">
        <f t="shared" si="62"/>
        <v>0</v>
      </c>
      <c r="K391" s="36">
        <v>0.15861584056235603</v>
      </c>
      <c r="L391" s="42">
        <f t="shared" ref="L391:M406" si="66">L390</f>
        <v>19991.322604477216</v>
      </c>
      <c r="M391" s="42">
        <f t="shared" si="66"/>
        <v>0</v>
      </c>
      <c r="N391" s="42">
        <f t="shared" si="63"/>
        <v>3170.9404388623821</v>
      </c>
      <c r="O391" s="36">
        <v>6.1860706544624255</v>
      </c>
      <c r="P391" s="42">
        <f t="shared" si="64"/>
        <v>8034.9587451628176</v>
      </c>
      <c r="Q391" s="42"/>
      <c r="R391">
        <v>0.2238227484969634</v>
      </c>
      <c r="S391">
        <v>0.89092684713278603</v>
      </c>
    </row>
    <row r="392" spans="1:19" x14ac:dyDescent="0.25">
      <c r="A392" s="40">
        <f t="shared" si="65"/>
        <v>64.229676878151835</v>
      </c>
      <c r="B392" s="40">
        <f t="shared" si="65"/>
        <v>32.933286051621081</v>
      </c>
      <c r="C392" s="41">
        <f t="shared" si="60"/>
        <v>0.49289226185293716</v>
      </c>
      <c r="D392" s="41">
        <f t="shared" si="61"/>
        <v>0.98069361229543572</v>
      </c>
      <c r="E392" s="39">
        <f>IF(_xlfn.NORM.INV(R392,C392,'Regressão Grupo 2'!$B$7)&lt;=0,0,IF(_xlfn.NORM.INV(R392,C392,'Regressão Grupo 2'!$B$7)&gt;100%,100%,_xlfn.NORM.INV(R392,C392,'Regressão Grupo 2'!$B$7)))</f>
        <v>0.48882448682797208</v>
      </c>
      <c r="F392" s="39">
        <f>IF(_xlfn.NORM.INV(S392,D392,'Regressão Grupo 2'!$B$7)&lt;=0,0,IF(_xlfn.NORM.INV(S392,D392,'Regressão Grupo 2'!$B$7)&gt;100%,100%,_xlfn.NORM.INV(S392,D392,'Regressão Grupo 2'!$B$7)))</f>
        <v>0.91137790114765049</v>
      </c>
      <c r="G392" s="41">
        <v>2.0247023266590357E-2</v>
      </c>
      <c r="H392" s="41">
        <v>2.3708530199634061E-2</v>
      </c>
      <c r="I392" s="40">
        <f t="shared" si="62"/>
        <v>197.85893288905874</v>
      </c>
      <c r="J392" s="40">
        <f t="shared" si="62"/>
        <v>0</v>
      </c>
      <c r="K392" s="36">
        <v>0.20357335046572927</v>
      </c>
      <c r="L392" s="42">
        <f t="shared" si="66"/>
        <v>19991.322604477216</v>
      </c>
      <c r="M392" s="42">
        <f t="shared" si="66"/>
        <v>0</v>
      </c>
      <c r="N392" s="42">
        <f t="shared" si="63"/>
        <v>4069.7005228346961</v>
      </c>
      <c r="O392" s="36">
        <v>6.6520204895593551</v>
      </c>
      <c r="P392" s="42">
        <f t="shared" si="64"/>
        <v>7322.5531284651088</v>
      </c>
      <c r="Q392" s="42"/>
      <c r="R392">
        <v>0.48826563310647908</v>
      </c>
      <c r="S392">
        <v>0.30808435316019167</v>
      </c>
    </row>
    <row r="393" spans="1:19" x14ac:dyDescent="0.25">
      <c r="A393" s="40">
        <f t="shared" si="65"/>
        <v>64.229676878151835</v>
      </c>
      <c r="B393" s="40">
        <f t="shared" si="65"/>
        <v>32.933286051621081</v>
      </c>
      <c r="C393" s="41">
        <f t="shared" si="60"/>
        <v>0.49289226185293716</v>
      </c>
      <c r="D393" s="41">
        <f t="shared" si="61"/>
        <v>0.98069361229543572</v>
      </c>
      <c r="E393" s="39">
        <f>IF(_xlfn.NORM.INV(R393,C393,'Regressão Grupo 2'!$B$7)&lt;=0,0,IF(_xlfn.NORM.INV(R393,C393,'Regressão Grupo 2'!$B$7)&gt;100%,100%,_xlfn.NORM.INV(R393,C393,'Regressão Grupo 2'!$B$7)))</f>
        <v>0.4162811947933448</v>
      </c>
      <c r="F393" s="39">
        <f>IF(_xlfn.NORM.INV(S393,D393,'Regressão Grupo 2'!$B$7)&lt;=0,0,IF(_xlfn.NORM.INV(S393,D393,'Regressão Grupo 2'!$B$7)&gt;100%,100%,_xlfn.NORM.INV(S393,D393,'Regressão Grupo 2'!$B$7)))</f>
        <v>1</v>
      </c>
      <c r="G393" s="41">
        <v>2.4265627827242266E-2</v>
      </c>
      <c r="H393" s="41">
        <v>1.9775857199357007E-2</v>
      </c>
      <c r="I393" s="40">
        <f t="shared" si="62"/>
        <v>201.93883769832573</v>
      </c>
      <c r="J393" s="40">
        <f t="shared" si="62"/>
        <v>0</v>
      </c>
      <c r="K393" s="36">
        <v>0.36520631943978332</v>
      </c>
      <c r="L393" s="42">
        <f t="shared" si="66"/>
        <v>19991.322604477216</v>
      </c>
      <c r="M393" s="42">
        <f t="shared" si="66"/>
        <v>0</v>
      </c>
      <c r="N393" s="42">
        <f t="shared" si="63"/>
        <v>7300.9573491144674</v>
      </c>
      <c r="O393" s="36">
        <v>6.1904503837294911</v>
      </c>
      <c r="P393" s="42">
        <f t="shared" si="64"/>
        <v>4419.4165900790522</v>
      </c>
      <c r="Q393" s="42"/>
      <c r="R393">
        <v>0.28977324747459332</v>
      </c>
      <c r="S393">
        <v>0.69054231391338849</v>
      </c>
    </row>
    <row r="394" spans="1:19" x14ac:dyDescent="0.25">
      <c r="A394" s="40">
        <f t="shared" si="65"/>
        <v>64.229676878151835</v>
      </c>
      <c r="B394" s="40">
        <f t="shared" si="65"/>
        <v>32.933286051621081</v>
      </c>
      <c r="C394" s="41">
        <f t="shared" si="60"/>
        <v>0.49289226185293716</v>
      </c>
      <c r="D394" s="41">
        <f t="shared" si="61"/>
        <v>0.98069361229543572</v>
      </c>
      <c r="E394" s="39">
        <f>IF(_xlfn.NORM.INV(R394,C394,'Regressão Grupo 2'!$B$7)&lt;=0,0,IF(_xlfn.NORM.INV(R394,C394,'Regressão Grupo 2'!$B$7)&gt;100%,100%,_xlfn.NORM.INV(R394,C394,'Regressão Grupo 2'!$B$7)))</f>
        <v>0.71098005640279116</v>
      </c>
      <c r="F394" s="39">
        <f>IF(_xlfn.NORM.INV(S394,D394,'Regressão Grupo 2'!$B$7)&lt;=0,0,IF(_xlfn.NORM.INV(S394,D394,'Regressão Grupo 2'!$B$7)&gt;100%,100%,_xlfn.NORM.INV(S394,D394,'Regressão Grupo 2'!$B$7)))</f>
        <v>1</v>
      </c>
      <c r="G394" s="41">
        <v>2.5261051234431897E-2</v>
      </c>
      <c r="H394" s="41">
        <v>2.6824074836416349E-2</v>
      </c>
      <c r="I394" s="40">
        <f t="shared" si="62"/>
        <v>359.04622570616351</v>
      </c>
      <c r="J394" s="40">
        <f t="shared" si="62"/>
        <v>0</v>
      </c>
      <c r="K394" s="36">
        <v>0.36763884999917451</v>
      </c>
      <c r="L394" s="42">
        <f t="shared" si="66"/>
        <v>19991.322604477216</v>
      </c>
      <c r="M394" s="42">
        <f t="shared" si="66"/>
        <v>0</v>
      </c>
      <c r="N394" s="42">
        <f t="shared" si="63"/>
        <v>7349.5868522725059</v>
      </c>
      <c r="O394" s="36">
        <v>7.98655026080821</v>
      </c>
      <c r="P394" s="42">
        <f t="shared" si="64"/>
        <v>12844.295481598587</v>
      </c>
      <c r="Q394" s="42"/>
      <c r="R394">
        <v>0.94262520218512524</v>
      </c>
      <c r="S394">
        <v>0.84829248939481794</v>
      </c>
    </row>
    <row r="395" spans="1:19" x14ac:dyDescent="0.25">
      <c r="A395" s="40">
        <f t="shared" si="65"/>
        <v>64.229676878151835</v>
      </c>
      <c r="B395" s="40">
        <f t="shared" si="65"/>
        <v>32.933286051621081</v>
      </c>
      <c r="C395" s="41">
        <f t="shared" si="60"/>
        <v>0.49289226185293716</v>
      </c>
      <c r="D395" s="41">
        <f t="shared" si="61"/>
        <v>0.98069361229543572</v>
      </c>
      <c r="E395" s="39">
        <f>IF(_xlfn.NORM.INV(R395,C395,'Regressão Grupo 2'!$B$7)&lt;=0,0,IF(_xlfn.NORM.INV(R395,C395,'Regressão Grupo 2'!$B$7)&gt;100%,100%,_xlfn.NORM.INV(R395,C395,'Regressão Grupo 2'!$B$7)))</f>
        <v>0.51754705309642768</v>
      </c>
      <c r="F395" s="39">
        <f>IF(_xlfn.NORM.INV(S395,D395,'Regressão Grupo 2'!$B$7)&lt;=0,0,IF(_xlfn.NORM.INV(S395,D395,'Regressão Grupo 2'!$B$7)&gt;100%,100%,_xlfn.NORM.INV(S395,D395,'Regressão Grupo 2'!$B$7)))</f>
        <v>0.9117853972299772</v>
      </c>
      <c r="G395" s="41">
        <v>1.4665497877771818E-2</v>
      </c>
      <c r="H395" s="41">
        <v>1.1395262037296515E-2</v>
      </c>
      <c r="I395" s="40">
        <f t="shared" si="62"/>
        <v>151.7358420052457</v>
      </c>
      <c r="J395" s="40">
        <f t="shared" si="62"/>
        <v>0</v>
      </c>
      <c r="K395" s="36">
        <v>0.29873459570346317</v>
      </c>
      <c r="L395" s="42">
        <f t="shared" si="66"/>
        <v>19991.322604477216</v>
      </c>
      <c r="M395" s="42">
        <f t="shared" si="66"/>
        <v>0</v>
      </c>
      <c r="N395" s="42">
        <f t="shared" si="63"/>
        <v>5972.0996758260053</v>
      </c>
      <c r="O395" s="36">
        <v>8.7216802892182947</v>
      </c>
      <c r="P395" s="42">
        <f t="shared" si="64"/>
        <v>2450.4529246201319</v>
      </c>
      <c r="Q395" s="42"/>
      <c r="R395">
        <v>0.57075716422009948</v>
      </c>
      <c r="S395">
        <v>0.30912198248237555</v>
      </c>
    </row>
    <row r="396" spans="1:19" x14ac:dyDescent="0.25">
      <c r="A396" s="40">
        <f t="shared" si="65"/>
        <v>64.229676878151835</v>
      </c>
      <c r="B396" s="40">
        <f t="shared" si="65"/>
        <v>32.933286051621081</v>
      </c>
      <c r="C396" s="41">
        <f t="shared" si="60"/>
        <v>0.49289226185293716</v>
      </c>
      <c r="D396" s="41">
        <f t="shared" si="61"/>
        <v>0.98069361229543572</v>
      </c>
      <c r="E396" s="39">
        <f>IF(_xlfn.NORM.INV(R396,C396,'Regressão Grupo 2'!$B$7)&lt;=0,0,IF(_xlfn.NORM.INV(R396,C396,'Regressão Grupo 2'!$B$7)&gt;100%,100%,_xlfn.NORM.INV(R396,C396,'Regressão Grupo 2'!$B$7)))</f>
        <v>0.3785928807287372</v>
      </c>
      <c r="F396" s="39">
        <f>IF(_xlfn.NORM.INV(S396,D396,'Regressão Grupo 2'!$B$7)&lt;=0,0,IF(_xlfn.NORM.INV(S396,D396,'Regressão Grupo 2'!$B$7)&gt;100%,100%,_xlfn.NORM.INV(S396,D396,'Regressão Grupo 2'!$B$7)))</f>
        <v>0.86692926232680501</v>
      </c>
      <c r="G396" s="41">
        <v>2.4665244662095125E-2</v>
      </c>
      <c r="H396" s="41">
        <v>1.4056225966538593E-2</v>
      </c>
      <c r="I396" s="40">
        <f t="shared" si="62"/>
        <v>186.68069034412156</v>
      </c>
      <c r="J396" s="40">
        <f t="shared" si="62"/>
        <v>0</v>
      </c>
      <c r="K396" s="36">
        <v>0.33626158252940785</v>
      </c>
      <c r="L396" s="42">
        <f t="shared" si="66"/>
        <v>19991.322604477216</v>
      </c>
      <c r="M396" s="42">
        <f t="shared" si="66"/>
        <v>0</v>
      </c>
      <c r="N396" s="42">
        <f t="shared" si="63"/>
        <v>6722.3137758374323</v>
      </c>
      <c r="O396" s="36">
        <v>4.4713928466171016</v>
      </c>
      <c r="P396" s="42">
        <f t="shared" si="64"/>
        <v>4433.4039409495672</v>
      </c>
      <c r="Q396" s="42"/>
      <c r="R396">
        <v>0.20422986541337321</v>
      </c>
      <c r="S396">
        <v>0.2053285317545091</v>
      </c>
    </row>
    <row r="397" spans="1:19" x14ac:dyDescent="0.25">
      <c r="A397" s="40">
        <f t="shared" si="65"/>
        <v>64.229676878151835</v>
      </c>
      <c r="B397" s="40">
        <f t="shared" si="65"/>
        <v>32.933286051621081</v>
      </c>
      <c r="C397" s="41">
        <f t="shared" si="60"/>
        <v>0.49289226185293716</v>
      </c>
      <c r="D397" s="41">
        <f t="shared" si="61"/>
        <v>0.98069361229543572</v>
      </c>
      <c r="E397" s="39">
        <f>IF(_xlfn.NORM.INV(R397,C397,'Regressão Grupo 2'!$B$7)&lt;=0,0,IF(_xlfn.NORM.INV(R397,C397,'Regressão Grupo 2'!$B$7)&gt;100%,100%,_xlfn.NORM.INV(R397,C397,'Regressão Grupo 2'!$B$7)))</f>
        <v>0.52479559056608849</v>
      </c>
      <c r="F397" s="39">
        <f>IF(_xlfn.NORM.INV(S397,D397,'Regressão Grupo 2'!$B$7)&lt;=0,0,IF(_xlfn.NORM.INV(S397,D397,'Regressão Grupo 2'!$B$7)&gt;100%,100%,_xlfn.NORM.INV(S397,D397,'Regressão Grupo 2'!$B$7)))</f>
        <v>0.95269964031034615</v>
      </c>
      <c r="G397" s="41">
        <v>5.9816316536663158E-3</v>
      </c>
      <c r="H397" s="41">
        <v>2.0197216081943969E-2</v>
      </c>
      <c r="I397" s="40">
        <f t="shared" si="62"/>
        <v>62.755438818102299</v>
      </c>
      <c r="J397" s="40">
        <f t="shared" si="62"/>
        <v>0</v>
      </c>
      <c r="K397" s="36">
        <v>0.29390983141743204</v>
      </c>
      <c r="L397" s="42">
        <f t="shared" si="66"/>
        <v>19991.322604477216</v>
      </c>
      <c r="M397" s="42">
        <f t="shared" si="66"/>
        <v>0</v>
      </c>
      <c r="N397" s="42">
        <f t="shared" si="63"/>
        <v>5875.6462564933972</v>
      </c>
      <c r="O397" s="36">
        <v>7.0666457611844287</v>
      </c>
      <c r="P397" s="42">
        <f t="shared" si="64"/>
        <v>-2288.3551545752712</v>
      </c>
      <c r="Q397" s="42"/>
      <c r="R397">
        <v>0.59123508407849357</v>
      </c>
      <c r="S397">
        <v>0.41978209784234138</v>
      </c>
    </row>
    <row r="398" spans="1:19" x14ac:dyDescent="0.25">
      <c r="A398" s="40">
        <f t="shared" si="65"/>
        <v>64.229676878151835</v>
      </c>
      <c r="B398" s="40">
        <f t="shared" si="65"/>
        <v>32.933286051621081</v>
      </c>
      <c r="C398" s="41">
        <f t="shared" si="60"/>
        <v>0.49289226185293716</v>
      </c>
      <c r="D398" s="41">
        <f t="shared" si="61"/>
        <v>0.98069361229543572</v>
      </c>
      <c r="E398" s="39">
        <f>IF(_xlfn.NORM.INV(R398,C398,'Regressão Grupo 2'!$B$7)&lt;=0,0,IF(_xlfn.NORM.INV(R398,C398,'Regressão Grupo 2'!$B$7)&gt;100%,100%,_xlfn.NORM.INV(R398,C398,'Regressão Grupo 2'!$B$7)))</f>
        <v>0.18932868551354959</v>
      </c>
      <c r="F398" s="39">
        <f>IF(_xlfn.NORM.INV(S398,D398,'Regressão Grupo 2'!$B$7)&lt;=0,0,IF(_xlfn.NORM.INV(S398,D398,'Regressão Grupo 2'!$B$7)&gt;100%,100%,_xlfn.NORM.INV(S398,D398,'Regressão Grupo 2'!$B$7)))</f>
        <v>0.9368825841392785</v>
      </c>
      <c r="G398" s="41">
        <v>2.3772484214554634E-2</v>
      </c>
      <c r="H398" s="41">
        <v>5.7754487494961499E-3</v>
      </c>
      <c r="I398" s="40">
        <f t="shared" si="62"/>
        <v>89.977208418460606</v>
      </c>
      <c r="J398" s="40">
        <f t="shared" si="62"/>
        <v>0</v>
      </c>
      <c r="K398" s="36">
        <v>0.32793582576481295</v>
      </c>
      <c r="L398" s="42">
        <f t="shared" si="66"/>
        <v>19991.322604477216</v>
      </c>
      <c r="M398" s="42">
        <f t="shared" si="66"/>
        <v>0</v>
      </c>
      <c r="N398" s="42">
        <f t="shared" si="63"/>
        <v>6555.870886430007</v>
      </c>
      <c r="O398" s="36">
        <v>5.3324853617617824</v>
      </c>
      <c r="P398" s="42">
        <f t="shared" si="64"/>
        <v>-1256.4660100977899</v>
      </c>
      <c r="Q398" s="42"/>
      <c r="R398">
        <v>1.4069032868434707E-2</v>
      </c>
      <c r="S398">
        <v>0.37568285164952542</v>
      </c>
    </row>
    <row r="399" spans="1:19" x14ac:dyDescent="0.25">
      <c r="A399" s="40">
        <f t="shared" si="65"/>
        <v>64.229676878151835</v>
      </c>
      <c r="B399" s="40">
        <f t="shared" si="65"/>
        <v>32.933286051621081</v>
      </c>
      <c r="C399" s="41">
        <f t="shared" si="60"/>
        <v>0.49289226185293716</v>
      </c>
      <c r="D399" s="41">
        <f t="shared" si="61"/>
        <v>0.98069361229543572</v>
      </c>
      <c r="E399" s="39">
        <f>IF(_xlfn.NORM.INV(R399,C399,'Regressão Grupo 2'!$B$7)&lt;=0,0,IF(_xlfn.NORM.INV(R399,C399,'Regressão Grupo 2'!$B$7)&gt;100%,100%,_xlfn.NORM.INV(R399,C399,'Regressão Grupo 2'!$B$7)))</f>
        <v>0.37869704842292096</v>
      </c>
      <c r="F399" s="39">
        <f>IF(_xlfn.NORM.INV(S399,D399,'Regressão Grupo 2'!$B$7)&lt;=0,0,IF(_xlfn.NORM.INV(S399,D399,'Regressão Grupo 2'!$B$7)&gt;100%,100%,_xlfn.NORM.INV(S399,D399,'Regressão Grupo 2'!$B$7)))</f>
        <v>0.95843190386501365</v>
      </c>
      <c r="G399" s="41">
        <v>1.4446839073973192E-2</v>
      </c>
      <c r="H399" s="41">
        <v>2.5293486057706996E-2</v>
      </c>
      <c r="I399" s="40">
        <f t="shared" si="62"/>
        <v>109.37203251037604</v>
      </c>
      <c r="J399" s="40">
        <f t="shared" si="62"/>
        <v>0</v>
      </c>
      <c r="K399" s="36">
        <v>0.31205209189622912</v>
      </c>
      <c r="L399" s="42">
        <f t="shared" si="66"/>
        <v>19991.322604477216</v>
      </c>
      <c r="M399" s="42">
        <f t="shared" si="66"/>
        <v>0</v>
      </c>
      <c r="N399" s="42">
        <f t="shared" si="63"/>
        <v>6238.3340384994872</v>
      </c>
      <c r="O399" s="36">
        <v>9.8752331975397354</v>
      </c>
      <c r="P399" s="42">
        <f t="shared" si="64"/>
        <v>-293.47805718017662</v>
      </c>
      <c r="Q399" s="42"/>
      <c r="R399">
        <v>0.20444349497970518</v>
      </c>
      <c r="S399">
        <v>0.43604846339304787</v>
      </c>
    </row>
    <row r="400" spans="1:19" x14ac:dyDescent="0.25">
      <c r="A400" s="40">
        <f t="shared" si="65"/>
        <v>64.229676878151835</v>
      </c>
      <c r="B400" s="40">
        <f t="shared" si="65"/>
        <v>32.933286051621081</v>
      </c>
      <c r="C400" s="41">
        <f t="shared" si="60"/>
        <v>0.49289226185293716</v>
      </c>
      <c r="D400" s="41">
        <f t="shared" si="61"/>
        <v>0.98069361229543572</v>
      </c>
      <c r="E400" s="39">
        <f>IF(_xlfn.NORM.INV(R400,C400,'Regressão Grupo 2'!$B$7)&lt;=0,0,IF(_xlfn.NORM.INV(R400,C400,'Regressão Grupo 2'!$B$7)&gt;100%,100%,_xlfn.NORM.INV(R400,C400,'Regressão Grupo 2'!$B$7)))</f>
        <v>0.57028149985798893</v>
      </c>
      <c r="F400" s="39">
        <f>IF(_xlfn.NORM.INV(S400,D400,'Regressão Grupo 2'!$B$7)&lt;=0,0,IF(_xlfn.NORM.INV(S400,D400,'Regressão Grupo 2'!$B$7)&gt;100%,100%,_xlfn.NORM.INV(S400,D400,'Regressão Grupo 2'!$B$7)))</f>
        <v>0.80157741294141061</v>
      </c>
      <c r="G400" s="41">
        <v>2.2095349002341048E-2</v>
      </c>
      <c r="H400" s="41">
        <v>2.7706069186318568E-2</v>
      </c>
      <c r="I400" s="40">
        <f t="shared" si="62"/>
        <v>251.9020352597953</v>
      </c>
      <c r="J400" s="40">
        <f t="shared" si="62"/>
        <v>0</v>
      </c>
      <c r="K400" s="36">
        <v>0.3058756599118162</v>
      </c>
      <c r="L400" s="42">
        <f t="shared" si="66"/>
        <v>19991.322604477216</v>
      </c>
      <c r="M400" s="42">
        <f t="shared" si="66"/>
        <v>0</v>
      </c>
      <c r="N400" s="42">
        <f t="shared" si="63"/>
        <v>6114.8589941544769</v>
      </c>
      <c r="O400" s="36">
        <v>3.4978208209673571</v>
      </c>
      <c r="P400" s="42">
        <f t="shared" si="64"/>
        <v>9183.6191517552215</v>
      </c>
      <c r="Q400" s="42"/>
      <c r="R400">
        <v>0.71214941862239445</v>
      </c>
      <c r="S400">
        <v>9.7598193304239023E-2</v>
      </c>
    </row>
    <row r="401" spans="1:19" x14ac:dyDescent="0.25">
      <c r="A401" s="40">
        <f t="shared" si="65"/>
        <v>64.229676878151835</v>
      </c>
      <c r="B401" s="40">
        <f t="shared" si="65"/>
        <v>32.933286051621081</v>
      </c>
      <c r="C401" s="41">
        <f t="shared" si="60"/>
        <v>0.49289226185293716</v>
      </c>
      <c r="D401" s="41">
        <f t="shared" si="61"/>
        <v>0.98069361229543572</v>
      </c>
      <c r="E401" s="39">
        <f>IF(_xlfn.NORM.INV(R401,C401,'Regressão Grupo 2'!$B$7)&lt;=0,0,IF(_xlfn.NORM.INV(R401,C401,'Regressão Grupo 2'!$B$7)&gt;100%,100%,_xlfn.NORM.INV(R401,C401,'Regressão Grupo 2'!$B$7)))</f>
        <v>0.46515736584879513</v>
      </c>
      <c r="F401" s="39">
        <f>IF(_xlfn.NORM.INV(S401,D401,'Regressão Grupo 2'!$B$7)&lt;=0,0,IF(_xlfn.NORM.INV(S401,D401,'Regressão Grupo 2'!$B$7)&gt;100%,100%,_xlfn.NORM.INV(S401,D401,'Regressão Grupo 2'!$B$7)))</f>
        <v>0.8386225946578636</v>
      </c>
      <c r="G401" s="41">
        <v>1.2904052676636701E-2</v>
      </c>
      <c r="H401" s="41">
        <v>8.965976618576111E-3</v>
      </c>
      <c r="I401" s="40">
        <f t="shared" si="62"/>
        <v>119.99621770640398</v>
      </c>
      <c r="J401" s="40">
        <f t="shared" si="62"/>
        <v>0</v>
      </c>
      <c r="K401" s="36">
        <v>0.33161257382305936</v>
      </c>
      <c r="L401" s="42">
        <f t="shared" si="66"/>
        <v>19991.322604477216</v>
      </c>
      <c r="M401" s="42">
        <f t="shared" si="66"/>
        <v>0</v>
      </c>
      <c r="N401" s="42">
        <f t="shared" si="63"/>
        <v>6629.3739429977959</v>
      </c>
      <c r="O401" s="36">
        <v>9.6948155875443227</v>
      </c>
      <c r="P401" s="42">
        <f t="shared" si="64"/>
        <v>-85.39685498151357</v>
      </c>
      <c r="Q401" s="42"/>
      <c r="R401">
        <v>0.4205145420697653</v>
      </c>
      <c r="S401">
        <v>0.15210425122837001</v>
      </c>
    </row>
    <row r="402" spans="1:19" x14ac:dyDescent="0.25">
      <c r="A402" s="40">
        <f t="shared" si="65"/>
        <v>64.229676878151835</v>
      </c>
      <c r="B402" s="40">
        <f t="shared" si="65"/>
        <v>32.933286051621081</v>
      </c>
      <c r="C402" s="41">
        <f t="shared" si="60"/>
        <v>0.49289226185293716</v>
      </c>
      <c r="D402" s="41">
        <f t="shared" si="61"/>
        <v>0.98069361229543572</v>
      </c>
      <c r="E402" s="39">
        <f>IF(_xlfn.NORM.INV(R402,C402,'Regressão Grupo 2'!$B$7)&lt;=0,0,IF(_xlfn.NORM.INV(R402,C402,'Regressão Grupo 2'!$B$7)&gt;100%,100%,_xlfn.NORM.INV(R402,C402,'Regressão Grupo 2'!$B$7)))</f>
        <v>0.70988615538018429</v>
      </c>
      <c r="F402" s="39">
        <f>IF(_xlfn.NORM.INV(S402,D402,'Regressão Grupo 2'!$B$7)&lt;=0,0,IF(_xlfn.NORM.INV(S402,D402,'Regressão Grupo 2'!$B$7)&gt;100%,100%,_xlfn.NORM.INV(S402,D402,'Regressão Grupo 2'!$B$7)))</f>
        <v>1</v>
      </c>
      <c r="G402" s="41">
        <v>2.4073881718382106E-2</v>
      </c>
      <c r="H402" s="41">
        <v>1.8013216808915409E-2</v>
      </c>
      <c r="I402" s="40">
        <f t="shared" si="62"/>
        <v>341.64601254343074</v>
      </c>
      <c r="J402" s="40">
        <f t="shared" si="62"/>
        <v>0</v>
      </c>
      <c r="K402" s="36">
        <v>0.34886730613131434</v>
      </c>
      <c r="L402" s="42">
        <f t="shared" si="66"/>
        <v>19991.322604477216</v>
      </c>
      <c r="M402" s="42">
        <f t="shared" si="66"/>
        <v>0</v>
      </c>
      <c r="N402" s="42">
        <f t="shared" si="63"/>
        <v>6974.3188630260174</v>
      </c>
      <c r="O402" s="36">
        <v>6.8314514134463353</v>
      </c>
      <c r="P402" s="42">
        <f t="shared" si="64"/>
        <v>12635.555994059423</v>
      </c>
      <c r="Q402" s="42"/>
      <c r="R402">
        <v>0.94170964690084535</v>
      </c>
      <c r="S402">
        <v>0.86367381817072053</v>
      </c>
    </row>
    <row r="403" spans="1:19" x14ac:dyDescent="0.25">
      <c r="A403" s="40">
        <f t="shared" si="65"/>
        <v>64.229676878151835</v>
      </c>
      <c r="B403" s="40">
        <f t="shared" si="65"/>
        <v>32.933286051621081</v>
      </c>
      <c r="C403" s="41">
        <f t="shared" si="60"/>
        <v>0.49289226185293716</v>
      </c>
      <c r="D403" s="41">
        <f t="shared" si="61"/>
        <v>0.98069361229543572</v>
      </c>
      <c r="E403" s="39">
        <f>IF(_xlfn.NORM.INV(R403,C403,'Regressão Grupo 2'!$B$7)&lt;=0,0,IF(_xlfn.NORM.INV(R403,C403,'Regressão Grupo 2'!$B$7)&gt;100%,100%,_xlfn.NORM.INV(R403,C403,'Regressão Grupo 2'!$B$7)))</f>
        <v>0.84590227600499668</v>
      </c>
      <c r="F403" s="39">
        <f>IF(_xlfn.NORM.INV(S403,D403,'Regressão Grupo 2'!$B$7)&lt;=0,0,IF(_xlfn.NORM.INV(S403,D403,'Regressão Grupo 2'!$B$7)&gt;100%,100%,_xlfn.NORM.INV(S403,D403,'Regressão Grupo 2'!$B$7)))</f>
        <v>0.80645848929078823</v>
      </c>
      <c r="G403" s="41">
        <v>2.1344960032180168E-2</v>
      </c>
      <c r="H403" s="41">
        <v>1.0877930410782194E-2</v>
      </c>
      <c r="I403" s="40">
        <f t="shared" si="62"/>
        <v>360.95832856256311</v>
      </c>
      <c r="J403" s="40">
        <f t="shared" si="62"/>
        <v>0</v>
      </c>
      <c r="K403" s="36">
        <v>0.43696396855951647</v>
      </c>
      <c r="L403" s="42">
        <f t="shared" si="66"/>
        <v>19991.322604477216</v>
      </c>
      <c r="M403" s="42">
        <f t="shared" si="66"/>
        <v>0</v>
      </c>
      <c r="N403" s="42">
        <f t="shared" si="63"/>
        <v>8735.4876620059331</v>
      </c>
      <c r="O403" s="36">
        <v>8.2153416633270879</v>
      </c>
      <c r="P403" s="42">
        <f t="shared" si="64"/>
        <v>11483.353152680327</v>
      </c>
      <c r="Q403" s="42"/>
      <c r="R403">
        <v>0.99465926084170053</v>
      </c>
      <c r="S403">
        <v>0.10382396923734245</v>
      </c>
    </row>
    <row r="404" spans="1:19" x14ac:dyDescent="0.25">
      <c r="A404" s="40">
        <f t="shared" si="65"/>
        <v>64.229676878151835</v>
      </c>
      <c r="B404" s="40">
        <f t="shared" si="65"/>
        <v>32.933286051621081</v>
      </c>
      <c r="C404" s="41">
        <f t="shared" si="60"/>
        <v>0.49289226185293716</v>
      </c>
      <c r="D404" s="41">
        <f t="shared" si="61"/>
        <v>0.98069361229543572</v>
      </c>
      <c r="E404" s="39">
        <f>IF(_xlfn.NORM.INV(R404,C404,'Regressão Grupo 2'!$B$7)&lt;=0,0,IF(_xlfn.NORM.INV(R404,C404,'Regressão Grupo 2'!$B$7)&gt;100%,100%,_xlfn.NORM.INV(R404,C404,'Regressão Grupo 2'!$B$7)))</f>
        <v>0.37217231950652424</v>
      </c>
      <c r="F404" s="39">
        <f>IF(_xlfn.NORM.INV(S404,D404,'Regressão Grupo 2'!$B$7)&lt;=0,0,IF(_xlfn.NORM.INV(S404,D404,'Regressão Grupo 2'!$B$7)&gt;100%,100%,_xlfn.NORM.INV(S404,D404,'Regressão Grupo 2'!$B$7)))</f>
        <v>0.95258086435673717</v>
      </c>
      <c r="G404" s="41">
        <v>2.4345050118159982E-2</v>
      </c>
      <c r="H404" s="41">
        <v>1.4497749104577361E-2</v>
      </c>
      <c r="I404" s="40">
        <f t="shared" si="62"/>
        <v>181.13245341083743</v>
      </c>
      <c r="J404" s="40">
        <f t="shared" si="62"/>
        <v>0</v>
      </c>
      <c r="K404" s="36">
        <v>0.3053896409912974</v>
      </c>
      <c r="L404" s="42">
        <f t="shared" si="66"/>
        <v>19991.322604477216</v>
      </c>
      <c r="M404" s="42">
        <f t="shared" si="66"/>
        <v>0</v>
      </c>
      <c r="N404" s="42">
        <f t="shared" si="63"/>
        <v>6105.1428331225052</v>
      </c>
      <c r="O404" s="36">
        <v>5.2290408920516622</v>
      </c>
      <c r="P404" s="42">
        <f t="shared" si="64"/>
        <v>4581.7871158395628</v>
      </c>
      <c r="Q404" s="42"/>
      <c r="R404">
        <v>0.1913205359050264</v>
      </c>
      <c r="S404">
        <v>0.41944639423810542</v>
      </c>
    </row>
    <row r="405" spans="1:19" x14ac:dyDescent="0.25">
      <c r="A405" s="40">
        <f t="shared" si="65"/>
        <v>64.229676878151835</v>
      </c>
      <c r="B405" s="40">
        <f t="shared" si="65"/>
        <v>32.933286051621081</v>
      </c>
      <c r="C405" s="41">
        <f t="shared" si="60"/>
        <v>0.49289226185293716</v>
      </c>
      <c r="D405" s="41">
        <f t="shared" si="61"/>
        <v>0.98069361229543572</v>
      </c>
      <c r="E405" s="39">
        <f>IF(_xlfn.NORM.INV(R405,C405,'Regressão Grupo 2'!$B$7)&lt;=0,0,IF(_xlfn.NORM.INV(R405,C405,'Regressão Grupo 2'!$B$7)&gt;100%,100%,_xlfn.NORM.INV(R405,C405,'Regressão Grupo 2'!$B$7)))</f>
        <v>0.51232944059039187</v>
      </c>
      <c r="F405" s="39">
        <f>IF(_xlfn.NORM.INV(S405,D405,'Regressão Grupo 2'!$B$7)&lt;=0,0,IF(_xlfn.NORM.INV(S405,D405,'Regressão Grupo 2'!$B$7)&gt;100%,100%,_xlfn.NORM.INV(S405,D405,'Regressão Grupo 2'!$B$7)))</f>
        <v>0.91081360389681076</v>
      </c>
      <c r="G405" s="41">
        <v>1.0974277244874182E-3</v>
      </c>
      <c r="H405" s="41">
        <v>2.5918396602584624E-2</v>
      </c>
      <c r="I405" s="40">
        <f t="shared" si="62"/>
        <v>11.240011825314308</v>
      </c>
      <c r="J405" s="40">
        <f t="shared" si="62"/>
        <v>0</v>
      </c>
      <c r="K405" s="36">
        <v>0.28030677561540696</v>
      </c>
      <c r="L405" s="42">
        <f t="shared" si="66"/>
        <v>19991.322604477216</v>
      </c>
      <c r="M405" s="42">
        <f t="shared" si="66"/>
        <v>0</v>
      </c>
      <c r="N405" s="42">
        <f t="shared" si="63"/>
        <v>5603.7031795484081</v>
      </c>
      <c r="O405" s="36">
        <v>7.590620148939303</v>
      </c>
      <c r="P405" s="42">
        <f t="shared" si="64"/>
        <v>-4967.0795121374113</v>
      </c>
      <c r="Q405" s="42"/>
      <c r="R405">
        <v>0.55589465010528882</v>
      </c>
      <c r="S405">
        <v>0.30664998321481979</v>
      </c>
    </row>
    <row r="406" spans="1:19" x14ac:dyDescent="0.25">
      <c r="A406" s="40">
        <f t="shared" si="65"/>
        <v>64.229676878151835</v>
      </c>
      <c r="B406" s="40">
        <f t="shared" si="65"/>
        <v>32.933286051621081</v>
      </c>
      <c r="C406" s="41">
        <f t="shared" si="60"/>
        <v>0.49289226185293716</v>
      </c>
      <c r="D406" s="41">
        <f t="shared" si="61"/>
        <v>0.98069361229543572</v>
      </c>
      <c r="E406" s="39">
        <f>IF(_xlfn.NORM.INV(R406,C406,'Regressão Grupo 2'!$B$7)&lt;=0,0,IF(_xlfn.NORM.INV(R406,C406,'Regressão Grupo 2'!$B$7)&gt;100%,100%,_xlfn.NORM.INV(R406,C406,'Regressão Grupo 2'!$B$7)))</f>
        <v>0.37960206920561118</v>
      </c>
      <c r="F406" s="39">
        <f>IF(_xlfn.NORM.INV(S406,D406,'Regressão Grupo 2'!$B$7)&lt;=0,0,IF(_xlfn.NORM.INV(S406,D406,'Regressão Grupo 2'!$B$7)&gt;100%,100%,_xlfn.NORM.INV(S406,D406,'Regressão Grupo 2'!$B$7)))</f>
        <v>1</v>
      </c>
      <c r="G406" s="41">
        <v>1.570376266778983E-2</v>
      </c>
      <c r="H406" s="41">
        <v>2.3047421937658547E-2</v>
      </c>
      <c r="I406" s="40">
        <f t="shared" si="62"/>
        <v>119.17188853652645</v>
      </c>
      <c r="J406" s="40">
        <f t="shared" si="62"/>
        <v>0</v>
      </c>
      <c r="K406" s="36">
        <v>0.2430835200674934</v>
      </c>
      <c r="L406" s="42">
        <f t="shared" si="66"/>
        <v>19991.322604477216</v>
      </c>
      <c r="M406" s="42">
        <f t="shared" si="66"/>
        <v>0</v>
      </c>
      <c r="N406" s="42">
        <f t="shared" si="63"/>
        <v>4859.5610695011719</v>
      </c>
      <c r="O406" s="36">
        <v>4.0359149185064283</v>
      </c>
      <c r="P406" s="42">
        <f t="shared" si="64"/>
        <v>2313.8432213478964</v>
      </c>
      <c r="Q406" s="42"/>
      <c r="R406">
        <v>0.20630512405774101</v>
      </c>
      <c r="S406">
        <v>0.65459150975066382</v>
      </c>
    </row>
    <row r="407" spans="1:19" x14ac:dyDescent="0.25">
      <c r="A407" s="40">
        <f t="shared" si="65"/>
        <v>64.229676878151835</v>
      </c>
      <c r="B407" s="40">
        <f t="shared" si="65"/>
        <v>32.933286051621081</v>
      </c>
      <c r="C407" s="41">
        <f t="shared" si="60"/>
        <v>0.49289226185293716</v>
      </c>
      <c r="D407" s="41">
        <f t="shared" si="61"/>
        <v>0.98069361229543572</v>
      </c>
      <c r="E407" s="39">
        <f>IF(_xlfn.NORM.INV(R407,C407,'Regressão Grupo 2'!$B$7)&lt;=0,0,IF(_xlfn.NORM.INV(R407,C407,'Regressão Grupo 2'!$B$7)&gt;100%,100%,_xlfn.NORM.INV(R407,C407,'Regressão Grupo 2'!$B$7)))</f>
        <v>0.51333415381912617</v>
      </c>
      <c r="F407" s="39">
        <f>IF(_xlfn.NORM.INV(S407,D407,'Regressão Grupo 2'!$B$7)&lt;=0,0,IF(_xlfn.NORM.INV(S407,D407,'Regressão Grupo 2'!$B$7)&gt;100%,100%,_xlfn.NORM.INV(S407,D407,'Regressão Grupo 2'!$B$7)))</f>
        <v>0.98991905964936189</v>
      </c>
      <c r="G407" s="41">
        <v>1.7552978839914322E-2</v>
      </c>
      <c r="H407" s="41">
        <v>1.9176312555601847E-2</v>
      </c>
      <c r="I407" s="40">
        <f t="shared" si="62"/>
        <v>180.13268274567889</v>
      </c>
      <c r="J407" s="40">
        <f t="shared" si="62"/>
        <v>0</v>
      </c>
      <c r="K407" s="36">
        <v>0.33477610086954102</v>
      </c>
      <c r="L407" s="42">
        <f t="shared" ref="L407:M422" si="67">L406</f>
        <v>19991.322604477216</v>
      </c>
      <c r="M407" s="42">
        <f t="shared" si="67"/>
        <v>0</v>
      </c>
      <c r="N407" s="42">
        <f t="shared" si="63"/>
        <v>6692.6170327520003</v>
      </c>
      <c r="O407" s="36">
        <v>3.5984459303468577</v>
      </c>
      <c r="P407" s="42">
        <f t="shared" si="64"/>
        <v>4229.0492560489411</v>
      </c>
      <c r="Q407" s="42"/>
      <c r="R407">
        <v>0.55876338999603259</v>
      </c>
      <c r="S407">
        <v>0.52659688100833157</v>
      </c>
    </row>
    <row r="408" spans="1:19" x14ac:dyDescent="0.25">
      <c r="A408" s="40">
        <f t="shared" si="65"/>
        <v>64.229676878151835</v>
      </c>
      <c r="B408" s="40">
        <f t="shared" si="65"/>
        <v>32.933286051621081</v>
      </c>
      <c r="C408" s="41">
        <f t="shared" si="60"/>
        <v>0.49289226185293716</v>
      </c>
      <c r="D408" s="41">
        <f t="shared" si="61"/>
        <v>0.98069361229543572</v>
      </c>
      <c r="E408" s="39">
        <f>IF(_xlfn.NORM.INV(R408,C408,'Regressão Grupo 2'!$B$7)&lt;=0,0,IF(_xlfn.NORM.INV(R408,C408,'Regressão Grupo 2'!$B$7)&gt;100%,100%,_xlfn.NORM.INV(R408,C408,'Regressão Grupo 2'!$B$7)))</f>
        <v>0.60939437707779764</v>
      </c>
      <c r="F408" s="39">
        <f>IF(_xlfn.NORM.INV(S408,D408,'Regressão Grupo 2'!$B$7)&lt;=0,0,IF(_xlfn.NORM.INV(S408,D408,'Regressão Grupo 2'!$B$7)&gt;100%,100%,_xlfn.NORM.INV(S408,D408,'Regressão Grupo 2'!$B$7)))</f>
        <v>0.90541094687965529</v>
      </c>
      <c r="G408" s="41">
        <v>1.0473788173563632E-2</v>
      </c>
      <c r="H408" s="41">
        <v>2.3866619452281596E-2</v>
      </c>
      <c r="I408" s="40">
        <f t="shared" si="62"/>
        <v>127.5979674620459</v>
      </c>
      <c r="J408" s="40">
        <f t="shared" si="62"/>
        <v>0</v>
      </c>
      <c r="K408" s="36">
        <v>0.40386611412055462</v>
      </c>
      <c r="L408" s="42">
        <f t="shared" si="67"/>
        <v>19991.322604477216</v>
      </c>
      <c r="M408" s="42">
        <f t="shared" si="67"/>
        <v>0</v>
      </c>
      <c r="N408" s="42">
        <f t="shared" si="63"/>
        <v>8073.8177764006186</v>
      </c>
      <c r="O408" s="36">
        <v>4.8842750188954724</v>
      </c>
      <c r="P408" s="42">
        <f t="shared" si="64"/>
        <v>-501.4651209411868</v>
      </c>
      <c r="Q408" s="42"/>
      <c r="R408">
        <v>0.80025635547959839</v>
      </c>
      <c r="S408">
        <v>0.29306924649800103</v>
      </c>
    </row>
    <row r="409" spans="1:19" x14ac:dyDescent="0.25">
      <c r="A409" s="40">
        <f t="shared" si="65"/>
        <v>64.229676878151835</v>
      </c>
      <c r="B409" s="40">
        <f t="shared" si="65"/>
        <v>32.933286051621081</v>
      </c>
      <c r="C409" s="41">
        <f t="shared" si="60"/>
        <v>0.49289226185293716</v>
      </c>
      <c r="D409" s="41">
        <f t="shared" si="61"/>
        <v>0.98069361229543572</v>
      </c>
      <c r="E409" s="39">
        <f>IF(_xlfn.NORM.INV(R409,C409,'Regressão Grupo 2'!$B$7)&lt;=0,0,IF(_xlfn.NORM.INV(R409,C409,'Regressão Grupo 2'!$B$7)&gt;100%,100%,_xlfn.NORM.INV(R409,C409,'Regressão Grupo 2'!$B$7)))</f>
        <v>0.62913605004990802</v>
      </c>
      <c r="F409" s="39">
        <f>IF(_xlfn.NORM.INV(S409,D409,'Regressão Grupo 2'!$B$7)&lt;=0,0,IF(_xlfn.NORM.INV(S409,D409,'Regressão Grupo 2'!$B$7)&gt;100%,100%,_xlfn.NORM.INV(S409,D409,'Regressão Grupo 2'!$B$7)))</f>
        <v>1</v>
      </c>
      <c r="G409" s="41">
        <v>2.0410415746155867E-2</v>
      </c>
      <c r="H409" s="41">
        <v>1.0232993462186105E-2</v>
      </c>
      <c r="I409" s="40">
        <f t="shared" si="62"/>
        <v>256.70714103415213</v>
      </c>
      <c r="J409" s="40">
        <f t="shared" si="62"/>
        <v>0</v>
      </c>
      <c r="K409" s="36">
        <v>0.35155708724404133</v>
      </c>
      <c r="L409" s="42">
        <f t="shared" si="67"/>
        <v>19991.322604477216</v>
      </c>
      <c r="M409" s="42">
        <f t="shared" si="67"/>
        <v>0</v>
      </c>
      <c r="N409" s="42">
        <f t="shared" si="63"/>
        <v>7028.0911449859723</v>
      </c>
      <c r="O409" s="36">
        <v>5.7132693180778649</v>
      </c>
      <c r="P409" s="42">
        <f t="shared" si="64"/>
        <v>7993.4885433498621</v>
      </c>
      <c r="Q409" s="42"/>
      <c r="R409">
        <v>0.83776360362559887</v>
      </c>
      <c r="S409">
        <v>0.74108096560563985</v>
      </c>
    </row>
    <row r="410" spans="1:19" x14ac:dyDescent="0.25">
      <c r="A410" s="40">
        <f t="shared" si="65"/>
        <v>64.229676878151835</v>
      </c>
      <c r="B410" s="40">
        <f t="shared" si="65"/>
        <v>32.933286051621081</v>
      </c>
      <c r="C410" s="41">
        <f t="shared" si="60"/>
        <v>0.49289226185293716</v>
      </c>
      <c r="D410" s="41">
        <f t="shared" si="61"/>
        <v>0.98069361229543572</v>
      </c>
      <c r="E410" s="39">
        <f>IF(_xlfn.NORM.INV(R410,C410,'Regressão Grupo 2'!$B$7)&lt;=0,0,IF(_xlfn.NORM.INV(R410,C410,'Regressão Grupo 2'!$B$7)&gt;100%,100%,_xlfn.NORM.INV(R410,C410,'Regressão Grupo 2'!$B$7)))</f>
        <v>0.31421574561628041</v>
      </c>
      <c r="F410" s="39">
        <f>IF(_xlfn.NORM.INV(S410,D410,'Regressão Grupo 2'!$B$7)&lt;=0,0,IF(_xlfn.NORM.INV(S410,D410,'Regressão Grupo 2'!$B$7)&gt;100%,100%,_xlfn.NORM.INV(S410,D410,'Regressão Grupo 2'!$B$7)))</f>
        <v>0.90344042144640901</v>
      </c>
      <c r="G410" s="41">
        <v>1.790618952396426E-2</v>
      </c>
      <c r="H410" s="41">
        <v>1.728387549876401E-2</v>
      </c>
      <c r="I410" s="40">
        <f t="shared" si="62"/>
        <v>112.47931129213502</v>
      </c>
      <c r="J410" s="40">
        <f t="shared" si="62"/>
        <v>0</v>
      </c>
      <c r="K410" s="36">
        <v>0.24352814513340082</v>
      </c>
      <c r="L410" s="42">
        <f t="shared" si="67"/>
        <v>19991.322604477216</v>
      </c>
      <c r="M410" s="42">
        <f t="shared" si="67"/>
        <v>0</v>
      </c>
      <c r="N410" s="42">
        <f t="shared" si="63"/>
        <v>4868.4497126317638</v>
      </c>
      <c r="O410" s="36">
        <v>3.6587837200287621</v>
      </c>
      <c r="P410" s="42">
        <f t="shared" si="64"/>
        <v>1944.5226341434127</v>
      </c>
      <c r="Q410" s="42"/>
      <c r="R410">
        <v>9.814752647480697E-2</v>
      </c>
      <c r="S410">
        <v>0.28818628498184151</v>
      </c>
    </row>
    <row r="411" spans="1:19" x14ac:dyDescent="0.25">
      <c r="A411" s="40">
        <f t="shared" si="65"/>
        <v>64.229676878151835</v>
      </c>
      <c r="B411" s="40">
        <f t="shared" si="65"/>
        <v>32.933286051621081</v>
      </c>
      <c r="C411" s="41">
        <f t="shared" si="60"/>
        <v>0.49289226185293716</v>
      </c>
      <c r="D411" s="41">
        <f t="shared" si="61"/>
        <v>0.98069361229543572</v>
      </c>
      <c r="E411" s="39">
        <f>IF(_xlfn.NORM.INV(R411,C411,'Regressão Grupo 2'!$B$7)&lt;=0,0,IF(_xlfn.NORM.INV(R411,C411,'Regressão Grupo 2'!$B$7)&gt;100%,100%,_xlfn.NORM.INV(R411,C411,'Regressão Grupo 2'!$B$7)))</f>
        <v>0.26145420044749268</v>
      </c>
      <c r="F411" s="39">
        <f>IF(_xlfn.NORM.INV(S411,D411,'Regressão Grupo 2'!$B$7)&lt;=0,0,IF(_xlfn.NORM.INV(S411,D411,'Regressão Grupo 2'!$B$7)&gt;100%,100%,_xlfn.NORM.INV(S411,D411,'Regressão Grupo 2'!$B$7)))</f>
        <v>1</v>
      </c>
      <c r="G411" s="41">
        <v>1.9363636868558673E-2</v>
      </c>
      <c r="H411" s="41">
        <v>6.2979565394438363E-3</v>
      </c>
      <c r="I411" s="40">
        <f t="shared" si="62"/>
        <v>101.21015281777515</v>
      </c>
      <c r="J411" s="40">
        <f t="shared" si="62"/>
        <v>0</v>
      </c>
      <c r="K411" s="36">
        <v>0.28101870807891804</v>
      </c>
      <c r="L411" s="42">
        <f t="shared" si="67"/>
        <v>19991.322604477216</v>
      </c>
      <c r="M411" s="42">
        <f t="shared" si="67"/>
        <v>0</v>
      </c>
      <c r="N411" s="42">
        <f t="shared" si="63"/>
        <v>5617.9356510990583</v>
      </c>
      <c r="O411" s="36">
        <v>6.4128450128431655</v>
      </c>
      <c r="P411" s="42">
        <f t="shared" si="64"/>
        <v>233.7147374284441</v>
      </c>
      <c r="Q411" s="42"/>
      <c r="R411">
        <v>4.7090060121463669E-2</v>
      </c>
      <c r="S411">
        <v>0.94494460890530108</v>
      </c>
    </row>
    <row r="412" spans="1:19" x14ac:dyDescent="0.25">
      <c r="A412" s="40">
        <f t="shared" si="65"/>
        <v>64.229676878151835</v>
      </c>
      <c r="B412" s="40">
        <f t="shared" si="65"/>
        <v>32.933286051621081</v>
      </c>
      <c r="C412" s="41">
        <f t="shared" si="60"/>
        <v>0.49289226185293716</v>
      </c>
      <c r="D412" s="41">
        <f t="shared" si="61"/>
        <v>0.98069361229543572</v>
      </c>
      <c r="E412" s="39">
        <f>IF(_xlfn.NORM.INV(R412,C412,'Regressão Grupo 2'!$B$7)&lt;=0,0,IF(_xlfn.NORM.INV(R412,C412,'Regressão Grupo 2'!$B$7)&gt;100%,100%,_xlfn.NORM.INV(R412,C412,'Regressão Grupo 2'!$B$7)))</f>
        <v>0.58309607731970792</v>
      </c>
      <c r="F412" s="39">
        <f>IF(_xlfn.NORM.INV(S412,D412,'Regressão Grupo 2'!$B$7)&lt;=0,0,IF(_xlfn.NORM.INV(S412,D412,'Regressão Grupo 2'!$B$7)&gt;100%,100%,_xlfn.NORM.INV(S412,D412,'Regressão Grupo 2'!$B$7)))</f>
        <v>0.91952508658903387</v>
      </c>
      <c r="G412" s="41">
        <v>1.2886272736064092E-2</v>
      </c>
      <c r="H412" s="41">
        <v>1.6868237093929317E-2</v>
      </c>
      <c r="I412" s="40">
        <f t="shared" si="62"/>
        <v>150.21350028676389</v>
      </c>
      <c r="J412" s="40">
        <f t="shared" si="62"/>
        <v>0</v>
      </c>
      <c r="K412" s="36">
        <v>0.28249393975633963</v>
      </c>
      <c r="L412" s="42">
        <f t="shared" si="67"/>
        <v>19991.322604477216</v>
      </c>
      <c r="M412" s="42">
        <f t="shared" si="67"/>
        <v>0</v>
      </c>
      <c r="N412" s="42">
        <f t="shared" si="63"/>
        <v>5647.4274834787375</v>
      </c>
      <c r="O412" s="36">
        <v>9.0160820653856462</v>
      </c>
      <c r="P412" s="42">
        <f t="shared" si="64"/>
        <v>2646.3998567619819</v>
      </c>
      <c r="Q412" s="42"/>
      <c r="R412">
        <v>0.74291207617419963</v>
      </c>
      <c r="S412">
        <v>0.32911160618915375</v>
      </c>
    </row>
    <row r="413" spans="1:19" x14ac:dyDescent="0.25">
      <c r="A413" s="40">
        <f t="shared" si="65"/>
        <v>64.229676878151835</v>
      </c>
      <c r="B413" s="40">
        <f t="shared" si="65"/>
        <v>32.933286051621081</v>
      </c>
      <c r="C413" s="41">
        <f t="shared" si="60"/>
        <v>0.49289226185293716</v>
      </c>
      <c r="D413" s="41">
        <f t="shared" si="61"/>
        <v>0.98069361229543572</v>
      </c>
      <c r="E413" s="39">
        <f>IF(_xlfn.NORM.INV(R413,C413,'Regressão Grupo 2'!$B$7)&lt;=0,0,IF(_xlfn.NORM.INV(R413,C413,'Regressão Grupo 2'!$B$7)&gt;100%,100%,_xlfn.NORM.INV(R413,C413,'Regressão Grupo 2'!$B$7)))</f>
        <v>0.59337429242485551</v>
      </c>
      <c r="F413" s="39">
        <f>IF(_xlfn.NORM.INV(S413,D413,'Regressão Grupo 2'!$B$7)&lt;=0,0,IF(_xlfn.NORM.INV(S413,D413,'Regressão Grupo 2'!$B$7)&gt;100%,100%,_xlfn.NORM.INV(S413,D413,'Regressão Grupo 2'!$B$7)))</f>
        <v>1</v>
      </c>
      <c r="G413" s="41">
        <v>9.787814755695113E-3</v>
      </c>
      <c r="H413" s="41">
        <v>1.1536389329874696E-2</v>
      </c>
      <c r="I413" s="40">
        <f t="shared" si="62"/>
        <v>116.10635619645799</v>
      </c>
      <c r="J413" s="40">
        <f t="shared" si="62"/>
        <v>0</v>
      </c>
      <c r="K413" s="36">
        <v>0.38736878735470048</v>
      </c>
      <c r="L413" s="42">
        <f t="shared" si="67"/>
        <v>19991.322604477216</v>
      </c>
      <c r="M413" s="42">
        <f t="shared" si="67"/>
        <v>0</v>
      </c>
      <c r="N413" s="42">
        <f t="shared" si="63"/>
        <v>7744.0143949129515</v>
      </c>
      <c r="O413" s="36">
        <v>2.8849499238927883</v>
      </c>
      <c r="P413" s="42">
        <f t="shared" si="64"/>
        <v>-621.50167638729272</v>
      </c>
      <c r="Q413" s="42"/>
      <c r="R413">
        <v>0.76628925443281348</v>
      </c>
      <c r="S413">
        <v>0.95880001220740374</v>
      </c>
    </row>
    <row r="414" spans="1:19" x14ac:dyDescent="0.25">
      <c r="A414" s="40">
        <f t="shared" si="65"/>
        <v>64.229676878151835</v>
      </c>
      <c r="B414" s="40">
        <f t="shared" si="65"/>
        <v>32.933286051621081</v>
      </c>
      <c r="C414" s="41">
        <f t="shared" si="60"/>
        <v>0.49289226185293716</v>
      </c>
      <c r="D414" s="41">
        <f t="shared" si="61"/>
        <v>0.98069361229543572</v>
      </c>
      <c r="E414" s="39">
        <f>IF(_xlfn.NORM.INV(R414,C414,'Regressão Grupo 2'!$B$7)&lt;=0,0,IF(_xlfn.NORM.INV(R414,C414,'Regressão Grupo 2'!$B$7)&gt;100%,100%,_xlfn.NORM.INV(R414,C414,'Regressão Grupo 2'!$B$7)))</f>
        <v>0.31199894672122325</v>
      </c>
      <c r="F414" s="39">
        <f>IF(_xlfn.NORM.INV(S414,D414,'Regressão Grupo 2'!$B$7)&lt;=0,0,IF(_xlfn.NORM.INV(S414,D414,'Regressão Grupo 2'!$B$7)&gt;100%,100%,_xlfn.NORM.INV(S414,D414,'Regressão Grupo 2'!$B$7)))</f>
        <v>0.93293808982779869</v>
      </c>
      <c r="G414" s="41">
        <v>2.0866807878615994E-2</v>
      </c>
      <c r="H414" s="41">
        <v>1.7510432811989073E-2</v>
      </c>
      <c r="I414" s="40">
        <f t="shared" si="62"/>
        <v>130.15194808384163</v>
      </c>
      <c r="J414" s="40">
        <f t="shared" si="62"/>
        <v>0</v>
      </c>
      <c r="K414" s="36">
        <v>0.42277332265396439</v>
      </c>
      <c r="L414" s="42">
        <f t="shared" si="67"/>
        <v>19991.322604477216</v>
      </c>
      <c r="M414" s="42">
        <f t="shared" si="67"/>
        <v>0</v>
      </c>
      <c r="N414" s="42">
        <f t="shared" si="63"/>
        <v>8451.7978817421372</v>
      </c>
      <c r="O414" s="36">
        <v>5.8673320424822712</v>
      </c>
      <c r="P414" s="42">
        <f t="shared" si="64"/>
        <v>-855.82500663881001</v>
      </c>
      <c r="Q414" s="42"/>
      <c r="R414">
        <v>9.5400860621967218E-2</v>
      </c>
      <c r="S414">
        <v>0.36490981780449844</v>
      </c>
    </row>
    <row r="415" spans="1:19" x14ac:dyDescent="0.25">
      <c r="A415" s="40">
        <f t="shared" si="65"/>
        <v>64.229676878151835</v>
      </c>
      <c r="B415" s="40">
        <f t="shared" si="65"/>
        <v>32.933286051621081</v>
      </c>
      <c r="C415" s="41">
        <f t="shared" si="60"/>
        <v>0.49289226185293716</v>
      </c>
      <c r="D415" s="41">
        <f t="shared" si="61"/>
        <v>0.98069361229543572</v>
      </c>
      <c r="E415" s="39">
        <f>IF(_xlfn.NORM.INV(R415,C415,'Regressão Grupo 2'!$B$7)&lt;=0,0,IF(_xlfn.NORM.INV(R415,C415,'Regressão Grupo 2'!$B$7)&gt;100%,100%,_xlfn.NORM.INV(R415,C415,'Regressão Grupo 2'!$B$7)))</f>
        <v>0.51128306429825443</v>
      </c>
      <c r="F415" s="39">
        <f>IF(_xlfn.NORM.INV(S415,D415,'Regressão Grupo 2'!$B$7)&lt;=0,0,IF(_xlfn.NORM.INV(S415,D415,'Regressão Grupo 2'!$B$7)&gt;100%,100%,_xlfn.NORM.INV(S415,D415,'Regressão Grupo 2'!$B$7)))</f>
        <v>0.94402322194671995</v>
      </c>
      <c r="G415" s="41">
        <v>2.2061821733753609E-2</v>
      </c>
      <c r="H415" s="41">
        <v>1.0748644743367524E-2</v>
      </c>
      <c r="I415" s="40">
        <f t="shared" si="62"/>
        <v>225.49883680386495</v>
      </c>
      <c r="J415" s="40">
        <f t="shared" si="62"/>
        <v>0</v>
      </c>
      <c r="K415" s="36">
        <v>0.27911703028388934</v>
      </c>
      <c r="L415" s="42">
        <f t="shared" si="67"/>
        <v>19991.322604477216</v>
      </c>
      <c r="M415" s="42">
        <f t="shared" si="67"/>
        <v>0</v>
      </c>
      <c r="N415" s="42">
        <f t="shared" si="63"/>
        <v>5579.9185968088686</v>
      </c>
      <c r="O415" s="36">
        <v>7.5632855012351534</v>
      </c>
      <c r="P415" s="42">
        <f t="shared" si="64"/>
        <v>7198.2867445584061</v>
      </c>
      <c r="Q415" s="42"/>
      <c r="R415">
        <v>0.55290383617664118</v>
      </c>
      <c r="S415">
        <v>0.3954283272804956</v>
      </c>
    </row>
    <row r="416" spans="1:19" x14ac:dyDescent="0.25">
      <c r="A416" s="40">
        <f t="shared" si="65"/>
        <v>64.229676878151835</v>
      </c>
      <c r="B416" s="40">
        <f t="shared" si="65"/>
        <v>32.933286051621081</v>
      </c>
      <c r="C416" s="41">
        <f t="shared" si="60"/>
        <v>0.49289226185293716</v>
      </c>
      <c r="D416" s="41">
        <f t="shared" si="61"/>
        <v>0.98069361229543572</v>
      </c>
      <c r="E416" s="39">
        <f>IF(_xlfn.NORM.INV(R416,C416,'Regressão Grupo 2'!$B$7)&lt;=0,0,IF(_xlfn.NORM.INV(R416,C416,'Regressão Grupo 2'!$B$7)&gt;100%,100%,_xlfn.NORM.INV(R416,C416,'Regressão Grupo 2'!$B$7)))</f>
        <v>0.73549369262027098</v>
      </c>
      <c r="F416" s="39">
        <f>IF(_xlfn.NORM.INV(S416,D416,'Regressão Grupo 2'!$B$7)&lt;=0,0,IF(_xlfn.NORM.INV(S416,D416,'Regressão Grupo 2'!$B$7)&gt;100%,100%,_xlfn.NORM.INV(S416,D416,'Regressão Grupo 2'!$B$7)))</f>
        <v>0.99890300930567388</v>
      </c>
      <c r="G416" s="41">
        <v>1.4483402602260923E-2</v>
      </c>
      <c r="H416" s="41">
        <v>1.9086834430894418E-2</v>
      </c>
      <c r="I416" s="40">
        <f t="shared" si="62"/>
        <v>212.9565896999741</v>
      </c>
      <c r="J416" s="40">
        <f t="shared" si="62"/>
        <v>0</v>
      </c>
      <c r="K416" s="36">
        <v>0.25120213720738716</v>
      </c>
      <c r="L416" s="42">
        <f t="shared" si="67"/>
        <v>19991.322604477216</v>
      </c>
      <c r="M416" s="42">
        <f t="shared" si="67"/>
        <v>0</v>
      </c>
      <c r="N416" s="42">
        <f t="shared" si="63"/>
        <v>5021.8629638470256</v>
      </c>
      <c r="O416" s="36">
        <v>5.6271620929382209</v>
      </c>
      <c r="P416" s="42">
        <f t="shared" si="64"/>
        <v>7457.9287326543754</v>
      </c>
      <c r="Q416" s="42"/>
      <c r="R416">
        <v>0.96032593768120367</v>
      </c>
      <c r="S416">
        <v>0.55238502151554913</v>
      </c>
    </row>
    <row r="417" spans="1:19" x14ac:dyDescent="0.25">
      <c r="A417" s="40">
        <f t="shared" si="65"/>
        <v>64.229676878151835</v>
      </c>
      <c r="B417" s="40">
        <f t="shared" si="65"/>
        <v>32.933286051621081</v>
      </c>
      <c r="C417" s="41">
        <f t="shared" si="60"/>
        <v>0.49289226185293716</v>
      </c>
      <c r="D417" s="41">
        <f t="shared" si="61"/>
        <v>0.98069361229543572</v>
      </c>
      <c r="E417" s="39">
        <f>IF(_xlfn.NORM.INV(R417,C417,'Regressão Grupo 2'!$B$7)&lt;=0,0,IF(_xlfn.NORM.INV(R417,C417,'Regressão Grupo 2'!$B$7)&gt;100%,100%,_xlfn.NORM.INV(R417,C417,'Regressão Grupo 2'!$B$7)))</f>
        <v>0.5751803174331277</v>
      </c>
      <c r="F417" s="39">
        <f>IF(_xlfn.NORM.INV(S417,D417,'Regressão Grupo 2'!$B$7)&lt;=0,0,IF(_xlfn.NORM.INV(S417,D417,'Regressão Grupo 2'!$B$7)&gt;100%,100%,_xlfn.NORM.INV(S417,D417,'Regressão Grupo 2'!$B$7)))</f>
        <v>0.96008059923879763</v>
      </c>
      <c r="G417" s="41">
        <v>1.1122394706757575E-2</v>
      </c>
      <c r="H417" s="41">
        <v>1.7445807334213012E-2</v>
      </c>
      <c r="I417" s="40">
        <f t="shared" si="62"/>
        <v>127.89213774256757</v>
      </c>
      <c r="J417" s="40">
        <f t="shared" si="62"/>
        <v>0</v>
      </c>
      <c r="K417" s="36">
        <v>0.27339343636749802</v>
      </c>
      <c r="L417" s="42">
        <f t="shared" si="67"/>
        <v>19991.322604477216</v>
      </c>
      <c r="M417" s="42">
        <f t="shared" si="67"/>
        <v>0</v>
      </c>
      <c r="N417" s="42">
        <f t="shared" si="63"/>
        <v>5465.4963843692667</v>
      </c>
      <c r="O417" s="36">
        <v>4.0261759840138716</v>
      </c>
      <c r="P417" s="42">
        <f t="shared" si="64"/>
        <v>2234.0580445686155</v>
      </c>
      <c r="Q417" s="42"/>
      <c r="R417">
        <v>0.72411267433698534</v>
      </c>
      <c r="S417">
        <v>0.44074831385235147</v>
      </c>
    </row>
    <row r="418" spans="1:19" x14ac:dyDescent="0.25">
      <c r="A418" s="40">
        <f t="shared" si="65"/>
        <v>64.229676878151835</v>
      </c>
      <c r="B418" s="40">
        <f t="shared" si="65"/>
        <v>32.933286051621081</v>
      </c>
      <c r="C418" s="41">
        <f t="shared" si="60"/>
        <v>0.49289226185293716</v>
      </c>
      <c r="D418" s="41">
        <f t="shared" si="61"/>
        <v>0.98069361229543572</v>
      </c>
      <c r="E418" s="39">
        <f>IF(_xlfn.NORM.INV(R418,C418,'Regressão Grupo 2'!$B$7)&lt;=0,0,IF(_xlfn.NORM.INV(R418,C418,'Regressão Grupo 2'!$B$7)&gt;100%,100%,_xlfn.NORM.INV(R418,C418,'Regressão Grupo 2'!$B$7)))</f>
        <v>0.64758588570408315</v>
      </c>
      <c r="F418" s="39">
        <f>IF(_xlfn.NORM.INV(S418,D418,'Regressão Grupo 2'!$B$7)&lt;=0,0,IF(_xlfn.NORM.INV(S418,D418,'Regressão Grupo 2'!$B$7)&gt;100%,100%,_xlfn.NORM.INV(S418,D418,'Regressão Grupo 2'!$B$7)))</f>
        <v>0.99252880910061725</v>
      </c>
      <c r="G418" s="41">
        <v>1.4714735224652479E-2</v>
      </c>
      <c r="H418" s="41">
        <v>1.6660116895515137E-2</v>
      </c>
      <c r="I418" s="40">
        <f t="shared" si="62"/>
        <v>190.49840948931882</v>
      </c>
      <c r="J418" s="40">
        <f t="shared" si="62"/>
        <v>0</v>
      </c>
      <c r="K418" s="36">
        <v>0.23767217779943434</v>
      </c>
      <c r="L418" s="42">
        <f t="shared" si="67"/>
        <v>19991.322604477216</v>
      </c>
      <c r="M418" s="42">
        <f t="shared" si="67"/>
        <v>0</v>
      </c>
      <c r="N418" s="42">
        <f t="shared" si="63"/>
        <v>4751.3811804971601</v>
      </c>
      <c r="O418" s="36">
        <v>5.680257920246758</v>
      </c>
      <c r="P418" s="42">
        <f t="shared" si="64"/>
        <v>6402.1900075075273</v>
      </c>
      <c r="Q418" s="42"/>
      <c r="R418">
        <v>0.86837366863002408</v>
      </c>
      <c r="S418">
        <v>0.53410443433942689</v>
      </c>
    </row>
    <row r="419" spans="1:19" x14ac:dyDescent="0.25">
      <c r="A419" s="40">
        <f t="shared" si="65"/>
        <v>64.229676878151835</v>
      </c>
      <c r="B419" s="40">
        <f t="shared" si="65"/>
        <v>32.933286051621081</v>
      </c>
      <c r="C419" s="41">
        <f t="shared" si="60"/>
        <v>0.49289226185293716</v>
      </c>
      <c r="D419" s="41">
        <f t="shared" si="61"/>
        <v>0.98069361229543572</v>
      </c>
      <c r="E419" s="39">
        <f>IF(_xlfn.NORM.INV(R419,C419,'Regressão Grupo 2'!$B$7)&lt;=0,0,IF(_xlfn.NORM.INV(R419,C419,'Regressão Grupo 2'!$B$7)&gt;100%,100%,_xlfn.NORM.INV(R419,C419,'Regressão Grupo 2'!$B$7)))</f>
        <v>0.34815890771513613</v>
      </c>
      <c r="F419" s="39">
        <f>IF(_xlfn.NORM.INV(S419,D419,'Regressão Grupo 2'!$B$7)&lt;=0,0,IF(_xlfn.NORM.INV(S419,D419,'Regressão Grupo 2'!$B$7)&gt;100%,100%,_xlfn.NORM.INV(S419,D419,'Regressão Grupo 2'!$B$7)))</f>
        <v>1</v>
      </c>
      <c r="G419" s="41">
        <v>1.1663226006286522E-2</v>
      </c>
      <c r="H419" s="41">
        <v>1.3586446181125183E-2</v>
      </c>
      <c r="I419" s="40">
        <f t="shared" si="62"/>
        <v>81.177884617243336</v>
      </c>
      <c r="J419" s="40">
        <f t="shared" si="62"/>
        <v>0</v>
      </c>
      <c r="K419" s="36">
        <v>0.25738297732058879</v>
      </c>
      <c r="L419" s="42">
        <f t="shared" si="67"/>
        <v>19991.322604477216</v>
      </c>
      <c r="M419" s="42">
        <f t="shared" si="67"/>
        <v>0</v>
      </c>
      <c r="N419" s="42">
        <f t="shared" si="63"/>
        <v>5145.4261325167336</v>
      </c>
      <c r="O419" s="36">
        <v>5.0622361191611516</v>
      </c>
      <c r="P419" s="42">
        <f t="shared" si="64"/>
        <v>-342.3384534858078</v>
      </c>
      <c r="Q419" s="42"/>
      <c r="R419">
        <v>0.14761803033539841</v>
      </c>
      <c r="S419">
        <v>0.60524307992797632</v>
      </c>
    </row>
    <row r="420" spans="1:19" x14ac:dyDescent="0.25">
      <c r="A420" s="40">
        <f t="shared" si="65"/>
        <v>64.229676878151835</v>
      </c>
      <c r="B420" s="40">
        <f t="shared" si="65"/>
        <v>32.933286051621081</v>
      </c>
      <c r="C420" s="41">
        <f t="shared" si="60"/>
        <v>0.49289226185293716</v>
      </c>
      <c r="D420" s="41">
        <f t="shared" si="61"/>
        <v>0.98069361229543572</v>
      </c>
      <c r="E420" s="39">
        <f>IF(_xlfn.NORM.INV(R420,C420,'Regressão Grupo 2'!$B$7)&lt;=0,0,IF(_xlfn.NORM.INV(R420,C420,'Regressão Grupo 2'!$B$7)&gt;100%,100%,_xlfn.NORM.INV(R420,C420,'Regressão Grupo 2'!$B$7)))</f>
        <v>0.47436271626029008</v>
      </c>
      <c r="F420" s="39">
        <f>IF(_xlfn.NORM.INV(S420,D420,'Regressão Grupo 2'!$B$7)&lt;=0,0,IF(_xlfn.NORM.INV(S420,D420,'Regressão Grupo 2'!$B$7)&gt;100%,100%,_xlfn.NORM.INV(S420,D420,'Regressão Grupo 2'!$B$7)))</f>
        <v>0.96423268260107053</v>
      </c>
      <c r="G420" s="41">
        <v>1.65632949494375E-2</v>
      </c>
      <c r="H420" s="41">
        <v>5.7574105400658706E-3</v>
      </c>
      <c r="I420" s="40">
        <f t="shared" si="62"/>
        <v>157.07201326893724</v>
      </c>
      <c r="J420" s="40">
        <f t="shared" si="62"/>
        <v>0</v>
      </c>
      <c r="K420" s="36">
        <v>0.31648825021469296</v>
      </c>
      <c r="L420" s="42">
        <f t="shared" si="67"/>
        <v>19991.322604477216</v>
      </c>
      <c r="M420" s="42">
        <f t="shared" si="67"/>
        <v>0</v>
      </c>
      <c r="N420" s="42">
        <f t="shared" si="63"/>
        <v>6327.0187105684327</v>
      </c>
      <c r="O420" s="36">
        <v>6.1496112418886852</v>
      </c>
      <c r="P420" s="42">
        <f t="shared" si="64"/>
        <v>2795.7341297114381</v>
      </c>
      <c r="Q420" s="42"/>
      <c r="R420">
        <v>0.44669942320017092</v>
      </c>
      <c r="S420">
        <v>0.45262001403851437</v>
      </c>
    </row>
    <row r="421" spans="1:19" x14ac:dyDescent="0.25">
      <c r="A421" s="40">
        <f t="shared" si="65"/>
        <v>64.229676878151835</v>
      </c>
      <c r="B421" s="40">
        <f t="shared" si="65"/>
        <v>32.933286051621081</v>
      </c>
      <c r="C421" s="41">
        <f t="shared" si="60"/>
        <v>0.49289226185293716</v>
      </c>
      <c r="D421" s="41">
        <f t="shared" si="61"/>
        <v>0.98069361229543572</v>
      </c>
      <c r="E421" s="39">
        <f>IF(_xlfn.NORM.INV(R421,C421,'Regressão Grupo 2'!$B$7)&lt;=0,0,IF(_xlfn.NORM.INV(R421,C421,'Regressão Grupo 2'!$B$7)&gt;100%,100%,_xlfn.NORM.INV(R421,C421,'Regressão Grupo 2'!$B$7)))</f>
        <v>0.6215710101590044</v>
      </c>
      <c r="F421" s="39">
        <f>IF(_xlfn.NORM.INV(S421,D421,'Regressão Grupo 2'!$B$7)&lt;=0,0,IF(_xlfn.NORM.INV(S421,D421,'Regressão Grupo 2'!$B$7)&gt;100%,100%,_xlfn.NORM.INV(S421,D421,'Regressão Grupo 2'!$B$7)))</f>
        <v>0.80556574853063634</v>
      </c>
      <c r="G421" s="41">
        <v>2.1965703703332149E-2</v>
      </c>
      <c r="H421" s="41">
        <v>2.8909355211847339E-2</v>
      </c>
      <c r="I421" s="40">
        <f t="shared" si="62"/>
        <v>272.94641819076264</v>
      </c>
      <c r="J421" s="40">
        <f t="shared" si="62"/>
        <v>0</v>
      </c>
      <c r="K421" s="36">
        <v>0.37604549851984065</v>
      </c>
      <c r="L421" s="42">
        <f t="shared" si="67"/>
        <v>19991.322604477216</v>
      </c>
      <c r="M421" s="42">
        <f t="shared" si="67"/>
        <v>0</v>
      </c>
      <c r="N421" s="42">
        <f t="shared" si="63"/>
        <v>7517.6468748715943</v>
      </c>
      <c r="O421" s="36">
        <v>7.1097409523870017</v>
      </c>
      <c r="P421" s="42">
        <f t="shared" si="64"/>
        <v>8073.0350433517815</v>
      </c>
      <c r="Q421" s="42"/>
      <c r="R421">
        <v>0.8239692373424482</v>
      </c>
      <c r="S421">
        <v>0.10266426587725455</v>
      </c>
    </row>
    <row r="422" spans="1:19" x14ac:dyDescent="0.25">
      <c r="A422" s="40">
        <f t="shared" si="65"/>
        <v>64.229676878151835</v>
      </c>
      <c r="B422" s="40">
        <f t="shared" si="65"/>
        <v>32.933286051621081</v>
      </c>
      <c r="C422" s="41">
        <f t="shared" si="60"/>
        <v>0.49289226185293716</v>
      </c>
      <c r="D422" s="41">
        <f t="shared" si="61"/>
        <v>0.98069361229543572</v>
      </c>
      <c r="E422" s="39">
        <f>IF(_xlfn.NORM.INV(R422,C422,'Regressão Grupo 2'!$B$7)&lt;=0,0,IF(_xlfn.NORM.INV(R422,C422,'Regressão Grupo 2'!$B$7)&gt;100%,100%,_xlfn.NORM.INV(R422,C422,'Regressão Grupo 2'!$B$7)))</f>
        <v>0.67676442282091254</v>
      </c>
      <c r="F422" s="39">
        <f>IF(_xlfn.NORM.INV(S422,D422,'Regressão Grupo 2'!$B$7)&lt;=0,0,IF(_xlfn.NORM.INV(S422,D422,'Regressão Grupo 2'!$B$7)&gt;100%,100%,_xlfn.NORM.INV(S422,D422,'Regressão Grupo 2'!$B$7)))</f>
        <v>1</v>
      </c>
      <c r="G422" s="41">
        <v>9.445247678321304E-3</v>
      </c>
      <c r="H422" s="41">
        <v>7.7391361263106995E-3</v>
      </c>
      <c r="I422" s="40">
        <f t="shared" si="62"/>
        <v>127.78868415484179</v>
      </c>
      <c r="J422" s="40">
        <f t="shared" si="62"/>
        <v>0</v>
      </c>
      <c r="K422" s="36">
        <v>0.22139989730730064</v>
      </c>
      <c r="L422" s="42">
        <f t="shared" si="67"/>
        <v>19991.322604477216</v>
      </c>
      <c r="M422" s="42">
        <f t="shared" si="67"/>
        <v>0</v>
      </c>
      <c r="N422" s="42">
        <f t="shared" si="63"/>
        <v>4426.076771668374</v>
      </c>
      <c r="O422" s="36">
        <v>3.4117524261764505</v>
      </c>
      <c r="P422" s="42">
        <f t="shared" si="64"/>
        <v>3345.7657670781373</v>
      </c>
      <c r="Q422" s="42"/>
      <c r="R422">
        <v>0.90820032349620039</v>
      </c>
      <c r="S422">
        <v>0.60737937559129607</v>
      </c>
    </row>
    <row r="423" spans="1:19" x14ac:dyDescent="0.25">
      <c r="A423" s="40">
        <f t="shared" si="65"/>
        <v>64.229676878151835</v>
      </c>
      <c r="B423" s="40">
        <f t="shared" si="65"/>
        <v>32.933286051621081</v>
      </c>
      <c r="C423" s="41">
        <f t="shared" si="60"/>
        <v>0.49289226185293716</v>
      </c>
      <c r="D423" s="41">
        <f t="shared" si="61"/>
        <v>0.98069361229543572</v>
      </c>
      <c r="E423" s="39">
        <f>IF(_xlfn.NORM.INV(R423,C423,'Regressão Grupo 2'!$B$7)&lt;=0,0,IF(_xlfn.NORM.INV(R423,C423,'Regressão Grupo 2'!$B$7)&gt;100%,100%,_xlfn.NORM.INV(R423,C423,'Regressão Grupo 2'!$B$7)))</f>
        <v>0.5071074647184195</v>
      </c>
      <c r="F423" s="39">
        <f>IF(_xlfn.NORM.INV(S423,D423,'Regressão Grupo 2'!$B$7)&lt;=0,0,IF(_xlfn.NORM.INV(S423,D423,'Regressão Grupo 2'!$B$7)&gt;100%,100%,_xlfn.NORM.INV(S423,D423,'Regressão Grupo 2'!$B$7)))</f>
        <v>0.66691682639541261</v>
      </c>
      <c r="G423" s="41">
        <v>1.0022543292695476E-2</v>
      </c>
      <c r="H423" s="41">
        <v>6.3041146737841747E-3</v>
      </c>
      <c r="I423" s="40">
        <f t="shared" si="62"/>
        <v>101.60602746447393</v>
      </c>
      <c r="J423" s="40">
        <f t="shared" si="62"/>
        <v>0</v>
      </c>
      <c r="K423" s="36">
        <v>0.25377405366142813</v>
      </c>
      <c r="L423" s="42">
        <f t="shared" ref="L423:M438" si="68">L422</f>
        <v>19991.322604477216</v>
      </c>
      <c r="M423" s="42">
        <f t="shared" si="68"/>
        <v>0</v>
      </c>
      <c r="N423" s="42">
        <f t="shared" si="63"/>
        <v>5073.2789753915222</v>
      </c>
      <c r="O423" s="36">
        <v>4.0473737036350803</v>
      </c>
      <c r="P423" s="42">
        <f t="shared" si="64"/>
        <v>1041.605773833724</v>
      </c>
      <c r="Q423" s="42"/>
      <c r="R423">
        <v>0.54094058046205018</v>
      </c>
      <c r="S423">
        <v>1.1627552110354931E-2</v>
      </c>
    </row>
    <row r="424" spans="1:19" x14ac:dyDescent="0.25">
      <c r="A424" s="40">
        <f t="shared" si="65"/>
        <v>64.229676878151835</v>
      </c>
      <c r="B424" s="40">
        <f t="shared" si="65"/>
        <v>32.933286051621081</v>
      </c>
      <c r="C424" s="41">
        <f t="shared" si="60"/>
        <v>0.49289226185293716</v>
      </c>
      <c r="D424" s="41">
        <f t="shared" si="61"/>
        <v>0.98069361229543572</v>
      </c>
      <c r="E424" s="39">
        <f>IF(_xlfn.NORM.INV(R424,C424,'Regressão Grupo 2'!$B$7)&lt;=0,0,IF(_xlfn.NORM.INV(R424,C424,'Regressão Grupo 2'!$B$7)&gt;100%,100%,_xlfn.NORM.INV(R424,C424,'Regressão Grupo 2'!$B$7)))</f>
        <v>0.37207938304006682</v>
      </c>
      <c r="F424" s="39">
        <f>IF(_xlfn.NORM.INV(S424,D424,'Regressão Grupo 2'!$B$7)&lt;=0,0,IF(_xlfn.NORM.INV(S424,D424,'Regressão Grupo 2'!$B$7)&gt;100%,100%,_xlfn.NORM.INV(S424,D424,'Regressão Grupo 2'!$B$7)))</f>
        <v>0.84338012520428085</v>
      </c>
      <c r="G424" s="41">
        <v>1.1987842182609842E-2</v>
      </c>
      <c r="H424" s="41">
        <v>2.4525214664539292E-2</v>
      </c>
      <c r="I424" s="40">
        <f t="shared" si="62"/>
        <v>89.169873559774544</v>
      </c>
      <c r="J424" s="40">
        <f t="shared" si="62"/>
        <v>0</v>
      </c>
      <c r="K424" s="36">
        <v>0.30001381683392114</v>
      </c>
      <c r="L424" s="42">
        <f t="shared" si="68"/>
        <v>19991.322604477216</v>
      </c>
      <c r="M424" s="42">
        <f t="shared" si="68"/>
        <v>0</v>
      </c>
      <c r="N424" s="42">
        <f t="shared" si="63"/>
        <v>5997.6729981274548</v>
      </c>
      <c r="O424" s="36">
        <v>5.0023757452437438</v>
      </c>
      <c r="P424" s="42">
        <f t="shared" si="64"/>
        <v>-716.38204481934827</v>
      </c>
      <c r="Q424" s="42"/>
      <c r="R424">
        <v>0.19113742484817042</v>
      </c>
      <c r="S424">
        <v>0.16034424878688924</v>
      </c>
    </row>
    <row r="425" spans="1:19" x14ac:dyDescent="0.25">
      <c r="A425" s="40">
        <f t="shared" si="65"/>
        <v>64.229676878151835</v>
      </c>
      <c r="B425" s="40">
        <f t="shared" si="65"/>
        <v>32.933286051621081</v>
      </c>
      <c r="C425" s="41">
        <f t="shared" si="60"/>
        <v>0.49289226185293716</v>
      </c>
      <c r="D425" s="41">
        <f t="shared" si="61"/>
        <v>0.98069361229543572</v>
      </c>
      <c r="E425" s="39">
        <f>IF(_xlfn.NORM.INV(R425,C425,'Regressão Grupo 2'!$B$7)&lt;=0,0,IF(_xlfn.NORM.INV(R425,C425,'Regressão Grupo 2'!$B$7)&gt;100%,100%,_xlfn.NORM.INV(R425,C425,'Regressão Grupo 2'!$B$7)))</f>
        <v>0.45114518024868699</v>
      </c>
      <c r="F425" s="39">
        <f>IF(_xlfn.NORM.INV(S425,D425,'Regressão Grupo 2'!$B$7)&lt;=0,0,IF(_xlfn.NORM.INV(S425,D425,'Regressão Grupo 2'!$B$7)&gt;100%,100%,_xlfn.NORM.INV(S425,D425,'Regressão Grupo 2'!$B$7)))</f>
        <v>1</v>
      </c>
      <c r="G425" s="41">
        <v>2.3456919656822669E-2</v>
      </c>
      <c r="H425" s="41">
        <v>9.3060437038042249E-3</v>
      </c>
      <c r="I425" s="40">
        <f t="shared" si="62"/>
        <v>211.55769660112193</v>
      </c>
      <c r="J425" s="40">
        <f t="shared" si="62"/>
        <v>0</v>
      </c>
      <c r="K425" s="36">
        <v>0.25772169163248781</v>
      </c>
      <c r="L425" s="42">
        <f t="shared" si="68"/>
        <v>19991.322604477216</v>
      </c>
      <c r="M425" s="42">
        <f t="shared" si="68"/>
        <v>0</v>
      </c>
      <c r="N425" s="42">
        <f t="shared" si="63"/>
        <v>5152.1974795966607</v>
      </c>
      <c r="O425" s="36">
        <v>6.5708811080389493</v>
      </c>
      <c r="P425" s="42">
        <f t="shared" si="64"/>
        <v>7045.9645423229349</v>
      </c>
      <c r="Q425" s="42"/>
      <c r="R425">
        <v>0.3813592944120609</v>
      </c>
      <c r="S425">
        <v>0.87697988830225537</v>
      </c>
    </row>
    <row r="426" spans="1:19" x14ac:dyDescent="0.25">
      <c r="A426" s="40">
        <f t="shared" si="65"/>
        <v>64.229676878151835</v>
      </c>
      <c r="B426" s="40">
        <f t="shared" si="65"/>
        <v>32.933286051621081</v>
      </c>
      <c r="C426" s="41">
        <f t="shared" si="60"/>
        <v>0.49289226185293716</v>
      </c>
      <c r="D426" s="41">
        <f t="shared" si="61"/>
        <v>0.98069361229543572</v>
      </c>
      <c r="E426" s="39">
        <f>IF(_xlfn.NORM.INV(R426,C426,'Regressão Grupo 2'!$B$7)&lt;=0,0,IF(_xlfn.NORM.INV(R426,C426,'Regressão Grupo 2'!$B$7)&gt;100%,100%,_xlfn.NORM.INV(R426,C426,'Regressão Grupo 2'!$B$7)))</f>
        <v>0.60009189100657023</v>
      </c>
      <c r="F426" s="39">
        <f>IF(_xlfn.NORM.INV(S426,D426,'Regressão Grupo 2'!$B$7)&lt;=0,0,IF(_xlfn.NORM.INV(S426,D426,'Regressão Grupo 2'!$B$7)&gt;100%,100%,_xlfn.NORM.INV(S426,D426,'Regressão Grupo 2'!$B$7)))</f>
        <v>1</v>
      </c>
      <c r="G426" s="41">
        <v>2.0393958320965425E-2</v>
      </c>
      <c r="H426" s="41">
        <v>1.0221324491356537E-2</v>
      </c>
      <c r="I426" s="40">
        <f t="shared" si="62"/>
        <v>244.65878415154614</v>
      </c>
      <c r="J426" s="40">
        <f t="shared" si="62"/>
        <v>0</v>
      </c>
      <c r="K426" s="36">
        <v>0.23250492158782299</v>
      </c>
      <c r="L426" s="42">
        <f t="shared" si="68"/>
        <v>19991.322604477216</v>
      </c>
      <c r="M426" s="42">
        <f t="shared" si="68"/>
        <v>0</v>
      </c>
      <c r="N426" s="42">
        <f t="shared" si="63"/>
        <v>4648.0808945908484</v>
      </c>
      <c r="O426" s="36">
        <v>10.20488731930913</v>
      </c>
      <c r="P426" s="42">
        <f t="shared" si="64"/>
        <v>8569.5584329187532</v>
      </c>
      <c r="Q426" s="42"/>
      <c r="R426">
        <v>0.78090762047181617</v>
      </c>
      <c r="S426">
        <v>0.79686880092776269</v>
      </c>
    </row>
    <row r="427" spans="1:19" x14ac:dyDescent="0.25">
      <c r="A427" s="40">
        <f t="shared" si="65"/>
        <v>64.229676878151835</v>
      </c>
      <c r="B427" s="40">
        <f t="shared" si="65"/>
        <v>32.933286051621081</v>
      </c>
      <c r="C427" s="41">
        <f t="shared" si="60"/>
        <v>0.49289226185293716</v>
      </c>
      <c r="D427" s="41">
        <f t="shared" si="61"/>
        <v>0.98069361229543572</v>
      </c>
      <c r="E427" s="39">
        <f>IF(_xlfn.NORM.INV(R427,C427,'Regressão Grupo 2'!$B$7)&lt;=0,0,IF(_xlfn.NORM.INV(R427,C427,'Regressão Grupo 2'!$B$7)&gt;100%,100%,_xlfn.NORM.INV(R427,C427,'Regressão Grupo 2'!$B$7)))</f>
        <v>0.44555195706908091</v>
      </c>
      <c r="F427" s="39">
        <f>IF(_xlfn.NORM.INV(S427,D427,'Regressão Grupo 2'!$B$7)&lt;=0,0,IF(_xlfn.NORM.INV(S427,D427,'Regressão Grupo 2'!$B$7)&gt;100%,100%,_xlfn.NORM.INV(S427,D427,'Regressão Grupo 2'!$B$7)))</f>
        <v>1</v>
      </c>
      <c r="G427" s="41">
        <v>2.5943356847786807E-2</v>
      </c>
      <c r="H427" s="41">
        <v>1.3717943015726999E-2</v>
      </c>
      <c r="I427" s="40">
        <f t="shared" si="62"/>
        <v>231.0819653304516</v>
      </c>
      <c r="J427" s="40">
        <f t="shared" si="62"/>
        <v>0</v>
      </c>
      <c r="K427" s="36">
        <v>0.31217501512027651</v>
      </c>
      <c r="L427" s="42">
        <f t="shared" si="68"/>
        <v>19991.322604477216</v>
      </c>
      <c r="M427" s="42">
        <f t="shared" si="68"/>
        <v>0</v>
      </c>
      <c r="N427" s="42">
        <f t="shared" si="63"/>
        <v>6240.7914363270011</v>
      </c>
      <c r="O427" s="36">
        <v>3.7514885634131412</v>
      </c>
      <c r="P427" s="42">
        <f t="shared" si="64"/>
        <v>7734.6271790679693</v>
      </c>
      <c r="Q427" s="42"/>
      <c r="R427">
        <v>0.3660390026551103</v>
      </c>
      <c r="S427">
        <v>0.9064912869655446</v>
      </c>
    </row>
    <row r="428" spans="1:19" x14ac:dyDescent="0.25">
      <c r="A428" s="40">
        <f t="shared" si="65"/>
        <v>64.229676878151835</v>
      </c>
      <c r="B428" s="40">
        <f t="shared" si="65"/>
        <v>32.933286051621081</v>
      </c>
      <c r="C428" s="41">
        <f t="shared" si="60"/>
        <v>0.49289226185293716</v>
      </c>
      <c r="D428" s="41">
        <f t="shared" si="61"/>
        <v>0.98069361229543572</v>
      </c>
      <c r="E428" s="39">
        <f>IF(_xlfn.NORM.INV(R428,C428,'Regressão Grupo 2'!$B$7)&lt;=0,0,IF(_xlfn.NORM.INV(R428,C428,'Regressão Grupo 2'!$B$7)&gt;100%,100%,_xlfn.NORM.INV(R428,C428,'Regressão Grupo 2'!$B$7)))</f>
        <v>0.58351524427015389</v>
      </c>
      <c r="F428" s="39">
        <f>IF(_xlfn.NORM.INV(S428,D428,'Regressão Grupo 2'!$B$7)&lt;=0,0,IF(_xlfn.NORM.INV(S428,D428,'Regressão Grupo 2'!$B$7)&gt;100%,100%,_xlfn.NORM.INV(S428,D428,'Regressão Grupo 2'!$B$7)))</f>
        <v>1</v>
      </c>
      <c r="G428" s="41">
        <v>1.1506511606933882E-2</v>
      </c>
      <c r="H428" s="41">
        <v>1.5674068841244431E-2</v>
      </c>
      <c r="I428" s="40">
        <f t="shared" si="62"/>
        <v>134.22623663499232</v>
      </c>
      <c r="J428" s="40">
        <f t="shared" si="62"/>
        <v>0</v>
      </c>
      <c r="K428" s="36">
        <v>0.24831422204047951</v>
      </c>
      <c r="L428" s="42">
        <f t="shared" si="68"/>
        <v>19991.322604477216</v>
      </c>
      <c r="M428" s="42">
        <f t="shared" si="68"/>
        <v>0</v>
      </c>
      <c r="N428" s="42">
        <f t="shared" si="63"/>
        <v>4964.129720091013</v>
      </c>
      <c r="O428" s="36">
        <v>4.9522082404446577</v>
      </c>
      <c r="P428" s="42">
        <f t="shared" si="64"/>
        <v>2992.4618123972068</v>
      </c>
      <c r="Q428" s="42"/>
      <c r="R428">
        <v>0.74388866847743151</v>
      </c>
      <c r="S428">
        <v>0.74761192663350318</v>
      </c>
    </row>
    <row r="429" spans="1:19" x14ac:dyDescent="0.25">
      <c r="A429" s="40">
        <f t="shared" si="65"/>
        <v>64.229676878151835</v>
      </c>
      <c r="B429" s="40">
        <f t="shared" si="65"/>
        <v>32.933286051621081</v>
      </c>
      <c r="C429" s="41">
        <f t="shared" si="60"/>
        <v>0.49289226185293716</v>
      </c>
      <c r="D429" s="41">
        <f t="shared" si="61"/>
        <v>0.98069361229543572</v>
      </c>
      <c r="E429" s="39">
        <f>IF(_xlfn.NORM.INV(R429,C429,'Regressão Grupo 2'!$B$7)&lt;=0,0,IF(_xlfn.NORM.INV(R429,C429,'Regressão Grupo 2'!$B$7)&gt;100%,100%,_xlfn.NORM.INV(R429,C429,'Regressão Grupo 2'!$B$7)))</f>
        <v>0.18169837191754157</v>
      </c>
      <c r="F429" s="39">
        <f>IF(_xlfn.NORM.INV(S429,D429,'Regressão Grupo 2'!$B$7)&lt;=0,0,IF(_xlfn.NORM.INV(S429,D429,'Regressão Grupo 2'!$B$7)&gt;100%,100%,_xlfn.NORM.INV(S429,D429,'Regressão Grupo 2'!$B$7)))</f>
        <v>0.95272123371671502</v>
      </c>
      <c r="G429" s="41">
        <v>1.7984852417442944E-2</v>
      </c>
      <c r="H429" s="41">
        <v>8.3319998309995692E-3</v>
      </c>
      <c r="I429" s="40">
        <f t="shared" si="62"/>
        <v>65.328011915749727</v>
      </c>
      <c r="J429" s="40">
        <f t="shared" si="62"/>
        <v>0</v>
      </c>
      <c r="K429" s="36">
        <v>0.27863446376495293</v>
      </c>
      <c r="L429" s="42">
        <f t="shared" si="68"/>
        <v>19991.322604477216</v>
      </c>
      <c r="M429" s="42">
        <f t="shared" si="68"/>
        <v>0</v>
      </c>
      <c r="N429" s="42">
        <f t="shared" si="63"/>
        <v>5570.2714538506916</v>
      </c>
      <c r="O429" s="36">
        <v>5.6335560676541547</v>
      </c>
      <c r="P429" s="42">
        <f t="shared" si="64"/>
        <v>-1742.3033753257887</v>
      </c>
      <c r="Q429" s="42"/>
      <c r="R429">
        <v>1.2207403790398877E-2</v>
      </c>
      <c r="S429">
        <v>0.41984313486129338</v>
      </c>
    </row>
    <row r="430" spans="1:19" x14ac:dyDescent="0.25">
      <c r="A430" s="40">
        <f t="shared" si="65"/>
        <v>64.229676878151835</v>
      </c>
      <c r="B430" s="40">
        <f t="shared" si="65"/>
        <v>32.933286051621081</v>
      </c>
      <c r="C430" s="41">
        <f t="shared" si="60"/>
        <v>0.49289226185293716</v>
      </c>
      <c r="D430" s="41">
        <f t="shared" si="61"/>
        <v>0.98069361229543572</v>
      </c>
      <c r="E430" s="39">
        <f>IF(_xlfn.NORM.INV(R430,C430,'Regressão Grupo 2'!$B$7)&lt;=0,0,IF(_xlfn.NORM.INV(R430,C430,'Regressão Grupo 2'!$B$7)&gt;100%,100%,_xlfn.NORM.INV(R430,C430,'Regressão Grupo 2'!$B$7)))</f>
        <v>0.14733089258095355</v>
      </c>
      <c r="F430" s="39">
        <f>IF(_xlfn.NORM.INV(S430,D430,'Regressão Grupo 2'!$B$7)&lt;=0,0,IF(_xlfn.NORM.INV(S430,D430,'Regressão Grupo 2'!$B$7)&gt;100%,100%,_xlfn.NORM.INV(S430,D430,'Regressão Grupo 2'!$B$7)))</f>
        <v>0.78493807367345747</v>
      </c>
      <c r="G430" s="41">
        <v>2.4759386278959614E-2</v>
      </c>
      <c r="H430" s="41">
        <v>1.9683495977226659E-2</v>
      </c>
      <c r="I430" s="40">
        <f t="shared" si="62"/>
        <v>72.924796006256784</v>
      </c>
      <c r="J430" s="40">
        <f t="shared" si="62"/>
        <v>0</v>
      </c>
      <c r="K430" s="36">
        <v>0.37996110195539862</v>
      </c>
      <c r="L430" s="42">
        <f t="shared" si="68"/>
        <v>19991.322604477216</v>
      </c>
      <c r="M430" s="42">
        <f t="shared" si="68"/>
        <v>0</v>
      </c>
      <c r="N430" s="42">
        <f t="shared" si="63"/>
        <v>7595.9249663430328</v>
      </c>
      <c r="O430" s="36">
        <v>4.0516355206640435</v>
      </c>
      <c r="P430" s="42">
        <f t="shared" si="64"/>
        <v>-3207.4535762921514</v>
      </c>
      <c r="Q430" s="42"/>
      <c r="R430">
        <v>6.2257759331034272E-3</v>
      </c>
      <c r="S430">
        <v>7.8432569353312789E-2</v>
      </c>
    </row>
    <row r="431" spans="1:19" x14ac:dyDescent="0.25">
      <c r="A431" s="40">
        <f t="shared" si="65"/>
        <v>64.229676878151835</v>
      </c>
      <c r="B431" s="40">
        <f t="shared" si="65"/>
        <v>32.933286051621081</v>
      </c>
      <c r="C431" s="41">
        <f t="shared" si="60"/>
        <v>0.49289226185293716</v>
      </c>
      <c r="D431" s="41">
        <f t="shared" si="61"/>
        <v>0.98069361229543572</v>
      </c>
      <c r="E431" s="39">
        <f>IF(_xlfn.NORM.INV(R431,C431,'Regressão Grupo 2'!$B$7)&lt;=0,0,IF(_xlfn.NORM.INV(R431,C431,'Regressão Grupo 2'!$B$7)&gt;100%,100%,_xlfn.NORM.INV(R431,C431,'Regressão Grupo 2'!$B$7)))</f>
        <v>0.30726399726721926</v>
      </c>
      <c r="F431" s="39">
        <f>IF(_xlfn.NORM.INV(S431,D431,'Regressão Grupo 2'!$B$7)&lt;=0,0,IF(_xlfn.NORM.INV(S431,D431,'Regressão Grupo 2'!$B$7)&gt;100%,100%,_xlfn.NORM.INV(S431,D431,'Regressão Grupo 2'!$B$7)))</f>
        <v>1</v>
      </c>
      <c r="G431" s="41">
        <v>8.2170379363929007E-3</v>
      </c>
      <c r="H431" s="41">
        <v>2.3222909981587929E-2</v>
      </c>
      <c r="I431" s="40">
        <f t="shared" si="62"/>
        <v>50.474089753109929</v>
      </c>
      <c r="J431" s="40">
        <f t="shared" si="62"/>
        <v>0</v>
      </c>
      <c r="K431" s="36">
        <v>0.25246705371611294</v>
      </c>
      <c r="L431" s="42">
        <f t="shared" si="68"/>
        <v>19991.322604477216</v>
      </c>
      <c r="M431" s="42">
        <f t="shared" si="68"/>
        <v>0</v>
      </c>
      <c r="N431" s="42">
        <f t="shared" si="63"/>
        <v>5047.150317840692</v>
      </c>
      <c r="O431" s="36">
        <v>6.7500543036844745</v>
      </c>
      <c r="P431" s="42">
        <f t="shared" si="64"/>
        <v>-2145.9186890421424</v>
      </c>
      <c r="Q431" s="42"/>
      <c r="R431">
        <v>8.9724417859431749E-2</v>
      </c>
      <c r="S431">
        <v>0.70574053163243511</v>
      </c>
    </row>
    <row r="432" spans="1:19" x14ac:dyDescent="0.25">
      <c r="A432" s="40">
        <f t="shared" si="65"/>
        <v>64.229676878151835</v>
      </c>
      <c r="B432" s="40">
        <f t="shared" si="65"/>
        <v>32.933286051621081</v>
      </c>
      <c r="C432" s="41">
        <f t="shared" si="60"/>
        <v>0.49289226185293716</v>
      </c>
      <c r="D432" s="41">
        <f t="shared" si="61"/>
        <v>0.98069361229543572</v>
      </c>
      <c r="E432" s="39">
        <f>IF(_xlfn.NORM.INV(R432,C432,'Regressão Grupo 2'!$B$7)&lt;=0,0,IF(_xlfn.NORM.INV(R432,C432,'Regressão Grupo 2'!$B$7)&gt;100%,100%,_xlfn.NORM.INV(R432,C432,'Regressão Grupo 2'!$B$7)))</f>
        <v>0.46058685968853591</v>
      </c>
      <c r="F432" s="39">
        <f>IF(_xlfn.NORM.INV(S432,D432,'Regressão Grupo 2'!$B$7)&lt;=0,0,IF(_xlfn.NORM.INV(S432,D432,'Regressão Grupo 2'!$B$7)&gt;100%,100%,_xlfn.NORM.INV(S432,D432,'Regressão Grupo 2'!$B$7)))</f>
        <v>1</v>
      </c>
      <c r="G432" s="41">
        <v>1.027490351555068E-2</v>
      </c>
      <c r="H432" s="41">
        <v>2.2299630911495387E-2</v>
      </c>
      <c r="I432" s="40">
        <f t="shared" si="62"/>
        <v>94.608645227734044</v>
      </c>
      <c r="J432" s="40">
        <f t="shared" si="62"/>
        <v>0</v>
      </c>
      <c r="K432" s="36">
        <v>0.27095600313958107</v>
      </c>
      <c r="L432" s="42">
        <f t="shared" si="68"/>
        <v>19991.322604477216</v>
      </c>
      <c r="M432" s="42">
        <f t="shared" si="68"/>
        <v>0</v>
      </c>
      <c r="N432" s="42">
        <f t="shared" si="63"/>
        <v>5416.7688703831063</v>
      </c>
      <c r="O432" s="36">
        <v>5.3041870902166472</v>
      </c>
      <c r="P432" s="42">
        <f t="shared" si="64"/>
        <v>158.09188783411901</v>
      </c>
      <c r="Q432" s="42"/>
      <c r="R432">
        <v>0.40763573107089451</v>
      </c>
      <c r="S432">
        <v>0.65376750999481181</v>
      </c>
    </row>
    <row r="433" spans="1:19" x14ac:dyDescent="0.25">
      <c r="A433" s="40">
        <f t="shared" si="65"/>
        <v>64.229676878151835</v>
      </c>
      <c r="B433" s="40">
        <f t="shared" si="65"/>
        <v>32.933286051621081</v>
      </c>
      <c r="C433" s="41">
        <f t="shared" si="60"/>
        <v>0.49289226185293716</v>
      </c>
      <c r="D433" s="41">
        <f t="shared" si="61"/>
        <v>0.98069361229543572</v>
      </c>
      <c r="E433" s="39">
        <f>IF(_xlfn.NORM.INV(R433,C433,'Regressão Grupo 2'!$B$7)&lt;=0,0,IF(_xlfn.NORM.INV(R433,C433,'Regressão Grupo 2'!$B$7)&gt;100%,100%,_xlfn.NORM.INV(R433,C433,'Regressão Grupo 2'!$B$7)))</f>
        <v>0.44165182795870062</v>
      </c>
      <c r="F433" s="39">
        <f>IF(_xlfn.NORM.INV(S433,D433,'Regressão Grupo 2'!$B$7)&lt;=0,0,IF(_xlfn.NORM.INV(S433,D433,'Regressão Grupo 2'!$B$7)&gt;100%,100%,_xlfn.NORM.INV(S433,D433,'Regressão Grupo 2'!$B$7)))</f>
        <v>1</v>
      </c>
      <c r="G433" s="41">
        <v>1.8331578741497722E-2</v>
      </c>
      <c r="H433" s="41">
        <v>1.4709102895054303E-2</v>
      </c>
      <c r="I433" s="40">
        <f t="shared" si="62"/>
        <v>161.85325149606894</v>
      </c>
      <c r="J433" s="40">
        <f t="shared" si="62"/>
        <v>0</v>
      </c>
      <c r="K433" s="36">
        <v>0.1936967571385414</v>
      </c>
      <c r="L433" s="42">
        <f t="shared" si="68"/>
        <v>19991.322604477216</v>
      </c>
      <c r="M433" s="42">
        <f t="shared" si="68"/>
        <v>0</v>
      </c>
      <c r="N433" s="42">
        <f t="shared" si="63"/>
        <v>3872.2543593976561</v>
      </c>
      <c r="O433" s="36">
        <v>4.8254950714108844</v>
      </c>
      <c r="P433" s="42">
        <f t="shared" si="64"/>
        <v>5742.5056184869891</v>
      </c>
      <c r="Q433" s="42"/>
      <c r="R433">
        <v>0.3554795983764153</v>
      </c>
      <c r="S433">
        <v>0.94323557237464517</v>
      </c>
    </row>
    <row r="434" spans="1:19" x14ac:dyDescent="0.25">
      <c r="A434" s="40">
        <f t="shared" si="65"/>
        <v>64.229676878151835</v>
      </c>
      <c r="B434" s="40">
        <f t="shared" si="65"/>
        <v>32.933286051621081</v>
      </c>
      <c r="C434" s="41">
        <f t="shared" si="60"/>
        <v>0.49289226185293716</v>
      </c>
      <c r="D434" s="41">
        <f t="shared" si="61"/>
        <v>0.98069361229543572</v>
      </c>
      <c r="E434" s="39">
        <f>IF(_xlfn.NORM.INV(R434,C434,'Regressão Grupo 2'!$B$7)&lt;=0,0,IF(_xlfn.NORM.INV(R434,C434,'Regressão Grupo 2'!$B$7)&gt;100%,100%,_xlfn.NORM.INV(R434,C434,'Regressão Grupo 2'!$B$7)))</f>
        <v>0.51433994745760248</v>
      </c>
      <c r="F434" s="39">
        <f>IF(_xlfn.NORM.INV(S434,D434,'Regressão Grupo 2'!$B$7)&lt;=0,0,IF(_xlfn.NORM.INV(S434,D434,'Regressão Grupo 2'!$B$7)&gt;100%,100%,_xlfn.NORM.INV(S434,D434,'Regressão Grupo 2'!$B$7)))</f>
        <v>1</v>
      </c>
      <c r="G434" s="41">
        <v>6.3419276283631617E-3</v>
      </c>
      <c r="H434" s="41">
        <v>1.8899154592710035E-2</v>
      </c>
      <c r="I434" s="40">
        <f t="shared" si="62"/>
        <v>65.209829608249308</v>
      </c>
      <c r="J434" s="40">
        <f t="shared" si="62"/>
        <v>0</v>
      </c>
      <c r="K434" s="36">
        <v>0.43701648818929062</v>
      </c>
      <c r="L434" s="42">
        <f t="shared" si="68"/>
        <v>19991.322604477216</v>
      </c>
      <c r="M434" s="42">
        <f t="shared" si="68"/>
        <v>0</v>
      </c>
      <c r="N434" s="42">
        <f t="shared" si="63"/>
        <v>8736.5375988678152</v>
      </c>
      <c r="O434" s="36">
        <v>2.3196398487543162</v>
      </c>
      <c r="P434" s="42">
        <f t="shared" si="64"/>
        <v>-4699.3946331403986</v>
      </c>
      <c r="Q434" s="42"/>
      <c r="R434">
        <v>0.56163212988677635</v>
      </c>
      <c r="S434">
        <v>0.68013550218207341</v>
      </c>
    </row>
    <row r="435" spans="1:19" x14ac:dyDescent="0.25">
      <c r="A435" s="40">
        <f t="shared" si="65"/>
        <v>64.229676878151835</v>
      </c>
      <c r="B435" s="40">
        <f t="shared" si="65"/>
        <v>32.933286051621081</v>
      </c>
      <c r="C435" s="41">
        <f t="shared" si="60"/>
        <v>0.49289226185293716</v>
      </c>
      <c r="D435" s="41">
        <f t="shared" si="61"/>
        <v>0.98069361229543572</v>
      </c>
      <c r="E435" s="39">
        <f>IF(_xlfn.NORM.INV(R435,C435,'Regressão Grupo 2'!$B$7)&lt;=0,0,IF(_xlfn.NORM.INV(R435,C435,'Regressão Grupo 2'!$B$7)&gt;100%,100%,_xlfn.NORM.INV(R435,C435,'Regressão Grupo 2'!$B$7)))</f>
        <v>0.5094384193356567</v>
      </c>
      <c r="F435" s="39">
        <f>IF(_xlfn.NORM.INV(S435,D435,'Regressão Grupo 2'!$B$7)&lt;=0,0,IF(_xlfn.NORM.INV(S435,D435,'Regressão Grupo 2'!$B$7)&gt;100%,100%,_xlfn.NORM.INV(S435,D435,'Regressão Grupo 2'!$B$7)))</f>
        <v>0.92520243261407131</v>
      </c>
      <c r="G435" s="41">
        <v>1.6521682104922334E-2</v>
      </c>
      <c r="H435" s="41">
        <v>5.7417172609193845E-3</v>
      </c>
      <c r="I435" s="40">
        <f t="shared" si="62"/>
        <v>168.26255660019808</v>
      </c>
      <c r="J435" s="40">
        <f t="shared" si="62"/>
        <v>0</v>
      </c>
      <c r="K435" s="36">
        <v>0.19397312315751011</v>
      </c>
      <c r="L435" s="42">
        <f t="shared" si="68"/>
        <v>19991.322604477216</v>
      </c>
      <c r="M435" s="42">
        <f t="shared" si="68"/>
        <v>0</v>
      </c>
      <c r="N435" s="42">
        <f t="shared" si="63"/>
        <v>3877.779281639775</v>
      </c>
      <c r="O435" s="36">
        <v>5.4198476484546942</v>
      </c>
      <c r="P435" s="42">
        <f t="shared" si="64"/>
        <v>6017.7129377701231</v>
      </c>
      <c r="Q435" s="42"/>
      <c r="R435">
        <v>0.5476241340372936</v>
      </c>
      <c r="S435">
        <v>0.34409619434186833</v>
      </c>
    </row>
    <row r="436" spans="1:19" x14ac:dyDescent="0.25">
      <c r="A436" s="40">
        <f t="shared" si="65"/>
        <v>64.229676878151835</v>
      </c>
      <c r="B436" s="40">
        <f t="shared" si="65"/>
        <v>32.933286051621081</v>
      </c>
      <c r="C436" s="41">
        <f t="shared" si="60"/>
        <v>0.49289226185293716</v>
      </c>
      <c r="D436" s="41">
        <f t="shared" si="61"/>
        <v>0.98069361229543572</v>
      </c>
      <c r="E436" s="39">
        <f>IF(_xlfn.NORM.INV(R436,C436,'Regressão Grupo 2'!$B$7)&lt;=0,0,IF(_xlfn.NORM.INV(R436,C436,'Regressão Grupo 2'!$B$7)&gt;100%,100%,_xlfn.NORM.INV(R436,C436,'Regressão Grupo 2'!$B$7)))</f>
        <v>0.27082571415789242</v>
      </c>
      <c r="F436" s="39">
        <f>IF(_xlfn.NORM.INV(S436,D436,'Regressão Grupo 2'!$B$7)&lt;=0,0,IF(_xlfn.NORM.INV(S436,D436,'Regressão Grupo 2'!$B$7)&gt;100%,100%,_xlfn.NORM.INV(S436,D436,'Regressão Grupo 2'!$B$7)))</f>
        <v>0.88133773808528004</v>
      </c>
      <c r="G436" s="41">
        <v>1.3043092190688752E-2</v>
      </c>
      <c r="H436" s="41">
        <v>8.1888630729721554E-3</v>
      </c>
      <c r="I436" s="40">
        <f t="shared" si="62"/>
        <v>70.617443074183953</v>
      </c>
      <c r="J436" s="40">
        <f t="shared" si="62"/>
        <v>0</v>
      </c>
      <c r="K436" s="36">
        <v>0.45962920862171774</v>
      </c>
      <c r="L436" s="42">
        <f t="shared" si="68"/>
        <v>19991.322604477216</v>
      </c>
      <c r="M436" s="42">
        <f t="shared" si="68"/>
        <v>0</v>
      </c>
      <c r="N436" s="42">
        <f t="shared" si="63"/>
        <v>9188.5957879973193</v>
      </c>
      <c r="O436" s="36">
        <v>9.8201631552133311</v>
      </c>
      <c r="P436" s="42">
        <f t="shared" si="64"/>
        <v>-5346.3350499736789</v>
      </c>
      <c r="Q436" s="42"/>
      <c r="R436">
        <v>5.4139835810419021E-2</v>
      </c>
      <c r="S436">
        <v>0.23621326334421827</v>
      </c>
    </row>
    <row r="437" spans="1:19" x14ac:dyDescent="0.25">
      <c r="A437" s="40">
        <f t="shared" si="65"/>
        <v>64.229676878151835</v>
      </c>
      <c r="B437" s="40">
        <f t="shared" si="65"/>
        <v>32.933286051621081</v>
      </c>
      <c r="C437" s="41">
        <f t="shared" si="60"/>
        <v>0.49289226185293716</v>
      </c>
      <c r="D437" s="41">
        <f t="shared" si="61"/>
        <v>0.98069361229543572</v>
      </c>
      <c r="E437" s="39">
        <f>IF(_xlfn.NORM.INV(R437,C437,'Regressão Grupo 2'!$B$7)&lt;=0,0,IF(_xlfn.NORM.INV(R437,C437,'Regressão Grupo 2'!$B$7)&gt;100%,100%,_xlfn.NORM.INV(R437,C437,'Regressão Grupo 2'!$B$7)))</f>
        <v>0.46528686728067414</v>
      </c>
      <c r="F437" s="39">
        <f>IF(_xlfn.NORM.INV(S437,D437,'Regressão Grupo 2'!$B$7)&lt;=0,0,IF(_xlfn.NORM.INV(S437,D437,'Regressão Grupo 2'!$B$7)&gt;100%,100%,_xlfn.NORM.INV(S437,D437,'Regressão Grupo 2'!$B$7)))</f>
        <v>0.8498130170456113</v>
      </c>
      <c r="G437" s="41">
        <v>2.1515214750819196E-2</v>
      </c>
      <c r="H437" s="41">
        <v>2.4606241224877343E-2</v>
      </c>
      <c r="I437" s="40">
        <f t="shared" si="62"/>
        <v>200.12807019552037</v>
      </c>
      <c r="J437" s="40">
        <f t="shared" si="62"/>
        <v>0</v>
      </c>
      <c r="K437" s="36">
        <v>0.3431683342590236</v>
      </c>
      <c r="L437" s="42">
        <f t="shared" si="68"/>
        <v>19991.322604477216</v>
      </c>
      <c r="M437" s="42">
        <f t="shared" si="68"/>
        <v>0</v>
      </c>
      <c r="N437" s="42">
        <f t="shared" si="63"/>
        <v>6860.3888778132114</v>
      </c>
      <c r="O437" s="36">
        <v>7.9113165988174705</v>
      </c>
      <c r="P437" s="42">
        <f t="shared" si="64"/>
        <v>4410.4958814660222</v>
      </c>
      <c r="Q437" s="42"/>
      <c r="R437">
        <v>0.42088076418347725</v>
      </c>
      <c r="S437">
        <v>0.17194128238776818</v>
      </c>
    </row>
    <row r="438" spans="1:19" x14ac:dyDescent="0.25">
      <c r="A438" s="40">
        <f t="shared" si="65"/>
        <v>64.229676878151835</v>
      </c>
      <c r="B438" s="40">
        <f t="shared" si="65"/>
        <v>32.933286051621081</v>
      </c>
      <c r="C438" s="41">
        <f t="shared" si="60"/>
        <v>0.49289226185293716</v>
      </c>
      <c r="D438" s="41">
        <f t="shared" si="61"/>
        <v>0.98069361229543572</v>
      </c>
      <c r="E438" s="39">
        <f>IF(_xlfn.NORM.INV(R438,C438,'Regressão Grupo 2'!$B$7)&lt;=0,0,IF(_xlfn.NORM.INV(R438,C438,'Regressão Grupo 2'!$B$7)&gt;100%,100%,_xlfn.NORM.INV(R438,C438,'Regressão Grupo 2'!$B$7)))</f>
        <v>0.17598113961799161</v>
      </c>
      <c r="F438" s="39">
        <f>IF(_xlfn.NORM.INV(S438,D438,'Regressão Grupo 2'!$B$7)&lt;=0,0,IF(_xlfn.NORM.INV(S438,D438,'Regressão Grupo 2'!$B$7)&gt;100%,100%,_xlfn.NORM.INV(S438,D438,'Regressão Grupo 2'!$B$7)))</f>
        <v>1</v>
      </c>
      <c r="G438" s="41">
        <v>1.8572801602089704E-2</v>
      </c>
      <c r="H438" s="41">
        <v>1.6179449546607744E-2</v>
      </c>
      <c r="I438" s="40">
        <f t="shared" si="62"/>
        <v>65.340894092295883</v>
      </c>
      <c r="J438" s="40">
        <f t="shared" si="62"/>
        <v>0</v>
      </c>
      <c r="K438" s="36">
        <v>0.24087429414045969</v>
      </c>
      <c r="L438" s="42">
        <f t="shared" si="68"/>
        <v>19991.322604477216</v>
      </c>
      <c r="M438" s="42">
        <f t="shared" si="68"/>
        <v>0</v>
      </c>
      <c r="N438" s="42">
        <f t="shared" si="63"/>
        <v>4815.3957212876658</v>
      </c>
      <c r="O438" s="36">
        <v>4.2561734860198275</v>
      </c>
      <c r="P438" s="42">
        <f t="shared" si="64"/>
        <v>-896.67338779842021</v>
      </c>
      <c r="Q438" s="42"/>
      <c r="R438">
        <v>1.0956144901882993E-2</v>
      </c>
      <c r="S438">
        <v>0.69527268288216804</v>
      </c>
    </row>
    <row r="439" spans="1:19" x14ac:dyDescent="0.25">
      <c r="A439" s="40">
        <f t="shared" si="65"/>
        <v>64.229676878151835</v>
      </c>
      <c r="B439" s="40">
        <f t="shared" si="65"/>
        <v>32.933286051621081</v>
      </c>
      <c r="C439" s="41">
        <f t="shared" si="60"/>
        <v>0.49289226185293716</v>
      </c>
      <c r="D439" s="41">
        <f t="shared" si="61"/>
        <v>0.98069361229543572</v>
      </c>
      <c r="E439" s="39">
        <f>IF(_xlfn.NORM.INV(R439,C439,'Regressão Grupo 2'!$B$7)&lt;=0,0,IF(_xlfn.NORM.INV(R439,C439,'Regressão Grupo 2'!$B$7)&gt;100%,100%,_xlfn.NORM.INV(R439,C439,'Regressão Grupo 2'!$B$7)))</f>
        <v>0.3189142124865656</v>
      </c>
      <c r="F439" s="39">
        <f>IF(_xlfn.NORM.INV(S439,D439,'Regressão Grupo 2'!$B$7)&lt;=0,0,IF(_xlfn.NORM.INV(S439,D439,'Regressão Grupo 2'!$B$7)&gt;100%,100%,_xlfn.NORM.INV(S439,D439,'Regressão Grupo 2'!$B$7)))</f>
        <v>1</v>
      </c>
      <c r="G439" s="41">
        <v>2.8444136407864112E-2</v>
      </c>
      <c r="H439" s="41">
        <v>1.9844222476170396E-2</v>
      </c>
      <c r="I439" s="40">
        <f t="shared" si="62"/>
        <v>181.34607251565947</v>
      </c>
      <c r="J439" s="40">
        <f t="shared" si="62"/>
        <v>0</v>
      </c>
      <c r="K439" s="36">
        <v>0.26470354092560555</v>
      </c>
      <c r="L439" s="42">
        <f t="shared" ref="L439:M454" si="69">L438</f>
        <v>19991.322604477216</v>
      </c>
      <c r="M439" s="42">
        <f t="shared" si="69"/>
        <v>0</v>
      </c>
      <c r="N439" s="42">
        <f t="shared" si="63"/>
        <v>5291.7738811912186</v>
      </c>
      <c r="O439" s="36">
        <v>6.8435338012021241</v>
      </c>
      <c r="P439" s="42">
        <f t="shared" si="64"/>
        <v>5114.9777826353129</v>
      </c>
      <c r="Q439" s="42"/>
      <c r="R439">
        <v>0.10415967284157841</v>
      </c>
      <c r="S439">
        <v>0.79451887569811086</v>
      </c>
    </row>
    <row r="440" spans="1:19" x14ac:dyDescent="0.25">
      <c r="A440" s="40">
        <f t="shared" si="65"/>
        <v>64.229676878151835</v>
      </c>
      <c r="B440" s="40">
        <f t="shared" si="65"/>
        <v>32.933286051621081</v>
      </c>
      <c r="C440" s="41">
        <f t="shared" si="60"/>
        <v>0.49289226185293716</v>
      </c>
      <c r="D440" s="41">
        <f t="shared" si="61"/>
        <v>0.98069361229543572</v>
      </c>
      <c r="E440" s="39">
        <f>IF(_xlfn.NORM.INV(R440,C440,'Regressão Grupo 2'!$B$7)&lt;=0,0,IF(_xlfn.NORM.INV(R440,C440,'Regressão Grupo 2'!$B$7)&gt;100%,100%,_xlfn.NORM.INV(R440,C440,'Regressão Grupo 2'!$B$7)))</f>
        <v>0.51572209937262181</v>
      </c>
      <c r="F440" s="39">
        <f>IF(_xlfn.NORM.INV(S440,D440,'Regressão Grupo 2'!$B$7)&lt;=0,0,IF(_xlfn.NORM.INV(S440,D440,'Regressão Grupo 2'!$B$7)&gt;100%,100%,_xlfn.NORM.INV(S440,D440,'Regressão Grupo 2'!$B$7)))</f>
        <v>0.96203597954850217</v>
      </c>
      <c r="G440" s="41">
        <v>4.2580406757775262E-3</v>
      </c>
      <c r="H440" s="41">
        <v>1.9192849361017141E-2</v>
      </c>
      <c r="I440" s="40">
        <f t="shared" si="62"/>
        <v>43.900258267790385</v>
      </c>
      <c r="J440" s="40">
        <f t="shared" si="62"/>
        <v>0</v>
      </c>
      <c r="K440" s="36">
        <v>0.42154816899002062</v>
      </c>
      <c r="L440" s="42">
        <f t="shared" si="69"/>
        <v>19991.322604477216</v>
      </c>
      <c r="M440" s="42">
        <f t="shared" si="69"/>
        <v>0</v>
      </c>
      <c r="N440" s="42">
        <f t="shared" si="63"/>
        <v>8427.3054396061816</v>
      </c>
      <c r="O440" s="36">
        <v>6.4935030154377227</v>
      </c>
      <c r="P440" s="42">
        <f t="shared" si="64"/>
        <v>-5892.6724956389826</v>
      </c>
      <c r="Q440" s="42"/>
      <c r="R440">
        <v>0.56556901760917999</v>
      </c>
      <c r="S440">
        <v>0.44633320108645896</v>
      </c>
    </row>
    <row r="441" spans="1:19" x14ac:dyDescent="0.25">
      <c r="A441" s="40">
        <f t="shared" si="65"/>
        <v>64.229676878151835</v>
      </c>
      <c r="B441" s="40">
        <f t="shared" si="65"/>
        <v>32.933286051621081</v>
      </c>
      <c r="C441" s="41">
        <f t="shared" si="60"/>
        <v>0.49289226185293716</v>
      </c>
      <c r="D441" s="41">
        <f t="shared" si="61"/>
        <v>0.98069361229543572</v>
      </c>
      <c r="E441" s="39">
        <f>IF(_xlfn.NORM.INV(R441,C441,'Regressão Grupo 2'!$B$7)&lt;=0,0,IF(_xlfn.NORM.INV(R441,C441,'Regressão Grupo 2'!$B$7)&gt;100%,100%,_xlfn.NORM.INV(R441,C441,'Regressão Grupo 2'!$B$7)))</f>
        <v>0.51429712498068947</v>
      </c>
      <c r="F441" s="39">
        <f>IF(_xlfn.NORM.INV(S441,D441,'Regressão Grupo 2'!$B$7)&lt;=0,0,IF(_xlfn.NORM.INV(S441,D441,'Regressão Grupo 2'!$B$7)&gt;100%,100%,_xlfn.NORM.INV(S441,D441,'Regressão Grupo 2'!$B$7)))</f>
        <v>0.95474804665968349</v>
      </c>
      <c r="G441" s="41">
        <v>1.8785413677238887E-2</v>
      </c>
      <c r="H441" s="41">
        <v>2.5350749623824956E-2</v>
      </c>
      <c r="I441" s="40">
        <f t="shared" si="62"/>
        <v>193.14185013087896</v>
      </c>
      <c r="J441" s="40">
        <f t="shared" si="62"/>
        <v>0</v>
      </c>
      <c r="K441" s="36">
        <v>0.1368659134353849</v>
      </c>
      <c r="L441" s="42">
        <f t="shared" si="69"/>
        <v>19991.322604477216</v>
      </c>
      <c r="M441" s="42">
        <f t="shared" si="69"/>
        <v>0</v>
      </c>
      <c r="N441" s="42">
        <f t="shared" si="63"/>
        <v>2736.1306290432321</v>
      </c>
      <c r="O441" s="36">
        <v>8.4053297870912775</v>
      </c>
      <c r="P441" s="42">
        <f t="shared" si="64"/>
        <v>8045.8870504725555</v>
      </c>
      <c r="Q441" s="42"/>
      <c r="R441">
        <v>0.56151005584887237</v>
      </c>
      <c r="S441">
        <v>0.42558061464278085</v>
      </c>
    </row>
    <row r="442" spans="1:19" x14ac:dyDescent="0.25">
      <c r="A442" s="40">
        <f t="shared" si="65"/>
        <v>64.229676878151835</v>
      </c>
      <c r="B442" s="40">
        <f t="shared" si="65"/>
        <v>32.933286051621081</v>
      </c>
      <c r="C442" s="41">
        <f t="shared" si="60"/>
        <v>0.49289226185293716</v>
      </c>
      <c r="D442" s="41">
        <f t="shared" si="61"/>
        <v>0.98069361229543572</v>
      </c>
      <c r="E442" s="39">
        <f>IF(_xlfn.NORM.INV(R442,C442,'Regressão Grupo 2'!$B$7)&lt;=0,0,IF(_xlfn.NORM.INV(R442,C442,'Regressão Grupo 2'!$B$7)&gt;100%,100%,_xlfn.NORM.INV(R442,C442,'Regressão Grupo 2'!$B$7)))</f>
        <v>0.40336783139246529</v>
      </c>
      <c r="F442" s="39">
        <f>IF(_xlfn.NORM.INV(S442,D442,'Regressão Grupo 2'!$B$7)&lt;=0,0,IF(_xlfn.NORM.INV(S442,D442,'Regressão Grupo 2'!$B$7)&gt;100%,100%,_xlfn.NORM.INV(S442,D442,'Regressão Grupo 2'!$B$7)))</f>
        <v>1</v>
      </c>
      <c r="G442" s="41">
        <v>2.3074843691445031E-2</v>
      </c>
      <c r="H442" s="41">
        <v>1.2773787467431989E-2</v>
      </c>
      <c r="I442" s="40">
        <f t="shared" si="62"/>
        <v>186.0722270332825</v>
      </c>
      <c r="J442" s="40">
        <f t="shared" si="62"/>
        <v>0</v>
      </c>
      <c r="K442" s="36">
        <v>0.17475348331156157</v>
      </c>
      <c r="L442" s="42">
        <f t="shared" si="69"/>
        <v>19991.322604477216</v>
      </c>
      <c r="M442" s="42">
        <f t="shared" si="69"/>
        <v>0</v>
      </c>
      <c r="N442" s="42">
        <f t="shared" si="63"/>
        <v>3493.5532611375529</v>
      </c>
      <c r="O442" s="36">
        <v>3.4830229976604588</v>
      </c>
      <c r="P442" s="42">
        <f t="shared" si="64"/>
        <v>7809.7119112254695</v>
      </c>
      <c r="Q442" s="42"/>
      <c r="R442">
        <v>0.25867488631855218</v>
      </c>
      <c r="S442">
        <v>0.82079531235694447</v>
      </c>
    </row>
    <row r="443" spans="1:19" x14ac:dyDescent="0.25">
      <c r="A443" s="40">
        <f t="shared" si="65"/>
        <v>64.229676878151835</v>
      </c>
      <c r="B443" s="40">
        <f t="shared" si="65"/>
        <v>32.933286051621081</v>
      </c>
      <c r="C443" s="41">
        <f t="shared" si="60"/>
        <v>0.49289226185293716</v>
      </c>
      <c r="D443" s="41">
        <f t="shared" si="61"/>
        <v>0.98069361229543572</v>
      </c>
      <c r="E443" s="39">
        <f>IF(_xlfn.NORM.INV(R443,C443,'Regressão Grupo 2'!$B$7)&lt;=0,0,IF(_xlfn.NORM.INV(R443,C443,'Regressão Grupo 2'!$B$7)&gt;100%,100%,_xlfn.NORM.INV(R443,C443,'Regressão Grupo 2'!$B$7)))</f>
        <v>0.47130538896915092</v>
      </c>
      <c r="F443" s="39">
        <f>IF(_xlfn.NORM.INV(S443,D443,'Regressão Grupo 2'!$B$7)&lt;=0,0,IF(_xlfn.NORM.INV(S443,D443,'Regressão Grupo 2'!$B$7)&gt;100%,100%,_xlfn.NORM.INV(S443,D443,'Regressão Grupo 2'!$B$7)))</f>
        <v>1</v>
      </c>
      <c r="G443" s="41">
        <v>1.3654405168101976E-2</v>
      </c>
      <c r="H443" s="41">
        <v>1.4371030508214852E-3</v>
      </c>
      <c r="I443" s="40">
        <f t="shared" si="62"/>
        <v>128.65205231239909</v>
      </c>
      <c r="J443" s="40">
        <f t="shared" si="62"/>
        <v>0</v>
      </c>
      <c r="K443" s="36">
        <v>0.34369452888950985</v>
      </c>
      <c r="L443" s="42">
        <f t="shared" si="69"/>
        <v>19991.322604477216</v>
      </c>
      <c r="M443" s="42">
        <f t="shared" si="69"/>
        <v>0</v>
      </c>
      <c r="N443" s="42">
        <f t="shared" si="63"/>
        <v>6870.9082044240058</v>
      </c>
      <c r="O443" s="36">
        <v>3.2074262842932724</v>
      </c>
      <c r="P443" s="42">
        <f t="shared" si="64"/>
        <v>979.72957119741295</v>
      </c>
      <c r="Q443" s="42"/>
      <c r="R443">
        <v>0.43797112949003569</v>
      </c>
      <c r="S443">
        <v>0.7125156407361064</v>
      </c>
    </row>
    <row r="444" spans="1:19" x14ac:dyDescent="0.25">
      <c r="A444" s="40">
        <f t="shared" si="65"/>
        <v>64.229676878151835</v>
      </c>
      <c r="B444" s="40">
        <f t="shared" si="65"/>
        <v>32.933286051621081</v>
      </c>
      <c r="C444" s="41">
        <f t="shared" si="60"/>
        <v>0.49289226185293716</v>
      </c>
      <c r="D444" s="41">
        <f t="shared" si="61"/>
        <v>0.98069361229543572</v>
      </c>
      <c r="E444" s="39">
        <f>IF(_xlfn.NORM.INV(R444,C444,'Regressão Grupo 2'!$B$7)&lt;=0,0,IF(_xlfn.NORM.INV(R444,C444,'Regressão Grupo 2'!$B$7)&gt;100%,100%,_xlfn.NORM.INV(R444,C444,'Regressão Grupo 2'!$B$7)))</f>
        <v>0.67071897202711417</v>
      </c>
      <c r="F444" s="39">
        <f>IF(_xlfn.NORM.INV(S444,D444,'Regressão Grupo 2'!$B$7)&lt;=0,0,IF(_xlfn.NORM.INV(S444,D444,'Regressão Grupo 2'!$B$7)&gt;100%,100%,_xlfn.NORM.INV(S444,D444,'Regressão Grupo 2'!$B$7)))</f>
        <v>1</v>
      </c>
      <c r="G444" s="41">
        <v>7.3436047154117057E-3</v>
      </c>
      <c r="H444" s="41">
        <v>1.8045038897757017E-2</v>
      </c>
      <c r="I444" s="40">
        <f t="shared" si="62"/>
        <v>98.467159645578249</v>
      </c>
      <c r="J444" s="40">
        <f t="shared" si="62"/>
        <v>0</v>
      </c>
      <c r="K444" s="36">
        <v>0.32208383320529471</v>
      </c>
      <c r="L444" s="42">
        <f t="shared" si="69"/>
        <v>19991.322604477216</v>
      </c>
      <c r="M444" s="42">
        <f t="shared" si="69"/>
        <v>0</v>
      </c>
      <c r="N444" s="42">
        <f t="shared" si="63"/>
        <v>6438.8818152936774</v>
      </c>
      <c r="O444" s="36">
        <v>5.0924245414274276</v>
      </c>
      <c r="P444" s="42">
        <f t="shared" si="64"/>
        <v>-615.8045484525901</v>
      </c>
      <c r="Q444" s="42"/>
      <c r="R444">
        <v>0.90078432569353317</v>
      </c>
      <c r="S444">
        <v>0.63002410962248601</v>
      </c>
    </row>
    <row r="445" spans="1:19" x14ac:dyDescent="0.25">
      <c r="A445" s="40">
        <f t="shared" si="65"/>
        <v>64.229676878151835</v>
      </c>
      <c r="B445" s="40">
        <f t="shared" si="65"/>
        <v>32.933286051621081</v>
      </c>
      <c r="C445" s="41">
        <f t="shared" si="60"/>
        <v>0.49289226185293716</v>
      </c>
      <c r="D445" s="41">
        <f t="shared" si="61"/>
        <v>0.98069361229543572</v>
      </c>
      <c r="E445" s="39">
        <f>IF(_xlfn.NORM.INV(R445,C445,'Regressão Grupo 2'!$B$7)&lt;=0,0,IF(_xlfn.NORM.INV(R445,C445,'Regressão Grupo 2'!$B$7)&gt;100%,100%,_xlfn.NORM.INV(R445,C445,'Regressão Grupo 2'!$B$7)))</f>
        <v>0.29033298787052164</v>
      </c>
      <c r="F445" s="39">
        <f>IF(_xlfn.NORM.INV(S445,D445,'Regressão Grupo 2'!$B$7)&lt;=0,0,IF(_xlfn.NORM.INV(S445,D445,'Regressão Grupo 2'!$B$7)&gt;100%,100%,_xlfn.NORM.INV(S445,D445,'Regressão Grupo 2'!$B$7)))</f>
        <v>1</v>
      </c>
      <c r="G445" s="41">
        <v>2.2759856330363371E-2</v>
      </c>
      <c r="H445" s="41">
        <v>1.7547819334657922E-2</v>
      </c>
      <c r="I445" s="40">
        <f t="shared" si="62"/>
        <v>132.101402154228</v>
      </c>
      <c r="J445" s="40">
        <f t="shared" si="62"/>
        <v>0</v>
      </c>
      <c r="K445" s="36">
        <v>0.21814705213952762</v>
      </c>
      <c r="L445" s="42">
        <f t="shared" si="69"/>
        <v>19991.322604477216</v>
      </c>
      <c r="M445" s="42">
        <f t="shared" si="69"/>
        <v>0</v>
      </c>
      <c r="N445" s="42">
        <f t="shared" si="63"/>
        <v>4361.0480945370082</v>
      </c>
      <c r="O445" s="36">
        <v>8.8259451025618301</v>
      </c>
      <c r="P445" s="42">
        <f t="shared" si="64"/>
        <v>2957.8625575951874</v>
      </c>
      <c r="Q445" s="42"/>
      <c r="R445">
        <v>7.1474349192785419E-2</v>
      </c>
      <c r="S445">
        <v>0.825678273873104</v>
      </c>
    </row>
    <row r="446" spans="1:19" x14ac:dyDescent="0.25">
      <c r="A446" s="40">
        <f t="shared" si="65"/>
        <v>64.229676878151835</v>
      </c>
      <c r="B446" s="40">
        <f t="shared" si="65"/>
        <v>32.933286051621081</v>
      </c>
      <c r="C446" s="41">
        <f t="shared" si="60"/>
        <v>0.49289226185293716</v>
      </c>
      <c r="D446" s="41">
        <f t="shared" si="61"/>
        <v>0.98069361229543572</v>
      </c>
      <c r="E446" s="39">
        <f>IF(_xlfn.NORM.INV(R446,C446,'Regressão Grupo 2'!$B$7)&lt;=0,0,IF(_xlfn.NORM.INV(R446,C446,'Regressão Grupo 2'!$B$7)&gt;100%,100%,_xlfn.NORM.INV(R446,C446,'Regressão Grupo 2'!$B$7)))</f>
        <v>0.6954515358353528</v>
      </c>
      <c r="F446" s="39">
        <f>IF(_xlfn.NORM.INV(S446,D446,'Regressão Grupo 2'!$B$7)&lt;=0,0,IF(_xlfn.NORM.INV(S446,D446,'Regressão Grupo 2'!$B$7)&gt;100%,100%,_xlfn.NORM.INV(S446,D446,'Regressão Grupo 2'!$B$7)))</f>
        <v>0.87422108777473151</v>
      </c>
      <c r="G446" s="41">
        <v>2.2501254186591674E-2</v>
      </c>
      <c r="H446" s="41">
        <v>1.7154798435860447E-2</v>
      </c>
      <c r="I446" s="40">
        <f t="shared" si="62"/>
        <v>312.83484714611109</v>
      </c>
      <c r="J446" s="40">
        <f t="shared" si="62"/>
        <v>0</v>
      </c>
      <c r="K446" s="36">
        <v>0.3654328588851109</v>
      </c>
      <c r="L446" s="42">
        <f t="shared" si="69"/>
        <v>19991.322604477216</v>
      </c>
      <c r="M446" s="42">
        <f t="shared" si="69"/>
        <v>0</v>
      </c>
      <c r="N446" s="42">
        <f t="shared" si="63"/>
        <v>7305.4861722486503</v>
      </c>
      <c r="O446" s="36">
        <v>3.2187755288604811</v>
      </c>
      <c r="P446" s="42">
        <f t="shared" si="64"/>
        <v>11780.849825603374</v>
      </c>
      <c r="Q446" s="42"/>
      <c r="R446">
        <v>0.92852565080721461</v>
      </c>
      <c r="S446">
        <v>0.2206488235114597</v>
      </c>
    </row>
    <row r="447" spans="1:19" x14ac:dyDescent="0.25">
      <c r="A447" s="40">
        <f t="shared" si="65"/>
        <v>64.229676878151835</v>
      </c>
      <c r="B447" s="40">
        <f t="shared" si="65"/>
        <v>32.933286051621081</v>
      </c>
      <c r="C447" s="41">
        <f t="shared" si="60"/>
        <v>0.49289226185293716</v>
      </c>
      <c r="D447" s="41">
        <f t="shared" si="61"/>
        <v>0.98069361229543572</v>
      </c>
      <c r="E447" s="39">
        <f>IF(_xlfn.NORM.INV(R447,C447,'Regressão Grupo 2'!$B$7)&lt;=0,0,IF(_xlfn.NORM.INV(R447,C447,'Regressão Grupo 2'!$B$7)&gt;100%,100%,_xlfn.NORM.INV(R447,C447,'Regressão Grupo 2'!$B$7)))</f>
        <v>0.72292574591229153</v>
      </c>
      <c r="F447" s="39">
        <f>IF(_xlfn.NORM.INV(S447,D447,'Regressão Grupo 2'!$B$7)&lt;=0,0,IF(_xlfn.NORM.INV(S447,D447,'Regressão Grupo 2'!$B$7)&gt;100%,100%,_xlfn.NORM.INV(S447,D447,'Regressão Grupo 2'!$B$7)))</f>
        <v>0.86728500536434772</v>
      </c>
      <c r="G447" s="41">
        <v>2.2766158187444267E-2</v>
      </c>
      <c r="H447" s="41">
        <v>2.0079127384868636E-2</v>
      </c>
      <c r="I447" s="40">
        <f t="shared" si="62"/>
        <v>329.02202310982506</v>
      </c>
      <c r="J447" s="40">
        <f t="shared" si="62"/>
        <v>0</v>
      </c>
      <c r="K447" s="36">
        <v>0.24378930259462772</v>
      </c>
      <c r="L447" s="42">
        <f t="shared" si="69"/>
        <v>19991.322604477216</v>
      </c>
      <c r="M447" s="42">
        <f t="shared" si="69"/>
        <v>0</v>
      </c>
      <c r="N447" s="42">
        <f t="shared" si="63"/>
        <v>4873.6705956897176</v>
      </c>
      <c r="O447" s="36">
        <v>8.3767243326741756</v>
      </c>
      <c r="P447" s="42">
        <f t="shared" si="64"/>
        <v>13503.180847480398</v>
      </c>
      <c r="Q447" s="42"/>
      <c r="R447">
        <v>0.95190282906582846</v>
      </c>
      <c r="S447">
        <v>0.20606097598193304</v>
      </c>
    </row>
    <row r="448" spans="1:19" x14ac:dyDescent="0.25">
      <c r="A448" s="40">
        <f t="shared" si="65"/>
        <v>64.229676878151835</v>
      </c>
      <c r="B448" s="40">
        <f t="shared" si="65"/>
        <v>32.933286051621081</v>
      </c>
      <c r="C448" s="41">
        <f t="shared" si="60"/>
        <v>0.49289226185293716</v>
      </c>
      <c r="D448" s="41">
        <f t="shared" si="61"/>
        <v>0.98069361229543572</v>
      </c>
      <c r="E448" s="39">
        <f>IF(_xlfn.NORM.INV(R448,C448,'Regressão Grupo 2'!$B$7)&lt;=0,0,IF(_xlfn.NORM.INV(R448,C448,'Regressão Grupo 2'!$B$7)&gt;100%,100%,_xlfn.NORM.INV(R448,C448,'Regressão Grupo 2'!$B$7)))</f>
        <v>0.60288532165700603</v>
      </c>
      <c r="F448" s="39">
        <f>IF(_xlfn.NORM.INV(S448,D448,'Regressão Grupo 2'!$B$7)&lt;=0,0,IF(_xlfn.NORM.INV(S448,D448,'Regressão Grupo 2'!$B$7)&gt;100%,100%,_xlfn.NORM.INV(S448,D448,'Regressão Grupo 2'!$B$7)))</f>
        <v>0.96461613074690045</v>
      </c>
      <c r="G448" s="41">
        <v>2.3108850719648917E-2</v>
      </c>
      <c r="H448" s="41">
        <v>2.2297594657298397E-2</v>
      </c>
      <c r="I448" s="40">
        <f t="shared" si="62"/>
        <v>278.51884462404252</v>
      </c>
      <c r="J448" s="40">
        <f t="shared" si="62"/>
        <v>0</v>
      </c>
      <c r="K448" s="36">
        <v>0.29193341586787064</v>
      </c>
      <c r="L448" s="42">
        <f t="shared" si="69"/>
        <v>19991.322604477216</v>
      </c>
      <c r="M448" s="42">
        <f t="shared" si="69"/>
        <v>0</v>
      </c>
      <c r="N448" s="42">
        <f t="shared" si="63"/>
        <v>5836.13509564161</v>
      </c>
      <c r="O448" s="36">
        <v>5.7254340806914987</v>
      </c>
      <c r="P448" s="42">
        <f t="shared" si="64"/>
        <v>10458.399013911503</v>
      </c>
      <c r="Q448" s="42"/>
      <c r="R448">
        <v>0.78682821131015956</v>
      </c>
      <c r="S448">
        <v>0.45371868037965024</v>
      </c>
    </row>
    <row r="449" spans="1:19" x14ac:dyDescent="0.25">
      <c r="A449" s="40">
        <f t="shared" si="65"/>
        <v>64.229676878151835</v>
      </c>
      <c r="B449" s="40">
        <f t="shared" si="65"/>
        <v>32.933286051621081</v>
      </c>
      <c r="C449" s="41">
        <f t="shared" si="60"/>
        <v>0.49289226185293716</v>
      </c>
      <c r="D449" s="41">
        <f t="shared" si="61"/>
        <v>0.98069361229543572</v>
      </c>
      <c r="E449" s="39">
        <f>IF(_xlfn.NORM.INV(R449,C449,'Regressão Grupo 2'!$B$7)&lt;=0,0,IF(_xlfn.NORM.INV(R449,C449,'Regressão Grupo 2'!$B$7)&gt;100%,100%,_xlfn.NORM.INV(R449,C449,'Regressão Grupo 2'!$B$7)))</f>
        <v>0.46094547880251063</v>
      </c>
      <c r="F449" s="39">
        <f>IF(_xlfn.NORM.INV(S449,D449,'Regressão Grupo 2'!$B$7)&lt;=0,0,IF(_xlfn.NORM.INV(S449,D449,'Regressão Grupo 2'!$B$7)&gt;100%,100%,_xlfn.NORM.INV(S449,D449,'Regressão Grupo 2'!$B$7)))</f>
        <v>1</v>
      </c>
      <c r="G449" s="41">
        <v>2.1757305215112096E-2</v>
      </c>
      <c r="H449" s="41">
        <v>1.1153793641556185E-2</v>
      </c>
      <c r="I449" s="40">
        <f t="shared" si="62"/>
        <v>200.49160439160951</v>
      </c>
      <c r="J449" s="40">
        <f t="shared" si="62"/>
        <v>0</v>
      </c>
      <c r="K449" s="36">
        <v>0.47091835242550772</v>
      </c>
      <c r="L449" s="42">
        <f t="shared" si="69"/>
        <v>19991.322604477216</v>
      </c>
      <c r="M449" s="42">
        <f t="shared" si="69"/>
        <v>0</v>
      </c>
      <c r="N449" s="42">
        <f t="shared" si="63"/>
        <v>9414.2807037072216</v>
      </c>
      <c r="O449" s="36">
        <v>3.6176024194922873</v>
      </c>
      <c r="P449" s="42">
        <f t="shared" si="64"/>
        <v>2737.9313500131284</v>
      </c>
      <c r="Q449" s="42"/>
      <c r="R449">
        <v>0.40864284188360239</v>
      </c>
      <c r="S449">
        <v>0.6276131473738823</v>
      </c>
    </row>
    <row r="450" spans="1:19" x14ac:dyDescent="0.25">
      <c r="A450" s="40">
        <f t="shared" si="65"/>
        <v>64.229676878151835</v>
      </c>
      <c r="B450" s="40">
        <f t="shared" si="65"/>
        <v>32.933286051621081</v>
      </c>
      <c r="C450" s="41">
        <f t="shared" si="60"/>
        <v>0.49289226185293716</v>
      </c>
      <c r="D450" s="41">
        <f t="shared" si="61"/>
        <v>0.98069361229543572</v>
      </c>
      <c r="E450" s="39">
        <f>IF(_xlfn.NORM.INV(R450,C450,'Regressão Grupo 2'!$B$7)&lt;=0,0,IF(_xlfn.NORM.INV(R450,C450,'Regressão Grupo 2'!$B$7)&gt;100%,100%,_xlfn.NORM.INV(R450,C450,'Regressão Grupo 2'!$B$7)))</f>
        <v>0.44606757953444726</v>
      </c>
      <c r="F450" s="39">
        <f>IF(_xlfn.NORM.INV(S450,D450,'Regressão Grupo 2'!$B$7)&lt;=0,0,IF(_xlfn.NORM.INV(S450,D450,'Regressão Grupo 2'!$B$7)&gt;100%,100%,_xlfn.NORM.INV(S450,D450,'Regressão Grupo 2'!$B$7)))</f>
        <v>0.98552338871033496</v>
      </c>
      <c r="G450" s="41">
        <v>1.8969720906731782E-2</v>
      </c>
      <c r="H450" s="41">
        <v>1.9646430093136779E-2</v>
      </c>
      <c r="I450" s="40">
        <f t="shared" si="62"/>
        <v>169.16212359609639</v>
      </c>
      <c r="J450" s="40">
        <f t="shared" si="62"/>
        <v>0</v>
      </c>
      <c r="K450" s="36">
        <v>0.22403450984039747</v>
      </c>
      <c r="L450" s="42">
        <f t="shared" si="69"/>
        <v>19991.322604477216</v>
      </c>
      <c r="M450" s="42">
        <f t="shared" si="69"/>
        <v>0</v>
      </c>
      <c r="N450" s="42">
        <f t="shared" si="63"/>
        <v>4478.7461607553114</v>
      </c>
      <c r="O450" s="36">
        <v>8.913807659500268</v>
      </c>
      <c r="P450" s="42">
        <f t="shared" si="64"/>
        <v>4878.6037448357301</v>
      </c>
      <c r="Q450" s="42"/>
      <c r="R450">
        <v>0.36744285409100619</v>
      </c>
      <c r="S450">
        <v>0.51393169957579277</v>
      </c>
    </row>
    <row r="451" spans="1:19" x14ac:dyDescent="0.25">
      <c r="A451" s="40">
        <f t="shared" si="65"/>
        <v>64.229676878151835</v>
      </c>
      <c r="B451" s="40">
        <f t="shared" si="65"/>
        <v>32.933286051621081</v>
      </c>
      <c r="C451" s="41">
        <f t="shared" si="60"/>
        <v>0.49289226185293716</v>
      </c>
      <c r="D451" s="41">
        <f t="shared" si="61"/>
        <v>0.98069361229543572</v>
      </c>
      <c r="E451" s="39">
        <f>IF(_xlfn.NORM.INV(R451,C451,'Regressão Grupo 2'!$B$7)&lt;=0,0,IF(_xlfn.NORM.INV(R451,C451,'Regressão Grupo 2'!$B$7)&gt;100%,100%,_xlfn.NORM.INV(R451,C451,'Regressão Grupo 2'!$B$7)))</f>
        <v>0.61334917983291826</v>
      </c>
      <c r="F451" s="39">
        <f>IF(_xlfn.NORM.INV(S451,D451,'Regressão Grupo 2'!$B$7)&lt;=0,0,IF(_xlfn.NORM.INV(S451,D451,'Regressão Grupo 2'!$B$7)&gt;100%,100%,_xlfn.NORM.INV(S451,D451,'Regressão Grupo 2'!$B$7)))</f>
        <v>1</v>
      </c>
      <c r="G451" s="41">
        <v>5.8845194129827838E-3</v>
      </c>
      <c r="H451" s="41">
        <v>2.9111029706483667E-2</v>
      </c>
      <c r="I451" s="40">
        <f t="shared" si="62"/>
        <v>72.153984091975218</v>
      </c>
      <c r="J451" s="40">
        <f t="shared" si="62"/>
        <v>0</v>
      </c>
      <c r="K451" s="36">
        <v>0.37518828267059678</v>
      </c>
      <c r="L451" s="42">
        <f t="shared" si="69"/>
        <v>19991.322604477216</v>
      </c>
      <c r="M451" s="42">
        <f t="shared" si="69"/>
        <v>0</v>
      </c>
      <c r="N451" s="42">
        <f t="shared" si="63"/>
        <v>7500.5099962876893</v>
      </c>
      <c r="O451" s="36">
        <v>9.8462297895554691</v>
      </c>
      <c r="P451" s="42">
        <f t="shared" si="64"/>
        <v>-3576.5276201903307</v>
      </c>
      <c r="Q451" s="42"/>
      <c r="R451">
        <v>0.80816064943388166</v>
      </c>
      <c r="S451">
        <v>0.72985015411847287</v>
      </c>
    </row>
    <row r="452" spans="1:19" x14ac:dyDescent="0.25">
      <c r="A452" s="40">
        <f t="shared" si="65"/>
        <v>64.229676878151835</v>
      </c>
      <c r="B452" s="40">
        <f t="shared" si="65"/>
        <v>32.933286051621081</v>
      </c>
      <c r="C452" s="41">
        <f t="shared" si="60"/>
        <v>0.49289226185293716</v>
      </c>
      <c r="D452" s="41">
        <f t="shared" si="61"/>
        <v>0.98069361229543572</v>
      </c>
      <c r="E452" s="39">
        <f>IF(_xlfn.NORM.INV(R452,C452,'Regressão Grupo 2'!$B$7)&lt;=0,0,IF(_xlfn.NORM.INV(R452,C452,'Regressão Grupo 2'!$B$7)&gt;100%,100%,_xlfn.NORM.INV(R452,C452,'Regressão Grupo 2'!$B$7)))</f>
        <v>0.24306480053148999</v>
      </c>
      <c r="F452" s="39">
        <f>IF(_xlfn.NORM.INV(S452,D452,'Regressão Grupo 2'!$B$7)&lt;=0,0,IF(_xlfn.NORM.INV(S452,D452,'Regressão Grupo 2'!$B$7)&gt;100%,100%,_xlfn.NORM.INV(S452,D452,'Regressão Grupo 2'!$B$7)))</f>
        <v>1</v>
      </c>
      <c r="G452" s="41">
        <v>1.7914506057458431E-2</v>
      </c>
      <c r="H452" s="41">
        <v>2.0882932256783969E-2</v>
      </c>
      <c r="I452" s="40">
        <f t="shared" si="62"/>
        <v>87.049932101320749</v>
      </c>
      <c r="J452" s="40">
        <f t="shared" si="62"/>
        <v>0</v>
      </c>
      <c r="K452" s="36">
        <v>0.26119504894197515</v>
      </c>
      <c r="L452" s="42">
        <f t="shared" si="69"/>
        <v>19991.322604477216</v>
      </c>
      <c r="M452" s="42">
        <f t="shared" si="69"/>
        <v>0</v>
      </c>
      <c r="N452" s="42">
        <f t="shared" si="63"/>
        <v>5221.6344860912404</v>
      </c>
      <c r="O452" s="36">
        <v>8.1766809654072468</v>
      </c>
      <c r="P452" s="42">
        <f t="shared" si="64"/>
        <v>-342.22499781121496</v>
      </c>
      <c r="Q452" s="42"/>
      <c r="R452">
        <v>3.5401470992156743E-2</v>
      </c>
      <c r="S452">
        <v>0.95507675405133208</v>
      </c>
    </row>
    <row r="453" spans="1:19" x14ac:dyDescent="0.25">
      <c r="A453" s="40">
        <f t="shared" si="65"/>
        <v>64.229676878151835</v>
      </c>
      <c r="B453" s="40">
        <f t="shared" si="65"/>
        <v>32.933286051621081</v>
      </c>
      <c r="C453" s="41">
        <f t="shared" si="60"/>
        <v>0.49289226185293716</v>
      </c>
      <c r="D453" s="41">
        <f t="shared" si="61"/>
        <v>0.98069361229543572</v>
      </c>
      <c r="E453" s="39">
        <f>IF(_xlfn.NORM.INV(R453,C453,'Regressão Grupo 2'!$B$7)&lt;=0,0,IF(_xlfn.NORM.INV(R453,C453,'Regressão Grupo 2'!$B$7)&gt;100%,100%,_xlfn.NORM.INV(R453,C453,'Regressão Grupo 2'!$B$7)))</f>
        <v>0.25423346651409079</v>
      </c>
      <c r="F453" s="39">
        <f>IF(_xlfn.NORM.INV(S453,D453,'Regressão Grupo 2'!$B$7)&lt;=0,0,IF(_xlfn.NORM.INV(S453,D453,'Regressão Grupo 2'!$B$7)&gt;100%,100%,_xlfn.NORM.INV(S453,D453,'Regressão Grupo 2'!$B$7)))</f>
        <v>1</v>
      </c>
      <c r="G453" s="41">
        <v>1.9145483529178366E-2</v>
      </c>
      <c r="H453" s="41">
        <v>1.1764613621013375E-2</v>
      </c>
      <c r="I453" s="40">
        <f t="shared" si="62"/>
        <v>97.306216362755507</v>
      </c>
      <c r="J453" s="40">
        <f t="shared" si="62"/>
        <v>0</v>
      </c>
      <c r="K453" s="36">
        <v>0.2809581775083434</v>
      </c>
      <c r="L453" s="42">
        <f t="shared" si="69"/>
        <v>19991.322604477216</v>
      </c>
      <c r="M453" s="42">
        <f t="shared" si="69"/>
        <v>0</v>
      </c>
      <c r="N453" s="42">
        <f t="shared" si="63"/>
        <v>5616.7255649352674</v>
      </c>
      <c r="O453" s="36">
        <v>5.7665582264656674</v>
      </c>
      <c r="P453" s="42">
        <f t="shared" si="64"/>
        <v>72.099307827154007</v>
      </c>
      <c r="Q453" s="42"/>
      <c r="R453">
        <v>4.2176580095828121E-2</v>
      </c>
      <c r="S453">
        <v>0.67781609546189769</v>
      </c>
    </row>
    <row r="454" spans="1:19" x14ac:dyDescent="0.25">
      <c r="A454" s="40">
        <f t="shared" si="65"/>
        <v>64.229676878151835</v>
      </c>
      <c r="B454" s="40">
        <f t="shared" si="65"/>
        <v>32.933286051621081</v>
      </c>
      <c r="C454" s="41">
        <f t="shared" ref="C454:C517" si="70">-0.007*A454 + 0.9425</f>
        <v>0.49289226185293716</v>
      </c>
      <c r="D454" s="41">
        <f t="shared" ref="D454:D517" si="71">-0.0059*B454+1.175</f>
        <v>0.98069361229543572</v>
      </c>
      <c r="E454" s="39">
        <f>IF(_xlfn.NORM.INV(R454,C454,'Regressão Grupo 2'!$B$7)&lt;=0,0,IF(_xlfn.NORM.INV(R454,C454,'Regressão Grupo 2'!$B$7)&gt;100%,100%,_xlfn.NORM.INV(R454,C454,'Regressão Grupo 2'!$B$7)))</f>
        <v>0.41011122972532654</v>
      </c>
      <c r="F454" s="39">
        <f>IF(_xlfn.NORM.INV(S454,D454,'Regressão Grupo 2'!$B$7)&lt;=0,0,IF(_xlfn.NORM.INV(S454,D454,'Regressão Grupo 2'!$B$7)&gt;100%,100%,_xlfn.NORM.INV(S454,D454,'Regressão Grupo 2'!$B$7)))</f>
        <v>1</v>
      </c>
      <c r="G454" s="41">
        <v>2.2379247472630766E-2</v>
      </c>
      <c r="H454" s="41">
        <v>1.350201533427531E-2</v>
      </c>
      <c r="I454" s="40">
        <f t="shared" ref="I454:J517" si="72">IF(E454*G454*L454&gt;0,E454*G454*L454,0)</f>
        <v>183.47997305791429</v>
      </c>
      <c r="J454" s="40">
        <f t="shared" si="72"/>
        <v>0</v>
      </c>
      <c r="K454" s="36">
        <v>0.35325766528521363</v>
      </c>
      <c r="L454" s="42">
        <f t="shared" si="69"/>
        <v>19991.322604477216</v>
      </c>
      <c r="M454" s="42">
        <f t="shared" si="69"/>
        <v>0</v>
      </c>
      <c r="N454" s="42">
        <f t="shared" ref="N454:N517" si="73">(L454+M454)*K454</f>
        <v>7062.0879492211379</v>
      </c>
      <c r="O454" s="36">
        <v>6.6939860897253451</v>
      </c>
      <c r="P454" s="42">
        <f t="shared" ref="P454:P517" si="74">SUMPRODUCT(A454:B454,I454:J454)-SUM(I454:J454)*O454-N454</f>
        <v>3494.5590465078412</v>
      </c>
      <c r="Q454" s="42"/>
      <c r="R454">
        <v>0.27469710379345075</v>
      </c>
      <c r="S454">
        <v>0.88821069978942224</v>
      </c>
    </row>
    <row r="455" spans="1:19" x14ac:dyDescent="0.25">
      <c r="A455" s="40">
        <f t="shared" ref="A455:B518" si="75">A454</f>
        <v>64.229676878151835</v>
      </c>
      <c r="B455" s="40">
        <f t="shared" si="75"/>
        <v>32.933286051621081</v>
      </c>
      <c r="C455" s="41">
        <f t="shared" si="70"/>
        <v>0.49289226185293716</v>
      </c>
      <c r="D455" s="41">
        <f t="shared" si="71"/>
        <v>0.98069361229543572</v>
      </c>
      <c r="E455" s="39">
        <f>IF(_xlfn.NORM.INV(R455,C455,'Regressão Grupo 2'!$B$7)&lt;=0,0,IF(_xlfn.NORM.INV(R455,C455,'Regressão Grupo 2'!$B$7)&gt;100%,100%,_xlfn.NORM.INV(R455,C455,'Regressão Grupo 2'!$B$7)))</f>
        <v>0.52384038383954135</v>
      </c>
      <c r="F455" s="39">
        <f>IF(_xlfn.NORM.INV(S455,D455,'Regressão Grupo 2'!$B$7)&lt;=0,0,IF(_xlfn.NORM.INV(S455,D455,'Regressão Grupo 2'!$B$7)&gt;100%,100%,_xlfn.NORM.INV(S455,D455,'Regressão Grupo 2'!$B$7)))</f>
        <v>0.80727437345817088</v>
      </c>
      <c r="G455" s="41">
        <v>5.1322865673938236E-3</v>
      </c>
      <c r="H455" s="41">
        <v>2.5839615948963616E-2</v>
      </c>
      <c r="I455" s="40">
        <f t="shared" si="72"/>
        <v>53.746650139876358</v>
      </c>
      <c r="J455" s="40">
        <f t="shared" si="72"/>
        <v>0</v>
      </c>
      <c r="K455" s="36">
        <v>0.38671668745142762</v>
      </c>
      <c r="L455" s="42">
        <f t="shared" ref="L455:M470" si="76">L454</f>
        <v>19991.322604477216</v>
      </c>
      <c r="M455" s="42">
        <f t="shared" si="76"/>
        <v>0</v>
      </c>
      <c r="N455" s="42">
        <f t="shared" si="73"/>
        <v>7730.9780553762757</v>
      </c>
      <c r="O455" s="36">
        <v>5.2568158761582255</v>
      </c>
      <c r="P455" s="42">
        <f t="shared" si="74"/>
        <v>-4561.3843273545663</v>
      </c>
      <c r="Q455" s="42"/>
      <c r="R455">
        <v>0.58854945524460589</v>
      </c>
      <c r="S455">
        <v>0.10489211706900235</v>
      </c>
    </row>
    <row r="456" spans="1:19" x14ac:dyDescent="0.25">
      <c r="A456" s="40">
        <f t="shared" si="75"/>
        <v>64.229676878151835</v>
      </c>
      <c r="B456" s="40">
        <f t="shared" si="75"/>
        <v>32.933286051621081</v>
      </c>
      <c r="C456" s="41">
        <f t="shared" si="70"/>
        <v>0.49289226185293716</v>
      </c>
      <c r="D456" s="41">
        <f t="shared" si="71"/>
        <v>0.98069361229543572</v>
      </c>
      <c r="E456" s="39">
        <f>IF(_xlfn.NORM.INV(R456,C456,'Regressão Grupo 2'!$B$7)&lt;=0,0,IF(_xlfn.NORM.INV(R456,C456,'Regressão Grupo 2'!$B$7)&gt;100%,100%,_xlfn.NORM.INV(R456,C456,'Regressão Grupo 2'!$B$7)))</f>
        <v>0.48743795931227318</v>
      </c>
      <c r="F456" s="39">
        <f>IF(_xlfn.NORM.INV(S456,D456,'Regressão Grupo 2'!$B$7)&lt;=0,0,IF(_xlfn.NORM.INV(S456,D456,'Regressão Grupo 2'!$B$7)&gt;100%,100%,_xlfn.NORM.INV(S456,D456,'Regressão Grupo 2'!$B$7)))</f>
        <v>1</v>
      </c>
      <c r="G456" s="41">
        <v>2.203633751304904E-2</v>
      </c>
      <c r="H456" s="41">
        <v>1.5466846002095351E-2</v>
      </c>
      <c r="I456" s="40">
        <f t="shared" si="72"/>
        <v>214.73374084180838</v>
      </c>
      <c r="J456" s="40">
        <f t="shared" si="72"/>
        <v>0</v>
      </c>
      <c r="K456" s="36">
        <v>0.41654797741122318</v>
      </c>
      <c r="L456" s="42">
        <f t="shared" si="76"/>
        <v>19991.322604477216</v>
      </c>
      <c r="M456" s="42">
        <f t="shared" si="76"/>
        <v>0</v>
      </c>
      <c r="N456" s="42">
        <f t="shared" si="73"/>
        <v>8327.3449966702501</v>
      </c>
      <c r="O456" s="36">
        <v>5.585972575511855</v>
      </c>
      <c r="P456" s="42">
        <f t="shared" si="74"/>
        <v>4265.4370050564867</v>
      </c>
      <c r="Q456" s="42"/>
      <c r="R456">
        <v>0.48426770836512345</v>
      </c>
      <c r="S456">
        <v>0.71861934263130589</v>
      </c>
    </row>
    <row r="457" spans="1:19" x14ac:dyDescent="0.25">
      <c r="A457" s="40">
        <f t="shared" si="75"/>
        <v>64.229676878151835</v>
      </c>
      <c r="B457" s="40">
        <f t="shared" si="75"/>
        <v>32.933286051621081</v>
      </c>
      <c r="C457" s="41">
        <f t="shared" si="70"/>
        <v>0.49289226185293716</v>
      </c>
      <c r="D457" s="41">
        <f t="shared" si="71"/>
        <v>0.98069361229543572</v>
      </c>
      <c r="E457" s="39">
        <f>IF(_xlfn.NORM.INV(R457,C457,'Regressão Grupo 2'!$B$7)&lt;=0,0,IF(_xlfn.NORM.INV(R457,C457,'Regressão Grupo 2'!$B$7)&gt;100%,100%,_xlfn.NORM.INV(R457,C457,'Regressão Grupo 2'!$B$7)))</f>
        <v>0.6922283190764873</v>
      </c>
      <c r="F457" s="39">
        <f>IF(_xlfn.NORM.INV(S457,D457,'Regressão Grupo 2'!$B$7)&lt;=0,0,IF(_xlfn.NORM.INV(S457,D457,'Regressão Grupo 2'!$B$7)&gt;100%,100%,_xlfn.NORM.INV(S457,D457,'Regressão Grupo 2'!$B$7)))</f>
        <v>1</v>
      </c>
      <c r="G457" s="41">
        <v>1.2283235287544603E-2</v>
      </c>
      <c r="H457" s="41">
        <v>1.4014722405908904E-2</v>
      </c>
      <c r="I457" s="40">
        <f t="shared" si="72"/>
        <v>169.9822841309352</v>
      </c>
      <c r="J457" s="40">
        <f t="shared" si="72"/>
        <v>0</v>
      </c>
      <c r="K457" s="36">
        <v>0.47562336853792164</v>
      </c>
      <c r="L457" s="42">
        <f t="shared" si="76"/>
        <v>19991.322604477216</v>
      </c>
      <c r="M457" s="42">
        <f t="shared" si="76"/>
        <v>0</v>
      </c>
      <c r="N457" s="42">
        <f t="shared" si="73"/>
        <v>9508.34019866975</v>
      </c>
      <c r="O457" s="36">
        <v>4.9436135387985605</v>
      </c>
      <c r="P457" s="42">
        <f t="shared" si="74"/>
        <v>569.24026488482014</v>
      </c>
      <c r="Q457" s="42"/>
      <c r="R457">
        <v>0.92529068880275889</v>
      </c>
      <c r="S457">
        <v>0.99557481612598042</v>
      </c>
    </row>
    <row r="458" spans="1:19" x14ac:dyDescent="0.25">
      <c r="A458" s="40">
        <f t="shared" si="75"/>
        <v>64.229676878151835</v>
      </c>
      <c r="B458" s="40">
        <f t="shared" si="75"/>
        <v>32.933286051621081</v>
      </c>
      <c r="C458" s="41">
        <f t="shared" si="70"/>
        <v>0.49289226185293716</v>
      </c>
      <c r="D458" s="41">
        <f t="shared" si="71"/>
        <v>0.98069361229543572</v>
      </c>
      <c r="E458" s="39">
        <f>IF(_xlfn.NORM.INV(R458,C458,'Regressão Grupo 2'!$B$7)&lt;=0,0,IF(_xlfn.NORM.INV(R458,C458,'Regressão Grupo 2'!$B$7)&gt;100%,100%,_xlfn.NORM.INV(R458,C458,'Regressão Grupo 2'!$B$7)))</f>
        <v>0.72819741741912791</v>
      </c>
      <c r="F458" s="39">
        <f>IF(_xlfn.NORM.INV(S458,D458,'Regressão Grupo 2'!$B$7)&lt;=0,0,IF(_xlfn.NORM.INV(S458,D458,'Regressão Grupo 2'!$B$7)&gt;100%,100%,_xlfn.NORM.INV(S458,D458,'Regressão Grupo 2'!$B$7)))</f>
        <v>0.92282087474062002</v>
      </c>
      <c r="G458" s="41">
        <v>2.5125753974532296E-2</v>
      </c>
      <c r="H458" s="41">
        <v>1.550314345325063E-2</v>
      </c>
      <c r="I458" s="40">
        <f t="shared" si="72"/>
        <v>365.77141705263227</v>
      </c>
      <c r="J458" s="40">
        <f t="shared" si="72"/>
        <v>0</v>
      </c>
      <c r="K458" s="36">
        <v>0.34337395714500402</v>
      </c>
      <c r="L458" s="42">
        <f t="shared" si="76"/>
        <v>19991.322604477216</v>
      </c>
      <c r="M458" s="42">
        <f t="shared" si="76"/>
        <v>0</v>
      </c>
      <c r="N458" s="42">
        <f t="shared" si="73"/>
        <v>6864.4995512617097</v>
      </c>
      <c r="O458" s="36">
        <v>5.7447836768542189</v>
      </c>
      <c r="P458" s="42">
        <f t="shared" si="74"/>
        <v>14527.602711148778</v>
      </c>
      <c r="Q458" s="42"/>
      <c r="R458">
        <v>0.95559556871242413</v>
      </c>
      <c r="S458">
        <v>0.33777886288033693</v>
      </c>
    </row>
    <row r="459" spans="1:19" x14ac:dyDescent="0.25">
      <c r="A459" s="40">
        <f t="shared" si="75"/>
        <v>64.229676878151835</v>
      </c>
      <c r="B459" s="40">
        <f t="shared" si="75"/>
        <v>32.933286051621081</v>
      </c>
      <c r="C459" s="41">
        <f t="shared" si="70"/>
        <v>0.49289226185293716</v>
      </c>
      <c r="D459" s="41">
        <f t="shared" si="71"/>
        <v>0.98069361229543572</v>
      </c>
      <c r="E459" s="39">
        <f>IF(_xlfn.NORM.INV(R459,C459,'Regressão Grupo 2'!$B$7)&lt;=0,0,IF(_xlfn.NORM.INV(R459,C459,'Regressão Grupo 2'!$B$7)&gt;100%,100%,_xlfn.NORM.INV(R459,C459,'Regressão Grupo 2'!$B$7)))</f>
        <v>0.52065953701204215</v>
      </c>
      <c r="F459" s="39">
        <f>IF(_xlfn.NORM.INV(S459,D459,'Regressão Grupo 2'!$B$7)&lt;=0,0,IF(_xlfn.NORM.INV(S459,D459,'Regressão Grupo 2'!$B$7)&gt;100%,100%,_xlfn.NORM.INV(S459,D459,'Regressão Grupo 2'!$B$7)))</f>
        <v>1</v>
      </c>
      <c r="G459" s="41">
        <v>9.6276495618354448E-3</v>
      </c>
      <c r="H459" s="41">
        <v>1.2203175660637529E-2</v>
      </c>
      <c r="I459" s="40">
        <f t="shared" si="72"/>
        <v>100.21105384787326</v>
      </c>
      <c r="J459" s="40">
        <f t="shared" si="72"/>
        <v>0</v>
      </c>
      <c r="K459" s="36">
        <v>0.42681656001900997</v>
      </c>
      <c r="L459" s="42">
        <f t="shared" si="76"/>
        <v>19991.322604477216</v>
      </c>
      <c r="M459" s="42">
        <f t="shared" si="76"/>
        <v>0</v>
      </c>
      <c r="N459" s="42">
        <f t="shared" si="73"/>
        <v>8532.6275442732403</v>
      </c>
      <c r="O459" s="36">
        <v>8.605508004987918</v>
      </c>
      <c r="P459" s="42">
        <f t="shared" si="74"/>
        <v>-2958.4709620814147</v>
      </c>
      <c r="Q459" s="42"/>
      <c r="R459">
        <v>0.57957701345866264</v>
      </c>
      <c r="S459">
        <v>0.66313669240394302</v>
      </c>
    </row>
    <row r="460" spans="1:19" x14ac:dyDescent="0.25">
      <c r="A460" s="40">
        <f t="shared" si="75"/>
        <v>64.229676878151835</v>
      </c>
      <c r="B460" s="40">
        <f t="shared" si="75"/>
        <v>32.933286051621081</v>
      </c>
      <c r="C460" s="41">
        <f t="shared" si="70"/>
        <v>0.49289226185293716</v>
      </c>
      <c r="D460" s="41">
        <f t="shared" si="71"/>
        <v>0.98069361229543572</v>
      </c>
      <c r="E460" s="39">
        <f>IF(_xlfn.NORM.INV(R460,C460,'Regressão Grupo 2'!$B$7)&lt;=0,0,IF(_xlfn.NORM.INV(R460,C460,'Regressão Grupo 2'!$B$7)&gt;100%,100%,_xlfn.NORM.INV(R460,C460,'Regressão Grupo 2'!$B$7)))</f>
        <v>0.51496110671905526</v>
      </c>
      <c r="F460" s="39">
        <f>IF(_xlfn.NORM.INV(S460,D460,'Regressão Grupo 2'!$B$7)&lt;=0,0,IF(_xlfn.NORM.INV(S460,D460,'Regressão Grupo 2'!$B$7)&gt;100%,100%,_xlfn.NORM.INV(S460,D460,'Regressão Grupo 2'!$B$7)))</f>
        <v>0.85240578644277909</v>
      </c>
      <c r="G460" s="41">
        <v>9.3949867820139216E-3</v>
      </c>
      <c r="H460" s="41">
        <v>2.8491578378328258E-2</v>
      </c>
      <c r="I460" s="40">
        <f t="shared" si="72"/>
        <v>96.719074119909152</v>
      </c>
      <c r="J460" s="40">
        <f t="shared" si="72"/>
        <v>0</v>
      </c>
      <c r="K460" s="36">
        <v>0.47277071250858665</v>
      </c>
      <c r="L460" s="42">
        <f t="shared" si="76"/>
        <v>19991.322604477216</v>
      </c>
      <c r="M460" s="42">
        <f t="shared" si="76"/>
        <v>0</v>
      </c>
      <c r="N460" s="42">
        <f t="shared" si="73"/>
        <v>9451.3118317077078</v>
      </c>
      <c r="O460" s="36">
        <v>3.3888653970427085</v>
      </c>
      <c r="P460" s="42">
        <f t="shared" si="74"/>
        <v>-3566.8448765508947</v>
      </c>
      <c r="Q460" s="42"/>
      <c r="R460">
        <v>0.56340220343638414</v>
      </c>
      <c r="S460">
        <v>0.17676320688497574</v>
      </c>
    </row>
    <row r="461" spans="1:19" x14ac:dyDescent="0.25">
      <c r="A461" s="40">
        <f t="shared" si="75"/>
        <v>64.229676878151835</v>
      </c>
      <c r="B461" s="40">
        <f t="shared" si="75"/>
        <v>32.933286051621081</v>
      </c>
      <c r="C461" s="41">
        <f t="shared" si="70"/>
        <v>0.49289226185293716</v>
      </c>
      <c r="D461" s="41">
        <f t="shared" si="71"/>
        <v>0.98069361229543572</v>
      </c>
      <c r="E461" s="39">
        <f>IF(_xlfn.NORM.INV(R461,C461,'Regressão Grupo 2'!$B$7)&lt;=0,0,IF(_xlfn.NORM.INV(R461,C461,'Regressão Grupo 2'!$B$7)&gt;100%,100%,_xlfn.NORM.INV(R461,C461,'Regressão Grupo 2'!$B$7)))</f>
        <v>0.52533899776317394</v>
      </c>
      <c r="F461" s="39">
        <f>IF(_xlfn.NORM.INV(S461,D461,'Regressão Grupo 2'!$B$7)&lt;=0,0,IF(_xlfn.NORM.INV(S461,D461,'Regressão Grupo 2'!$B$7)&gt;100%,100%,_xlfn.NORM.INV(S461,D461,'Regressão Grupo 2'!$B$7)))</f>
        <v>0.97383105188010843</v>
      </c>
      <c r="G461" s="41">
        <v>2.4049973400560098E-2</v>
      </c>
      <c r="H461" s="41">
        <v>8.6639533074724315E-3</v>
      </c>
      <c r="I461" s="40">
        <f t="shared" si="72"/>
        <v>252.57814485975564</v>
      </c>
      <c r="J461" s="40">
        <f t="shared" si="72"/>
        <v>0</v>
      </c>
      <c r="K461" s="36">
        <v>0.44535807737691896</v>
      </c>
      <c r="L461" s="42">
        <f t="shared" si="76"/>
        <v>19991.322604477216</v>
      </c>
      <c r="M461" s="42">
        <f t="shared" si="76"/>
        <v>0</v>
      </c>
      <c r="N461" s="42">
        <f t="shared" si="73"/>
        <v>8903.2969993517127</v>
      </c>
      <c r="O461" s="36">
        <v>6.9643505504935819</v>
      </c>
      <c r="P461" s="42">
        <f t="shared" si="74"/>
        <v>5560.6728892767314</v>
      </c>
      <c r="Q461" s="42"/>
      <c r="R461">
        <v>0.59276100955229349</v>
      </c>
      <c r="S461">
        <v>0.48020874660481583</v>
      </c>
    </row>
    <row r="462" spans="1:19" x14ac:dyDescent="0.25">
      <c r="A462" s="40">
        <f t="shared" si="75"/>
        <v>64.229676878151835</v>
      </c>
      <c r="B462" s="40">
        <f t="shared" si="75"/>
        <v>32.933286051621081</v>
      </c>
      <c r="C462" s="41">
        <f t="shared" si="70"/>
        <v>0.49289226185293716</v>
      </c>
      <c r="D462" s="41">
        <f t="shared" si="71"/>
        <v>0.98069361229543572</v>
      </c>
      <c r="E462" s="39">
        <f>IF(_xlfn.NORM.INV(R462,C462,'Regressão Grupo 2'!$B$7)&lt;=0,0,IF(_xlfn.NORM.INV(R462,C462,'Regressão Grupo 2'!$B$7)&gt;100%,100%,_xlfn.NORM.INV(R462,C462,'Regressão Grupo 2'!$B$7)))</f>
        <v>0.37666145163866238</v>
      </c>
      <c r="F462" s="39">
        <f>IF(_xlfn.NORM.INV(S462,D462,'Regressão Grupo 2'!$B$7)&lt;=0,0,IF(_xlfn.NORM.INV(S462,D462,'Regressão Grupo 2'!$B$7)&gt;100%,100%,_xlfn.NORM.INV(S462,D462,'Regressão Grupo 2'!$B$7)))</f>
        <v>0.71448211852600874</v>
      </c>
      <c r="G462" s="41">
        <v>1.5393436775319793E-2</v>
      </c>
      <c r="H462" s="41">
        <v>1.259223004958872E-2</v>
      </c>
      <c r="I462" s="40">
        <f t="shared" si="72"/>
        <v>115.91197229943869</v>
      </c>
      <c r="J462" s="40">
        <f t="shared" si="72"/>
        <v>0</v>
      </c>
      <c r="K462" s="36">
        <v>0.35060226230419189</v>
      </c>
      <c r="L462" s="42">
        <f t="shared" si="76"/>
        <v>19991.322604477216</v>
      </c>
      <c r="M462" s="42">
        <f t="shared" si="76"/>
        <v>0</v>
      </c>
      <c r="N462" s="42">
        <f t="shared" si="73"/>
        <v>7009.0029315826414</v>
      </c>
      <c r="O462" s="36">
        <v>3.2871088656017817</v>
      </c>
      <c r="P462" s="42">
        <f t="shared" si="74"/>
        <v>54.970323744718371</v>
      </c>
      <c r="Q462" s="42"/>
      <c r="R462">
        <v>0.20029297769096957</v>
      </c>
      <c r="S462">
        <v>2.7100436414685507E-2</v>
      </c>
    </row>
    <row r="463" spans="1:19" x14ac:dyDescent="0.25">
      <c r="A463" s="40">
        <f t="shared" si="75"/>
        <v>64.229676878151835</v>
      </c>
      <c r="B463" s="40">
        <f t="shared" si="75"/>
        <v>32.933286051621081</v>
      </c>
      <c r="C463" s="41">
        <f t="shared" si="70"/>
        <v>0.49289226185293716</v>
      </c>
      <c r="D463" s="41">
        <f t="shared" si="71"/>
        <v>0.98069361229543572</v>
      </c>
      <c r="E463" s="39">
        <f>IF(_xlfn.NORM.INV(R463,C463,'Regressão Grupo 2'!$B$7)&lt;=0,0,IF(_xlfn.NORM.INV(R463,C463,'Regressão Grupo 2'!$B$7)&gt;100%,100%,_xlfn.NORM.INV(R463,C463,'Regressão Grupo 2'!$B$7)))</f>
        <v>0.55857342509515584</v>
      </c>
      <c r="F463" s="39">
        <f>IF(_xlfn.NORM.INV(S463,D463,'Regressão Grupo 2'!$B$7)&lt;=0,0,IF(_xlfn.NORM.INV(S463,D463,'Regressão Grupo 2'!$B$7)&gt;100%,100%,_xlfn.NORM.INV(S463,D463,'Regressão Grupo 2'!$B$7)))</f>
        <v>0.98651844820560863</v>
      </c>
      <c r="G463" s="41">
        <v>1.780391586660331E-2</v>
      </c>
      <c r="H463" s="41">
        <v>2.1847604939101754E-2</v>
      </c>
      <c r="I463" s="40">
        <f t="shared" si="72"/>
        <v>198.80959040105571</v>
      </c>
      <c r="J463" s="40">
        <f t="shared" si="72"/>
        <v>0</v>
      </c>
      <c r="K463" s="36">
        <v>0.22852560543740597</v>
      </c>
      <c r="L463" s="42">
        <f t="shared" si="76"/>
        <v>19991.322604477216</v>
      </c>
      <c r="M463" s="42">
        <f t="shared" si="76"/>
        <v>0</v>
      </c>
      <c r="N463" s="42">
        <f t="shared" si="73"/>
        <v>4568.529101682655</v>
      </c>
      <c r="O463" s="36">
        <v>2.3254747993980214</v>
      </c>
      <c r="P463" s="42">
        <f t="shared" si="74"/>
        <v>7738.6199576985719</v>
      </c>
      <c r="Q463" s="42"/>
      <c r="R463">
        <v>0.68260750144962923</v>
      </c>
      <c r="S463">
        <v>0.51680043946653642</v>
      </c>
    </row>
    <row r="464" spans="1:19" x14ac:dyDescent="0.25">
      <c r="A464" s="40">
        <f t="shared" si="75"/>
        <v>64.229676878151835</v>
      </c>
      <c r="B464" s="40">
        <f t="shared" si="75"/>
        <v>32.933286051621081</v>
      </c>
      <c r="C464" s="41">
        <f t="shared" si="70"/>
        <v>0.49289226185293716</v>
      </c>
      <c r="D464" s="41">
        <f t="shared" si="71"/>
        <v>0.98069361229543572</v>
      </c>
      <c r="E464" s="39">
        <f>IF(_xlfn.NORM.INV(R464,C464,'Regressão Grupo 2'!$B$7)&lt;=0,0,IF(_xlfn.NORM.INV(R464,C464,'Regressão Grupo 2'!$B$7)&gt;100%,100%,_xlfn.NORM.INV(R464,C464,'Regressão Grupo 2'!$B$7)))</f>
        <v>0.48830591738599122</v>
      </c>
      <c r="F464" s="39">
        <f>IF(_xlfn.NORM.INV(S464,D464,'Regressão Grupo 2'!$B$7)&lt;=0,0,IF(_xlfn.NORM.INV(S464,D464,'Regressão Grupo 2'!$B$7)&gt;100%,100%,_xlfn.NORM.INV(S464,D464,'Regressão Grupo 2'!$B$7)))</f>
        <v>0.73108226353183348</v>
      </c>
      <c r="G464" s="41">
        <v>2.0425672478050556E-2</v>
      </c>
      <c r="H464" s="41">
        <v>1.6670183605425545E-2</v>
      </c>
      <c r="I464" s="40">
        <f t="shared" si="72"/>
        <v>199.39298661131801</v>
      </c>
      <c r="J464" s="40">
        <f t="shared" si="72"/>
        <v>0</v>
      </c>
      <c r="K464" s="36">
        <v>0.32290233595249207</v>
      </c>
      <c r="L464" s="42">
        <f t="shared" si="76"/>
        <v>19991.322604477216</v>
      </c>
      <c r="M464" s="42">
        <f t="shared" si="76"/>
        <v>0</v>
      </c>
      <c r="N464" s="42">
        <f t="shared" si="73"/>
        <v>6455.2447677655509</v>
      </c>
      <c r="O464" s="36">
        <v>7.5618486674696017</v>
      </c>
      <c r="P464" s="42">
        <f t="shared" si="74"/>
        <v>4843.9227439394799</v>
      </c>
      <c r="Q464" s="42"/>
      <c r="R464">
        <v>0.4867702261421552</v>
      </c>
      <c r="S464">
        <v>3.5523545030060735E-2</v>
      </c>
    </row>
    <row r="465" spans="1:19" x14ac:dyDescent="0.25">
      <c r="A465" s="40">
        <f t="shared" si="75"/>
        <v>64.229676878151835</v>
      </c>
      <c r="B465" s="40">
        <f t="shared" si="75"/>
        <v>32.933286051621081</v>
      </c>
      <c r="C465" s="41">
        <f t="shared" si="70"/>
        <v>0.49289226185293716</v>
      </c>
      <c r="D465" s="41">
        <f t="shared" si="71"/>
        <v>0.98069361229543572</v>
      </c>
      <c r="E465" s="39">
        <f>IF(_xlfn.NORM.INV(R465,C465,'Regressão Grupo 2'!$B$7)&lt;=0,0,IF(_xlfn.NORM.INV(R465,C465,'Regressão Grupo 2'!$B$7)&gt;100%,100%,_xlfn.NORM.INV(R465,C465,'Regressão Grupo 2'!$B$7)))</f>
        <v>0.65807507919611063</v>
      </c>
      <c r="F465" s="39">
        <f>IF(_xlfn.NORM.INV(S465,D465,'Regressão Grupo 2'!$B$7)&lt;=0,0,IF(_xlfn.NORM.INV(S465,D465,'Regressão Grupo 2'!$B$7)&gt;100%,100%,_xlfn.NORM.INV(S465,D465,'Regressão Grupo 2'!$B$7)))</f>
        <v>1</v>
      </c>
      <c r="G465" s="41">
        <v>2.3497652807744233E-2</v>
      </c>
      <c r="H465" s="41">
        <v>1.2965632604016153E-2</v>
      </c>
      <c r="I465" s="40">
        <f t="shared" si="72"/>
        <v>309.13021417390638</v>
      </c>
      <c r="J465" s="40">
        <f t="shared" si="72"/>
        <v>0</v>
      </c>
      <c r="K465" s="36">
        <v>0.3097580427548966</v>
      </c>
      <c r="L465" s="42">
        <f t="shared" si="76"/>
        <v>19991.322604477216</v>
      </c>
      <c r="M465" s="42">
        <f t="shared" si="76"/>
        <v>0</v>
      </c>
      <c r="N465" s="42">
        <f t="shared" si="73"/>
        <v>6192.4729620445842</v>
      </c>
      <c r="O465" s="36">
        <v>3.1460083163194339</v>
      </c>
      <c r="P465" s="42">
        <f t="shared" si="74"/>
        <v>12690.334583002579</v>
      </c>
      <c r="Q465" s="42"/>
      <c r="R465">
        <v>0.88387707144383065</v>
      </c>
      <c r="S465">
        <v>0.7431562242500076</v>
      </c>
    </row>
    <row r="466" spans="1:19" x14ac:dyDescent="0.25">
      <c r="A466" s="40">
        <f t="shared" si="75"/>
        <v>64.229676878151835</v>
      </c>
      <c r="B466" s="40">
        <f t="shared" si="75"/>
        <v>32.933286051621081</v>
      </c>
      <c r="C466" s="41">
        <f t="shared" si="70"/>
        <v>0.49289226185293716</v>
      </c>
      <c r="D466" s="41">
        <f t="shared" si="71"/>
        <v>0.98069361229543572</v>
      </c>
      <c r="E466" s="39">
        <f>IF(_xlfn.NORM.INV(R466,C466,'Regressão Grupo 2'!$B$7)&lt;=0,0,IF(_xlfn.NORM.INV(R466,C466,'Regressão Grupo 2'!$B$7)&gt;100%,100%,_xlfn.NORM.INV(R466,C466,'Regressão Grupo 2'!$B$7)))</f>
        <v>0.60345231065050164</v>
      </c>
      <c r="F466" s="39">
        <f>IF(_xlfn.NORM.INV(S466,D466,'Regressão Grupo 2'!$B$7)&lt;=0,0,IF(_xlfn.NORM.INV(S466,D466,'Regressão Grupo 2'!$B$7)&gt;100%,100%,_xlfn.NORM.INV(S466,D466,'Regressão Grupo 2'!$B$7)))</f>
        <v>1</v>
      </c>
      <c r="G466" s="41">
        <v>9.2386167437099702E-3</v>
      </c>
      <c r="H466" s="41">
        <v>2.1746424366125016E-2</v>
      </c>
      <c r="I466" s="40">
        <f t="shared" si="72"/>
        <v>111.45291538334062</v>
      </c>
      <c r="J466" s="40">
        <f t="shared" si="72"/>
        <v>0</v>
      </c>
      <c r="K466" s="36">
        <v>0.37256768620797676</v>
      </c>
      <c r="L466" s="42">
        <f t="shared" si="76"/>
        <v>19991.322604477216</v>
      </c>
      <c r="M466" s="42">
        <f t="shared" si="76"/>
        <v>0</v>
      </c>
      <c r="N466" s="42">
        <f t="shared" si="73"/>
        <v>7448.1208069873001</v>
      </c>
      <c r="O466" s="36">
        <v>7.0127900279893858</v>
      </c>
      <c r="P466" s="42">
        <f t="shared" si="74"/>
        <v>-1071.1319583779696</v>
      </c>
      <c r="Q466" s="42"/>
      <c r="R466">
        <v>0.78801843317972353</v>
      </c>
      <c r="S466">
        <v>0.7788933988464003</v>
      </c>
    </row>
    <row r="467" spans="1:19" x14ac:dyDescent="0.25">
      <c r="A467" s="40">
        <f t="shared" si="75"/>
        <v>64.229676878151835</v>
      </c>
      <c r="B467" s="40">
        <f t="shared" si="75"/>
        <v>32.933286051621081</v>
      </c>
      <c r="C467" s="41">
        <f t="shared" si="70"/>
        <v>0.49289226185293716</v>
      </c>
      <c r="D467" s="41">
        <f t="shared" si="71"/>
        <v>0.98069361229543572</v>
      </c>
      <c r="E467" s="39">
        <f>IF(_xlfn.NORM.INV(R467,C467,'Regressão Grupo 2'!$B$7)&lt;=0,0,IF(_xlfn.NORM.INV(R467,C467,'Regressão Grupo 2'!$B$7)&gt;100%,100%,_xlfn.NORM.INV(R467,C467,'Regressão Grupo 2'!$B$7)))</f>
        <v>0.71904977886220711</v>
      </c>
      <c r="F467" s="39">
        <f>IF(_xlfn.NORM.INV(S467,D467,'Regressão Grupo 2'!$B$7)&lt;=0,0,IF(_xlfn.NORM.INV(S467,D467,'Regressão Grupo 2'!$B$7)&gt;100%,100%,_xlfn.NORM.INV(S467,D467,'Regressão Grupo 2'!$B$7)))</f>
        <v>1</v>
      </c>
      <c r="G467" s="41">
        <v>2.6263291549298032E-2</v>
      </c>
      <c r="H467" s="41">
        <v>2.0727194842178616E-2</v>
      </c>
      <c r="I467" s="40">
        <f t="shared" si="72"/>
        <v>377.52841034952269</v>
      </c>
      <c r="J467" s="40">
        <f t="shared" si="72"/>
        <v>0</v>
      </c>
      <c r="K467" s="36">
        <v>0.16327401579020215</v>
      </c>
      <c r="L467" s="42">
        <f t="shared" si="76"/>
        <v>19991.322604477216</v>
      </c>
      <c r="M467" s="42">
        <f t="shared" si="76"/>
        <v>0</v>
      </c>
      <c r="N467" s="42">
        <f t="shared" si="73"/>
        <v>3264.063522590438</v>
      </c>
      <c r="O467" s="36">
        <v>5.4796075217207107</v>
      </c>
      <c r="P467" s="42">
        <f t="shared" si="74"/>
        <v>18915.756769467211</v>
      </c>
      <c r="Q467" s="42"/>
      <c r="R467">
        <v>0.94903408917508469</v>
      </c>
      <c r="S467">
        <v>0.95318460646382031</v>
      </c>
    </row>
    <row r="468" spans="1:19" x14ac:dyDescent="0.25">
      <c r="A468" s="40">
        <f t="shared" si="75"/>
        <v>64.229676878151835</v>
      </c>
      <c r="B468" s="40">
        <f t="shared" si="75"/>
        <v>32.933286051621081</v>
      </c>
      <c r="C468" s="41">
        <f t="shared" si="70"/>
        <v>0.49289226185293716</v>
      </c>
      <c r="D468" s="41">
        <f t="shared" si="71"/>
        <v>0.98069361229543572</v>
      </c>
      <c r="E468" s="39">
        <f>IF(_xlfn.NORM.INV(R468,C468,'Regressão Grupo 2'!$B$7)&lt;=0,0,IF(_xlfn.NORM.INV(R468,C468,'Regressão Grupo 2'!$B$7)&gt;100%,100%,_xlfn.NORM.INV(R468,C468,'Regressão Grupo 2'!$B$7)))</f>
        <v>0.28721988472909832</v>
      </c>
      <c r="F468" s="39">
        <f>IF(_xlfn.NORM.INV(S468,D468,'Regressão Grupo 2'!$B$7)&lt;=0,0,IF(_xlfn.NORM.INV(S468,D468,'Regressão Grupo 2'!$B$7)&gt;100%,100%,_xlfn.NORM.INV(S468,D468,'Regressão Grupo 2'!$B$7)))</f>
        <v>1</v>
      </c>
      <c r="G468" s="41">
        <v>1.9514419322951768E-2</v>
      </c>
      <c r="H468" s="41">
        <v>2.2090450734008872E-2</v>
      </c>
      <c r="I468" s="40">
        <f t="shared" si="72"/>
        <v>112.04994918172997</v>
      </c>
      <c r="J468" s="40">
        <f t="shared" si="72"/>
        <v>0</v>
      </c>
      <c r="K468" s="36">
        <v>0.27033495273803199</v>
      </c>
      <c r="L468" s="42">
        <f t="shared" si="76"/>
        <v>19991.322604477216</v>
      </c>
      <c r="M468" s="42">
        <f t="shared" si="76"/>
        <v>0</v>
      </c>
      <c r="N468" s="42">
        <f t="shared" si="73"/>
        <v>5404.3532514520984</v>
      </c>
      <c r="O468" s="36">
        <v>2.922351810834332</v>
      </c>
      <c r="P468" s="42">
        <f t="shared" si="74"/>
        <v>1465.1294068086281</v>
      </c>
      <c r="Q468" s="42"/>
      <c r="R468">
        <v>6.84530167546617E-2</v>
      </c>
      <c r="S468">
        <v>0.82518997772148805</v>
      </c>
    </row>
    <row r="469" spans="1:19" x14ac:dyDescent="0.25">
      <c r="A469" s="40">
        <f t="shared" si="75"/>
        <v>64.229676878151835</v>
      </c>
      <c r="B469" s="40">
        <f t="shared" si="75"/>
        <v>32.933286051621081</v>
      </c>
      <c r="C469" s="41">
        <f t="shared" si="70"/>
        <v>0.49289226185293716</v>
      </c>
      <c r="D469" s="41">
        <f t="shared" si="71"/>
        <v>0.98069361229543572</v>
      </c>
      <c r="E469" s="39">
        <f>IF(_xlfn.NORM.INV(R469,C469,'Regressão Grupo 2'!$B$7)&lt;=0,0,IF(_xlfn.NORM.INV(R469,C469,'Regressão Grupo 2'!$B$7)&gt;100%,100%,_xlfn.NORM.INV(R469,C469,'Regressão Grupo 2'!$B$7)))</f>
        <v>0.41624419419617054</v>
      </c>
      <c r="F469" s="39">
        <f>IF(_xlfn.NORM.INV(S469,D469,'Regressão Grupo 2'!$B$7)&lt;=0,0,IF(_xlfn.NORM.INV(S469,D469,'Regressão Grupo 2'!$B$7)&gt;100%,100%,_xlfn.NORM.INV(S469,D469,'Regressão Grupo 2'!$B$7)))</f>
        <v>0.77113560596532083</v>
      </c>
      <c r="G469" s="41">
        <v>2.1805448380145635E-2</v>
      </c>
      <c r="H469" s="41">
        <v>2.4621057315193522E-2</v>
      </c>
      <c r="I469" s="40">
        <f t="shared" si="72"/>
        <v>181.44906636445469</v>
      </c>
      <c r="J469" s="40">
        <f t="shared" si="72"/>
        <v>0</v>
      </c>
      <c r="K469" s="36">
        <v>0.31517865172414894</v>
      </c>
      <c r="L469" s="42">
        <f t="shared" si="76"/>
        <v>19991.322604477216</v>
      </c>
      <c r="M469" s="42">
        <f t="shared" si="76"/>
        <v>0</v>
      </c>
      <c r="N469" s="42">
        <f t="shared" si="73"/>
        <v>6300.8381046616305</v>
      </c>
      <c r="O469" s="36">
        <v>6.9412592160934885</v>
      </c>
      <c r="P469" s="42">
        <f t="shared" si="74"/>
        <v>4094.091793615793</v>
      </c>
      <c r="Q469" s="42"/>
      <c r="R469">
        <v>0.28968169194616533</v>
      </c>
      <c r="S469">
        <v>6.482131412701804E-2</v>
      </c>
    </row>
    <row r="470" spans="1:19" x14ac:dyDescent="0.25">
      <c r="A470" s="40">
        <f t="shared" si="75"/>
        <v>64.229676878151835</v>
      </c>
      <c r="B470" s="40">
        <f t="shared" si="75"/>
        <v>32.933286051621081</v>
      </c>
      <c r="C470" s="41">
        <f t="shared" si="70"/>
        <v>0.49289226185293716</v>
      </c>
      <c r="D470" s="41">
        <f t="shared" si="71"/>
        <v>0.98069361229543572</v>
      </c>
      <c r="E470" s="39">
        <f>IF(_xlfn.NORM.INV(R470,C470,'Regressão Grupo 2'!$B$7)&lt;=0,0,IF(_xlfn.NORM.INV(R470,C470,'Regressão Grupo 2'!$B$7)&gt;100%,100%,_xlfn.NORM.INV(R470,C470,'Regressão Grupo 2'!$B$7)))</f>
        <v>0.53355564659872867</v>
      </c>
      <c r="F470" s="39">
        <f>IF(_xlfn.NORM.INV(S470,D470,'Regressão Grupo 2'!$B$7)&lt;=0,0,IF(_xlfn.NORM.INV(S470,D470,'Regressão Grupo 2'!$B$7)&gt;100%,100%,_xlfn.NORM.INV(S470,D470,'Regressão Grupo 2'!$B$7)))</f>
        <v>1</v>
      </c>
      <c r="G470" s="41">
        <v>1.9805036011287285E-2</v>
      </c>
      <c r="H470" s="41">
        <v>6.7493884551328076E-3</v>
      </c>
      <c r="I470" s="40">
        <f t="shared" si="72"/>
        <v>211.25008108927202</v>
      </c>
      <c r="J470" s="40">
        <f t="shared" si="72"/>
        <v>0</v>
      </c>
      <c r="K470" s="36">
        <v>0.28262069943564916</v>
      </c>
      <c r="L470" s="42">
        <f t="shared" si="76"/>
        <v>19991.322604477216</v>
      </c>
      <c r="M470" s="42">
        <f t="shared" si="76"/>
        <v>0</v>
      </c>
      <c r="N470" s="42">
        <f t="shared" si="73"/>
        <v>5649.9615771210547</v>
      </c>
      <c r="O470" s="36">
        <v>10.348677194897776</v>
      </c>
      <c r="P470" s="42">
        <f t="shared" si="74"/>
        <v>5732.4039751374048</v>
      </c>
      <c r="Q470" s="42"/>
      <c r="R470">
        <v>0.6156498916592914</v>
      </c>
      <c r="S470">
        <v>0.68739890743736076</v>
      </c>
    </row>
    <row r="471" spans="1:19" x14ac:dyDescent="0.25">
      <c r="A471" s="40">
        <f t="shared" si="75"/>
        <v>64.229676878151835</v>
      </c>
      <c r="B471" s="40">
        <f t="shared" si="75"/>
        <v>32.933286051621081</v>
      </c>
      <c r="C471" s="41">
        <f t="shared" si="70"/>
        <v>0.49289226185293716</v>
      </c>
      <c r="D471" s="41">
        <f t="shared" si="71"/>
        <v>0.98069361229543572</v>
      </c>
      <c r="E471" s="39">
        <f>IF(_xlfn.NORM.INV(R471,C471,'Regressão Grupo 2'!$B$7)&lt;=0,0,IF(_xlfn.NORM.INV(R471,C471,'Regressão Grupo 2'!$B$7)&gt;100%,100%,_xlfn.NORM.INV(R471,C471,'Regressão Grupo 2'!$B$7)))</f>
        <v>0.58202572130064223</v>
      </c>
      <c r="F471" s="39">
        <f>IF(_xlfn.NORM.INV(S471,D471,'Regressão Grupo 2'!$B$7)&lt;=0,0,IF(_xlfn.NORM.INV(S471,D471,'Regressão Grupo 2'!$B$7)&gt;100%,100%,_xlfn.NORM.INV(S471,D471,'Regressão Grupo 2'!$B$7)))</f>
        <v>1</v>
      </c>
      <c r="G471" s="41">
        <v>1.396771594834967E-2</v>
      </c>
      <c r="H471" s="41">
        <v>1.0393161894216471E-2</v>
      </c>
      <c r="I471" s="40">
        <f t="shared" si="72"/>
        <v>162.52085550132981</v>
      </c>
      <c r="J471" s="40">
        <f t="shared" si="72"/>
        <v>0</v>
      </c>
      <c r="K471" s="36">
        <v>0.28449607365263174</v>
      </c>
      <c r="L471" s="42">
        <f t="shared" ref="L471:M486" si="77">L470</f>
        <v>19991.322604477216</v>
      </c>
      <c r="M471" s="42">
        <f t="shared" si="77"/>
        <v>0</v>
      </c>
      <c r="N471" s="42">
        <f t="shared" si="73"/>
        <v>5687.4527880968717</v>
      </c>
      <c r="O471" s="36">
        <v>5.9443437422719967</v>
      </c>
      <c r="P471" s="42">
        <f t="shared" si="74"/>
        <v>3785.1294163263256</v>
      </c>
      <c r="Q471" s="42"/>
      <c r="R471">
        <v>0.74040955839716793</v>
      </c>
      <c r="S471">
        <v>0.95388653218176822</v>
      </c>
    </row>
    <row r="472" spans="1:19" x14ac:dyDescent="0.25">
      <c r="A472" s="40">
        <f t="shared" si="75"/>
        <v>64.229676878151835</v>
      </c>
      <c r="B472" s="40">
        <f t="shared" si="75"/>
        <v>32.933286051621081</v>
      </c>
      <c r="C472" s="41">
        <f t="shared" si="70"/>
        <v>0.49289226185293716</v>
      </c>
      <c r="D472" s="41">
        <f t="shared" si="71"/>
        <v>0.98069361229543572</v>
      </c>
      <c r="E472" s="39">
        <f>IF(_xlfn.NORM.INV(R472,C472,'Regressão Grupo 2'!$B$7)&lt;=0,0,IF(_xlfn.NORM.INV(R472,C472,'Regressão Grupo 2'!$B$7)&gt;100%,100%,_xlfn.NORM.INV(R472,C472,'Regressão Grupo 2'!$B$7)))</f>
        <v>0.35777829769886149</v>
      </c>
      <c r="F472" s="39">
        <f>IF(_xlfn.NORM.INV(S472,D472,'Regressão Grupo 2'!$B$7)&lt;=0,0,IF(_xlfn.NORM.INV(S472,D472,'Regressão Grupo 2'!$B$7)&gt;100%,100%,_xlfn.NORM.INV(S472,D472,'Regressão Grupo 2'!$B$7)))</f>
        <v>1</v>
      </c>
      <c r="G472" s="41">
        <v>1.5165916978032564E-2</v>
      </c>
      <c r="H472" s="41">
        <v>2.355572379380259E-2</v>
      </c>
      <c r="I472" s="40">
        <f t="shared" si="72"/>
        <v>108.47363532871412</v>
      </c>
      <c r="J472" s="40">
        <f t="shared" si="72"/>
        <v>0</v>
      </c>
      <c r="K472" s="36">
        <v>0.29245182871337461</v>
      </c>
      <c r="L472" s="42">
        <f t="shared" si="77"/>
        <v>19991.322604477216</v>
      </c>
      <c r="M472" s="42">
        <f t="shared" si="77"/>
        <v>0</v>
      </c>
      <c r="N472" s="42">
        <f t="shared" si="73"/>
        <v>5846.4988540783852</v>
      </c>
      <c r="O472" s="36">
        <v>8.0836520732474906</v>
      </c>
      <c r="P472" s="42">
        <f t="shared" si="74"/>
        <v>243.86456576574619</v>
      </c>
      <c r="Q472" s="42"/>
      <c r="R472">
        <v>0.16425061799981688</v>
      </c>
      <c r="S472">
        <v>0.57609790337839895</v>
      </c>
    </row>
    <row r="473" spans="1:19" x14ac:dyDescent="0.25">
      <c r="A473" s="40">
        <f t="shared" si="75"/>
        <v>64.229676878151835</v>
      </c>
      <c r="B473" s="40">
        <f t="shared" si="75"/>
        <v>32.933286051621081</v>
      </c>
      <c r="C473" s="41">
        <f t="shared" si="70"/>
        <v>0.49289226185293716</v>
      </c>
      <c r="D473" s="41">
        <f t="shared" si="71"/>
        <v>0.98069361229543572</v>
      </c>
      <c r="E473" s="39">
        <f>IF(_xlfn.NORM.INV(R473,C473,'Regressão Grupo 2'!$B$7)&lt;=0,0,IF(_xlfn.NORM.INV(R473,C473,'Regressão Grupo 2'!$B$7)&gt;100%,100%,_xlfn.NORM.INV(R473,C473,'Regressão Grupo 2'!$B$7)))</f>
        <v>0.69297874537201509</v>
      </c>
      <c r="F473" s="39">
        <f>IF(_xlfn.NORM.INV(S473,D473,'Regressão Grupo 2'!$B$7)&lt;=0,0,IF(_xlfn.NORM.INV(S473,D473,'Regressão Grupo 2'!$B$7)&gt;100%,100%,_xlfn.NORM.INV(S473,D473,'Regressão Grupo 2'!$B$7)))</f>
        <v>0.97264460412702169</v>
      </c>
      <c r="G473" s="41">
        <v>1.3505099393103879E-2</v>
      </c>
      <c r="H473" s="41">
        <v>1.1786307344749251E-2</v>
      </c>
      <c r="I473" s="40">
        <f t="shared" si="72"/>
        <v>187.09372712327738</v>
      </c>
      <c r="J473" s="40">
        <f t="shared" si="72"/>
        <v>0</v>
      </c>
      <c r="K473" s="36">
        <v>0.30572795442170209</v>
      </c>
      <c r="L473" s="42">
        <f t="shared" si="77"/>
        <v>19991.322604477216</v>
      </c>
      <c r="M473" s="42">
        <f t="shared" si="77"/>
        <v>0</v>
      </c>
      <c r="N473" s="42">
        <f t="shared" si="73"/>
        <v>6111.9061660511534</v>
      </c>
      <c r="O473" s="36">
        <v>5.1756239361584369</v>
      </c>
      <c r="P473" s="42">
        <f t="shared" si="74"/>
        <v>4936.7367006017348</v>
      </c>
      <c r="Q473" s="42"/>
      <c r="R473">
        <v>0.9260536515396588</v>
      </c>
      <c r="S473">
        <v>0.47679067354350413</v>
      </c>
    </row>
    <row r="474" spans="1:19" x14ac:dyDescent="0.25">
      <c r="A474" s="40">
        <f t="shared" si="75"/>
        <v>64.229676878151835</v>
      </c>
      <c r="B474" s="40">
        <f t="shared" si="75"/>
        <v>32.933286051621081</v>
      </c>
      <c r="C474" s="41">
        <f t="shared" si="70"/>
        <v>0.49289226185293716</v>
      </c>
      <c r="D474" s="41">
        <f t="shared" si="71"/>
        <v>0.98069361229543572</v>
      </c>
      <c r="E474" s="39">
        <f>IF(_xlfn.NORM.INV(R474,C474,'Regressão Grupo 2'!$B$7)&lt;=0,0,IF(_xlfn.NORM.INV(R474,C474,'Regressão Grupo 2'!$B$7)&gt;100%,100%,_xlfn.NORM.INV(R474,C474,'Regressão Grupo 2'!$B$7)))</f>
        <v>0.47618628529703833</v>
      </c>
      <c r="F474" s="39">
        <f>IF(_xlfn.NORM.INV(S474,D474,'Regressão Grupo 2'!$B$7)&lt;=0,0,IF(_xlfn.NORM.INV(S474,D474,'Regressão Grupo 2'!$B$7)&gt;100%,100%,_xlfn.NORM.INV(S474,D474,'Regressão Grupo 2'!$B$7)))</f>
        <v>1</v>
      </c>
      <c r="G474" s="41">
        <v>1.7583242053055628E-2</v>
      </c>
      <c r="H474" s="41">
        <v>1.0380351788948633E-2</v>
      </c>
      <c r="I474" s="40">
        <f t="shared" si="72"/>
        <v>167.38531938062738</v>
      </c>
      <c r="J474" s="40">
        <f t="shared" si="72"/>
        <v>0</v>
      </c>
      <c r="K474" s="36">
        <v>0.37596429840410567</v>
      </c>
      <c r="L474" s="42">
        <f t="shared" si="77"/>
        <v>19991.322604477216</v>
      </c>
      <c r="M474" s="42">
        <f t="shared" si="77"/>
        <v>0</v>
      </c>
      <c r="N474" s="42">
        <f t="shared" si="73"/>
        <v>7516.0235771624148</v>
      </c>
      <c r="O474" s="36">
        <v>4.4008938763880829</v>
      </c>
      <c r="P474" s="42">
        <f t="shared" si="74"/>
        <v>2498.4363737420617</v>
      </c>
      <c r="Q474" s="42"/>
      <c r="R474">
        <v>0.4519180883205664</v>
      </c>
      <c r="S474">
        <v>0.85689870906704912</v>
      </c>
    </row>
    <row r="475" spans="1:19" x14ac:dyDescent="0.25">
      <c r="A475" s="40">
        <f t="shared" si="75"/>
        <v>64.229676878151835</v>
      </c>
      <c r="B475" s="40">
        <f t="shared" si="75"/>
        <v>32.933286051621081</v>
      </c>
      <c r="C475" s="41">
        <f t="shared" si="70"/>
        <v>0.49289226185293716</v>
      </c>
      <c r="D475" s="41">
        <f t="shared" si="71"/>
        <v>0.98069361229543572</v>
      </c>
      <c r="E475" s="39">
        <f>IF(_xlfn.NORM.INV(R475,C475,'Regressão Grupo 2'!$B$7)&lt;=0,0,IF(_xlfn.NORM.INV(R475,C475,'Regressão Grupo 2'!$B$7)&gt;100%,100%,_xlfn.NORM.INV(R475,C475,'Regressão Grupo 2'!$B$7)))</f>
        <v>0.49764794873377022</v>
      </c>
      <c r="F475" s="39">
        <f>IF(_xlfn.NORM.INV(S475,D475,'Regressão Grupo 2'!$B$7)&lt;=0,0,IF(_xlfn.NORM.INV(S475,D475,'Regressão Grupo 2'!$B$7)&gt;100%,100%,_xlfn.NORM.INV(S475,D475,'Regressão Grupo 2'!$B$7)))</f>
        <v>1</v>
      </c>
      <c r="G475" s="41">
        <v>2.3216028293839563E-2</v>
      </c>
      <c r="H475" s="41">
        <v>2.1960079272290919E-2</v>
      </c>
      <c r="I475" s="40">
        <f t="shared" si="72"/>
        <v>230.9679236651898</v>
      </c>
      <c r="J475" s="40">
        <f t="shared" si="72"/>
        <v>0</v>
      </c>
      <c r="K475" s="36">
        <v>0.26593512524415958</v>
      </c>
      <c r="L475" s="42">
        <f t="shared" si="77"/>
        <v>19991.322604477216</v>
      </c>
      <c r="M475" s="42">
        <f t="shared" si="77"/>
        <v>0</v>
      </c>
      <c r="N475" s="42">
        <f t="shared" si="73"/>
        <v>5316.394880618047</v>
      </c>
      <c r="O475" s="36">
        <v>6.0678709849852437</v>
      </c>
      <c r="P475" s="42">
        <f t="shared" si="74"/>
        <v>8117.1166631444412</v>
      </c>
      <c r="Q475" s="42"/>
      <c r="R475">
        <v>0.51371807000946079</v>
      </c>
      <c r="S475">
        <v>0.83962523270363476</v>
      </c>
    </row>
    <row r="476" spans="1:19" x14ac:dyDescent="0.25">
      <c r="A476" s="40">
        <f t="shared" si="75"/>
        <v>64.229676878151835</v>
      </c>
      <c r="B476" s="40">
        <f t="shared" si="75"/>
        <v>32.933286051621081</v>
      </c>
      <c r="C476" s="41">
        <f t="shared" si="70"/>
        <v>0.49289226185293716</v>
      </c>
      <c r="D476" s="41">
        <f t="shared" si="71"/>
        <v>0.98069361229543572</v>
      </c>
      <c r="E476" s="39">
        <f>IF(_xlfn.NORM.INV(R476,C476,'Regressão Grupo 2'!$B$7)&lt;=0,0,IF(_xlfn.NORM.INV(R476,C476,'Regressão Grupo 2'!$B$7)&gt;100%,100%,_xlfn.NORM.INV(R476,C476,'Regressão Grupo 2'!$B$7)))</f>
        <v>0.58096067967361098</v>
      </c>
      <c r="F476" s="39">
        <f>IF(_xlfn.NORM.INV(S476,D476,'Regressão Grupo 2'!$B$7)&lt;=0,0,IF(_xlfn.NORM.INV(S476,D476,'Regressão Grupo 2'!$B$7)&gt;100%,100%,_xlfn.NORM.INV(S476,D476,'Regressão Grupo 2'!$B$7)))</f>
        <v>1</v>
      </c>
      <c r="G476" s="41">
        <v>1.7579796266579559E-2</v>
      </c>
      <c r="H476" s="41">
        <v>1.0880026083382026E-2</v>
      </c>
      <c r="I476" s="40">
        <f t="shared" si="72"/>
        <v>204.17478403211896</v>
      </c>
      <c r="J476" s="40">
        <f t="shared" si="72"/>
        <v>0</v>
      </c>
      <c r="K476" s="36">
        <v>0.25864075213197746</v>
      </c>
      <c r="L476" s="42">
        <f t="shared" si="77"/>
        <v>19991.322604477216</v>
      </c>
      <c r="M476" s="42">
        <f t="shared" si="77"/>
        <v>0</v>
      </c>
      <c r="N476" s="42">
        <f t="shared" si="73"/>
        <v>5170.5707145349897</v>
      </c>
      <c r="O476" s="36">
        <v>5.8866530292208754</v>
      </c>
      <c r="P476" s="42">
        <f t="shared" si="74"/>
        <v>6741.6035796012548</v>
      </c>
      <c r="Q476" s="42"/>
      <c r="R476">
        <v>0.73790704062013612</v>
      </c>
      <c r="S476">
        <v>0.61958677938169504</v>
      </c>
    </row>
    <row r="477" spans="1:19" x14ac:dyDescent="0.25">
      <c r="A477" s="40">
        <f t="shared" si="75"/>
        <v>64.229676878151835</v>
      </c>
      <c r="B477" s="40">
        <f t="shared" si="75"/>
        <v>32.933286051621081</v>
      </c>
      <c r="C477" s="41">
        <f t="shared" si="70"/>
        <v>0.49289226185293716</v>
      </c>
      <c r="D477" s="41">
        <f t="shared" si="71"/>
        <v>0.98069361229543572</v>
      </c>
      <c r="E477" s="39">
        <f>IF(_xlfn.NORM.INV(R477,C477,'Regressão Grupo 2'!$B$7)&lt;=0,0,IF(_xlfn.NORM.INV(R477,C477,'Regressão Grupo 2'!$B$7)&gt;100%,100%,_xlfn.NORM.INV(R477,C477,'Regressão Grupo 2'!$B$7)))</f>
        <v>0.3377826088591287</v>
      </c>
      <c r="F477" s="39">
        <f>IF(_xlfn.NORM.INV(S477,D477,'Regressão Grupo 2'!$B$7)&lt;=0,0,IF(_xlfn.NORM.INV(S477,D477,'Regressão Grupo 2'!$B$7)&gt;100%,100%,_xlfn.NORM.INV(S477,D477,'Regressão Grupo 2'!$B$7)))</f>
        <v>1</v>
      </c>
      <c r="G477" s="41">
        <v>4.428179287358956E-3</v>
      </c>
      <c r="H477" s="41">
        <v>1.9155101050914662E-2</v>
      </c>
      <c r="I477" s="40">
        <f t="shared" si="72"/>
        <v>29.902259725534311</v>
      </c>
      <c r="J477" s="40">
        <f t="shared" si="72"/>
        <v>0</v>
      </c>
      <c r="K477" s="36">
        <v>0.31528823056711086</v>
      </c>
      <c r="L477" s="42">
        <f t="shared" si="77"/>
        <v>19991.322604477216</v>
      </c>
      <c r="M477" s="42">
        <f t="shared" si="77"/>
        <v>0</v>
      </c>
      <c r="N477" s="42">
        <f t="shared" si="73"/>
        <v>6303.0287306619075</v>
      </c>
      <c r="O477" s="36">
        <v>3.6449327862118821</v>
      </c>
      <c r="P477" s="42">
        <f t="shared" si="74"/>
        <v>-4491.4079774196889</v>
      </c>
      <c r="Q477" s="42"/>
      <c r="R477">
        <v>0.13098544267097995</v>
      </c>
      <c r="S477">
        <v>0.96868800927762688</v>
      </c>
    </row>
    <row r="478" spans="1:19" x14ac:dyDescent="0.25">
      <c r="A478" s="40">
        <f t="shared" si="75"/>
        <v>64.229676878151835</v>
      </c>
      <c r="B478" s="40">
        <f t="shared" si="75"/>
        <v>32.933286051621081</v>
      </c>
      <c r="C478" s="41">
        <f t="shared" si="70"/>
        <v>0.49289226185293716</v>
      </c>
      <c r="D478" s="41">
        <f t="shared" si="71"/>
        <v>0.98069361229543572</v>
      </c>
      <c r="E478" s="39">
        <f>IF(_xlfn.NORM.INV(R478,C478,'Regressão Grupo 2'!$B$7)&lt;=0,0,IF(_xlfn.NORM.INV(R478,C478,'Regressão Grupo 2'!$B$7)&gt;100%,100%,_xlfn.NORM.INV(R478,C478,'Regressão Grupo 2'!$B$7)))</f>
        <v>0.42667775913124673</v>
      </c>
      <c r="F478" s="39">
        <f>IF(_xlfn.NORM.INV(S478,D478,'Regressão Grupo 2'!$B$7)&lt;=0,0,IF(_xlfn.NORM.INV(S478,D478,'Regressão Grupo 2'!$B$7)&gt;100%,100%,_xlfn.NORM.INV(S478,D478,'Regressão Grupo 2'!$B$7)))</f>
        <v>0.89372371437192877</v>
      </c>
      <c r="G478" s="41">
        <v>2.6187147907193453E-2</v>
      </c>
      <c r="H478" s="41">
        <v>1.3876769288125191E-3</v>
      </c>
      <c r="I478" s="40">
        <f t="shared" si="72"/>
        <v>223.37251509191793</v>
      </c>
      <c r="J478" s="40">
        <f t="shared" si="72"/>
        <v>0</v>
      </c>
      <c r="K478" s="36">
        <v>0.33311948349601966</v>
      </c>
      <c r="L478" s="42">
        <f t="shared" si="77"/>
        <v>19991.322604477216</v>
      </c>
      <c r="M478" s="42">
        <f t="shared" si="77"/>
        <v>0</v>
      </c>
      <c r="N478" s="42">
        <f t="shared" si="73"/>
        <v>6659.499060405753</v>
      </c>
      <c r="O478" s="36">
        <v>4.3821538171109591</v>
      </c>
      <c r="P478" s="42">
        <f t="shared" si="74"/>
        <v>6708.7926877605059</v>
      </c>
      <c r="Q478" s="42"/>
      <c r="R478">
        <v>0.31601916562395094</v>
      </c>
      <c r="S478">
        <v>0.26468703268532368</v>
      </c>
    </row>
    <row r="479" spans="1:19" x14ac:dyDescent="0.25">
      <c r="A479" s="40">
        <f t="shared" si="75"/>
        <v>64.229676878151835</v>
      </c>
      <c r="B479" s="40">
        <f t="shared" si="75"/>
        <v>32.933286051621081</v>
      </c>
      <c r="C479" s="41">
        <f t="shared" si="70"/>
        <v>0.49289226185293716</v>
      </c>
      <c r="D479" s="41">
        <f t="shared" si="71"/>
        <v>0.98069361229543572</v>
      </c>
      <c r="E479" s="39">
        <f>IF(_xlfn.NORM.INV(R479,C479,'Regressão Grupo 2'!$B$7)&lt;=0,0,IF(_xlfn.NORM.INV(R479,C479,'Regressão Grupo 2'!$B$7)&gt;100%,100%,_xlfn.NORM.INV(R479,C479,'Regressão Grupo 2'!$B$7)))</f>
        <v>0.39130508191724439</v>
      </c>
      <c r="F479" s="39">
        <f>IF(_xlfn.NORM.INV(S479,D479,'Regressão Grupo 2'!$B$7)&lt;=0,0,IF(_xlfn.NORM.INV(S479,D479,'Regressão Grupo 2'!$B$7)&gt;100%,100%,_xlfn.NORM.INV(S479,D479,'Regressão Grupo 2'!$B$7)))</f>
        <v>0.73789474597703064</v>
      </c>
      <c r="G479" s="41">
        <v>2.0974031283201421E-2</v>
      </c>
      <c r="H479" s="41">
        <v>2.1940386956347945E-2</v>
      </c>
      <c r="I479" s="40">
        <f t="shared" si="72"/>
        <v>164.07368307688699</v>
      </c>
      <c r="J479" s="40">
        <f t="shared" si="72"/>
        <v>0</v>
      </c>
      <c r="K479" s="36">
        <v>0.27080703470899292</v>
      </c>
      <c r="L479" s="42">
        <f t="shared" si="77"/>
        <v>19991.322604477216</v>
      </c>
      <c r="M479" s="42">
        <f t="shared" si="77"/>
        <v>0</v>
      </c>
      <c r="N479" s="42">
        <f t="shared" si="73"/>
        <v>5413.7907944293365</v>
      </c>
      <c r="O479" s="36">
        <v>4.6272602568264745</v>
      </c>
      <c r="P479" s="42">
        <f t="shared" si="74"/>
        <v>4365.3972209145813</v>
      </c>
      <c r="Q479" s="42"/>
      <c r="R479">
        <v>0.23126926480910673</v>
      </c>
      <c r="S479">
        <v>3.9551988280892361E-2</v>
      </c>
    </row>
    <row r="480" spans="1:19" x14ac:dyDescent="0.25">
      <c r="A480" s="40">
        <f t="shared" si="75"/>
        <v>64.229676878151835</v>
      </c>
      <c r="B480" s="40">
        <f t="shared" si="75"/>
        <v>32.933286051621081</v>
      </c>
      <c r="C480" s="41">
        <f t="shared" si="70"/>
        <v>0.49289226185293716</v>
      </c>
      <c r="D480" s="41">
        <f t="shared" si="71"/>
        <v>0.98069361229543572</v>
      </c>
      <c r="E480" s="39">
        <f>IF(_xlfn.NORM.INV(R480,C480,'Regressão Grupo 2'!$B$7)&lt;=0,0,IF(_xlfn.NORM.INV(R480,C480,'Regressão Grupo 2'!$B$7)&gt;100%,100%,_xlfn.NORM.INV(R480,C480,'Regressão Grupo 2'!$B$7)))</f>
        <v>0.51118702220367618</v>
      </c>
      <c r="F480" s="39">
        <f>IF(_xlfn.NORM.INV(S480,D480,'Regressão Grupo 2'!$B$7)&lt;=0,0,IF(_xlfn.NORM.INV(S480,D480,'Regressão Grupo 2'!$B$7)&gt;100%,100%,_xlfn.NORM.INV(S480,D480,'Regressão Grupo 2'!$B$7)))</f>
        <v>0.98544929917626878</v>
      </c>
      <c r="G480" s="41">
        <v>2.1228486351005972E-2</v>
      </c>
      <c r="H480" s="41">
        <v>1.2279127913147336E-2</v>
      </c>
      <c r="I480" s="40">
        <f t="shared" si="72"/>
        <v>216.94036974835615</v>
      </c>
      <c r="J480" s="40">
        <f t="shared" si="72"/>
        <v>0</v>
      </c>
      <c r="K480" s="36">
        <v>0.32889461469803616</v>
      </c>
      <c r="L480" s="42">
        <f t="shared" si="77"/>
        <v>19991.322604477216</v>
      </c>
      <c r="M480" s="42">
        <f t="shared" si="77"/>
        <v>0</v>
      </c>
      <c r="N480" s="42">
        <f t="shared" si="73"/>
        <v>6575.0383453036748</v>
      </c>
      <c r="O480" s="36">
        <v>5.2078649975521616</v>
      </c>
      <c r="P480" s="42">
        <f t="shared" si="74"/>
        <v>6229.1753472915379</v>
      </c>
      <c r="Q480" s="42"/>
      <c r="R480">
        <v>0.55262916959135711</v>
      </c>
      <c r="S480">
        <v>0.51371807000946079</v>
      </c>
    </row>
    <row r="481" spans="1:19" x14ac:dyDescent="0.25">
      <c r="A481" s="40">
        <f t="shared" si="75"/>
        <v>64.229676878151835</v>
      </c>
      <c r="B481" s="40">
        <f t="shared" si="75"/>
        <v>32.933286051621081</v>
      </c>
      <c r="C481" s="41">
        <f t="shared" si="70"/>
        <v>0.49289226185293716</v>
      </c>
      <c r="D481" s="41">
        <f t="shared" si="71"/>
        <v>0.98069361229543572</v>
      </c>
      <c r="E481" s="39">
        <f>IF(_xlfn.NORM.INV(R481,C481,'Regressão Grupo 2'!$B$7)&lt;=0,0,IF(_xlfn.NORM.INV(R481,C481,'Regressão Grupo 2'!$B$7)&gt;100%,100%,_xlfn.NORM.INV(R481,C481,'Regressão Grupo 2'!$B$7)))</f>
        <v>0.56052193773927506</v>
      </c>
      <c r="F481" s="39">
        <f>IF(_xlfn.NORM.INV(S481,D481,'Regressão Grupo 2'!$B$7)&lt;=0,0,IF(_xlfn.NORM.INV(S481,D481,'Regressão Grupo 2'!$B$7)&gt;100%,100%,_xlfn.NORM.INV(S481,D481,'Regressão Grupo 2'!$B$7)))</f>
        <v>1</v>
      </c>
      <c r="G481" s="41">
        <v>2.4064834953456224E-2</v>
      </c>
      <c r="H481" s="41">
        <v>2.5938422968145594E-2</v>
      </c>
      <c r="I481" s="40">
        <f t="shared" si="72"/>
        <v>269.66031014765042</v>
      </c>
      <c r="J481" s="40">
        <f t="shared" si="72"/>
        <v>0</v>
      </c>
      <c r="K481" s="36">
        <v>0.22887004921965565</v>
      </c>
      <c r="L481" s="42">
        <f t="shared" si="77"/>
        <v>19991.322604477216</v>
      </c>
      <c r="M481" s="42">
        <f t="shared" si="77"/>
        <v>0</v>
      </c>
      <c r="N481" s="42">
        <f t="shared" si="73"/>
        <v>4575.4149884527151</v>
      </c>
      <c r="O481" s="36">
        <v>6.6902368771489336</v>
      </c>
      <c r="P481" s="42">
        <f t="shared" si="74"/>
        <v>10940.688247939848</v>
      </c>
      <c r="Q481" s="42"/>
      <c r="R481">
        <v>0.68761253700369274</v>
      </c>
      <c r="S481">
        <v>0.82036805322428052</v>
      </c>
    </row>
    <row r="482" spans="1:19" x14ac:dyDescent="0.25">
      <c r="A482" s="40">
        <f t="shared" si="75"/>
        <v>64.229676878151835</v>
      </c>
      <c r="B482" s="40">
        <f t="shared" si="75"/>
        <v>32.933286051621081</v>
      </c>
      <c r="C482" s="41">
        <f t="shared" si="70"/>
        <v>0.49289226185293716</v>
      </c>
      <c r="D482" s="41">
        <f t="shared" si="71"/>
        <v>0.98069361229543572</v>
      </c>
      <c r="E482" s="39">
        <f>IF(_xlfn.NORM.INV(R482,C482,'Regressão Grupo 2'!$B$7)&lt;=0,0,IF(_xlfn.NORM.INV(R482,C482,'Regressão Grupo 2'!$B$7)&gt;100%,100%,_xlfn.NORM.INV(R482,C482,'Regressão Grupo 2'!$B$7)))</f>
        <v>0.48655919733292896</v>
      </c>
      <c r="F482" s="39">
        <f>IF(_xlfn.NORM.INV(S482,D482,'Regressão Grupo 2'!$B$7)&lt;=0,0,IF(_xlfn.NORM.INV(S482,D482,'Regressão Grupo 2'!$B$7)&gt;100%,100%,_xlfn.NORM.INV(S482,D482,'Regressão Grupo 2'!$B$7)))</f>
        <v>1</v>
      </c>
      <c r="G482" s="41">
        <v>1.6329035391364641E-2</v>
      </c>
      <c r="H482" s="41">
        <v>2.211773739512559E-2</v>
      </c>
      <c r="I482" s="40">
        <f t="shared" si="72"/>
        <v>158.83190478992304</v>
      </c>
      <c r="J482" s="40">
        <f t="shared" si="72"/>
        <v>0</v>
      </c>
      <c r="K482" s="36">
        <v>0.31678146719908828</v>
      </c>
      <c r="L482" s="42">
        <f t="shared" si="77"/>
        <v>19991.322604477216</v>
      </c>
      <c r="M482" s="42">
        <f t="shared" si="77"/>
        <v>0</v>
      </c>
      <c r="N482" s="42">
        <f t="shared" si="73"/>
        <v>6332.8805058965918</v>
      </c>
      <c r="O482" s="36">
        <v>3.4740595721016994</v>
      </c>
      <c r="P482" s="42">
        <f t="shared" si="74"/>
        <v>3317.0499175109635</v>
      </c>
      <c r="Q482" s="42"/>
      <c r="R482">
        <v>0.4817346720786157</v>
      </c>
      <c r="S482">
        <v>0.74968718527787104</v>
      </c>
    </row>
    <row r="483" spans="1:19" x14ac:dyDescent="0.25">
      <c r="A483" s="40">
        <f t="shared" si="75"/>
        <v>64.229676878151835</v>
      </c>
      <c r="B483" s="40">
        <f t="shared" si="75"/>
        <v>32.933286051621081</v>
      </c>
      <c r="C483" s="41">
        <f t="shared" si="70"/>
        <v>0.49289226185293716</v>
      </c>
      <c r="D483" s="41">
        <f t="shared" si="71"/>
        <v>0.98069361229543572</v>
      </c>
      <c r="E483" s="39">
        <f>IF(_xlfn.NORM.INV(R483,C483,'Regressão Grupo 2'!$B$7)&lt;=0,0,IF(_xlfn.NORM.INV(R483,C483,'Regressão Grupo 2'!$B$7)&gt;100%,100%,_xlfn.NORM.INV(R483,C483,'Regressão Grupo 2'!$B$7)))</f>
        <v>0.45650666167177956</v>
      </c>
      <c r="F483" s="39">
        <f>IF(_xlfn.NORM.INV(S483,D483,'Regressão Grupo 2'!$B$7)&lt;=0,0,IF(_xlfn.NORM.INV(S483,D483,'Regressão Grupo 2'!$B$7)&gt;100%,100%,_xlfn.NORM.INV(S483,D483,'Regressão Grupo 2'!$B$7)))</f>
        <v>1</v>
      </c>
      <c r="G483" s="41">
        <v>1.1315711751003259E-2</v>
      </c>
      <c r="H483" s="41">
        <v>7.8589356377350966E-3</v>
      </c>
      <c r="I483" s="40">
        <f t="shared" si="72"/>
        <v>103.26913111488638</v>
      </c>
      <c r="J483" s="40">
        <f t="shared" si="72"/>
        <v>0</v>
      </c>
      <c r="K483" s="36">
        <v>0.22761889729494353</v>
      </c>
      <c r="L483" s="42">
        <f t="shared" si="77"/>
        <v>19991.322604477216</v>
      </c>
      <c r="M483" s="42">
        <f t="shared" si="77"/>
        <v>0</v>
      </c>
      <c r="N483" s="42">
        <f t="shared" si="73"/>
        <v>4550.4028066985829</v>
      </c>
      <c r="O483" s="36">
        <v>5.5610729314388321</v>
      </c>
      <c r="P483" s="42">
        <f t="shared" si="74"/>
        <v>1508.2529466018632</v>
      </c>
      <c r="Q483" s="42"/>
      <c r="R483">
        <v>0.39622180852687156</v>
      </c>
      <c r="S483">
        <v>0.98596148564104125</v>
      </c>
    </row>
    <row r="484" spans="1:19" x14ac:dyDescent="0.25">
      <c r="A484" s="40">
        <f t="shared" si="75"/>
        <v>64.229676878151835</v>
      </c>
      <c r="B484" s="40">
        <f t="shared" si="75"/>
        <v>32.933286051621081</v>
      </c>
      <c r="C484" s="41">
        <f t="shared" si="70"/>
        <v>0.49289226185293716</v>
      </c>
      <c r="D484" s="41">
        <f t="shared" si="71"/>
        <v>0.98069361229543572</v>
      </c>
      <c r="E484" s="39">
        <f>IF(_xlfn.NORM.INV(R484,C484,'Regressão Grupo 2'!$B$7)&lt;=0,0,IF(_xlfn.NORM.INV(R484,C484,'Regressão Grupo 2'!$B$7)&gt;100%,100%,_xlfn.NORM.INV(R484,C484,'Regressão Grupo 2'!$B$7)))</f>
        <v>0.48857050123286339</v>
      </c>
      <c r="F484" s="39">
        <f>IF(_xlfn.NORM.INV(S484,D484,'Regressão Grupo 2'!$B$7)&lt;=0,0,IF(_xlfn.NORM.INV(S484,D484,'Regressão Grupo 2'!$B$7)&gt;100%,100%,_xlfn.NORM.INV(S484,D484,'Regressão Grupo 2'!$B$7)))</f>
        <v>0.79854838868855571</v>
      </c>
      <c r="G484" s="41">
        <v>1.3979280278994441E-2</v>
      </c>
      <c r="H484" s="41">
        <v>1.350352236042353E-2</v>
      </c>
      <c r="I484" s="40">
        <f t="shared" si="72"/>
        <v>136.53801402460127</v>
      </c>
      <c r="J484" s="40">
        <f t="shared" si="72"/>
        <v>0</v>
      </c>
      <c r="K484" s="36">
        <v>0.28267500181510052</v>
      </c>
      <c r="L484" s="42">
        <f t="shared" si="77"/>
        <v>19991.322604477216</v>
      </c>
      <c r="M484" s="42">
        <f t="shared" si="77"/>
        <v>0</v>
      </c>
      <c r="N484" s="42">
        <f t="shared" si="73"/>
        <v>5651.0471535068573</v>
      </c>
      <c r="O484" s="36">
        <v>6.9810652216176061</v>
      </c>
      <c r="P484" s="42">
        <f t="shared" si="74"/>
        <v>2165.5645877419647</v>
      </c>
      <c r="Q484" s="42"/>
      <c r="R484">
        <v>0.48753318887905517</v>
      </c>
      <c r="S484">
        <v>9.387493514816736E-2</v>
      </c>
    </row>
    <row r="485" spans="1:19" x14ac:dyDescent="0.25">
      <c r="A485" s="40">
        <f t="shared" si="75"/>
        <v>64.229676878151835</v>
      </c>
      <c r="B485" s="40">
        <f t="shared" si="75"/>
        <v>32.933286051621081</v>
      </c>
      <c r="C485" s="41">
        <f t="shared" si="70"/>
        <v>0.49289226185293716</v>
      </c>
      <c r="D485" s="41">
        <f t="shared" si="71"/>
        <v>0.98069361229543572</v>
      </c>
      <c r="E485" s="39">
        <f>IF(_xlfn.NORM.INV(R485,C485,'Regressão Grupo 2'!$B$7)&lt;=0,0,IF(_xlfn.NORM.INV(R485,C485,'Regressão Grupo 2'!$B$7)&gt;100%,100%,_xlfn.NORM.INV(R485,C485,'Regressão Grupo 2'!$B$7)))</f>
        <v>0.55427083136239386</v>
      </c>
      <c r="F485" s="39">
        <f>IF(_xlfn.NORM.INV(S485,D485,'Regressão Grupo 2'!$B$7)&lt;=0,0,IF(_xlfn.NORM.INV(S485,D485,'Regressão Grupo 2'!$B$7)&gt;100%,100%,_xlfn.NORM.INV(S485,D485,'Regressão Grupo 2'!$B$7)))</f>
        <v>0.76434959520656975</v>
      </c>
      <c r="G485" s="41">
        <v>1.9902355729418623E-2</v>
      </c>
      <c r="H485" s="41">
        <v>1.042384980806837E-2</v>
      </c>
      <c r="I485" s="40">
        <f t="shared" si="72"/>
        <v>220.53018221223246</v>
      </c>
      <c r="J485" s="40">
        <f t="shared" si="72"/>
        <v>0</v>
      </c>
      <c r="K485" s="36">
        <v>0.31323581115207616</v>
      </c>
      <c r="L485" s="42">
        <f t="shared" si="77"/>
        <v>19991.322604477216</v>
      </c>
      <c r="M485" s="42">
        <f t="shared" si="77"/>
        <v>0</v>
      </c>
      <c r="N485" s="42">
        <f t="shared" si="73"/>
        <v>6261.9981520162564</v>
      </c>
      <c r="O485" s="36">
        <v>5.0199511654879858</v>
      </c>
      <c r="P485" s="42">
        <f t="shared" si="74"/>
        <v>6795.5334481338086</v>
      </c>
      <c r="Q485" s="42"/>
      <c r="R485">
        <v>0.67143772698141424</v>
      </c>
      <c r="S485">
        <v>5.8839686269722587E-2</v>
      </c>
    </row>
    <row r="486" spans="1:19" x14ac:dyDescent="0.25">
      <c r="A486" s="40">
        <f t="shared" si="75"/>
        <v>64.229676878151835</v>
      </c>
      <c r="B486" s="40">
        <f t="shared" si="75"/>
        <v>32.933286051621081</v>
      </c>
      <c r="C486" s="41">
        <f t="shared" si="70"/>
        <v>0.49289226185293716</v>
      </c>
      <c r="D486" s="41">
        <f t="shared" si="71"/>
        <v>0.98069361229543572</v>
      </c>
      <c r="E486" s="39">
        <f>IF(_xlfn.NORM.INV(R486,C486,'Regressão Grupo 2'!$B$7)&lt;=0,0,IF(_xlfn.NORM.INV(R486,C486,'Regressão Grupo 2'!$B$7)&gt;100%,100%,_xlfn.NORM.INV(R486,C486,'Regressão Grupo 2'!$B$7)))</f>
        <v>0.320536231538398</v>
      </c>
      <c r="F486" s="39">
        <f>IF(_xlfn.NORM.INV(S486,D486,'Regressão Grupo 2'!$B$7)&lt;=0,0,IF(_xlfn.NORM.INV(S486,D486,'Regressão Grupo 2'!$B$7)&gt;100%,100%,_xlfn.NORM.INV(S486,D486,'Regressão Grupo 2'!$B$7)))</f>
        <v>0.8218565210099712</v>
      </c>
      <c r="G486" s="41">
        <v>1.9426343015690236E-2</v>
      </c>
      <c r="H486" s="41">
        <v>2.569791450839216E-2</v>
      </c>
      <c r="I486" s="40">
        <f t="shared" si="72"/>
        <v>124.48290284403821</v>
      </c>
      <c r="J486" s="40">
        <f t="shared" si="72"/>
        <v>0</v>
      </c>
      <c r="K486" s="36">
        <v>0.36242679463939598</v>
      </c>
      <c r="L486" s="42">
        <f t="shared" si="77"/>
        <v>19991.322604477216</v>
      </c>
      <c r="M486" s="42">
        <f t="shared" si="77"/>
        <v>0</v>
      </c>
      <c r="N486" s="42">
        <f t="shared" si="73"/>
        <v>7245.390972142779</v>
      </c>
      <c r="O486" s="36">
        <v>5.5057169108549049</v>
      </c>
      <c r="P486" s="42">
        <f t="shared" si="74"/>
        <v>64.73803108343418</v>
      </c>
      <c r="Q486" s="42"/>
      <c r="R486">
        <v>0.10629596850489823</v>
      </c>
      <c r="S486">
        <v>0.12533951841792046</v>
      </c>
    </row>
    <row r="487" spans="1:19" x14ac:dyDescent="0.25">
      <c r="A487" s="40">
        <f t="shared" si="75"/>
        <v>64.229676878151835</v>
      </c>
      <c r="B487" s="40">
        <f t="shared" si="75"/>
        <v>32.933286051621081</v>
      </c>
      <c r="C487" s="41">
        <f t="shared" si="70"/>
        <v>0.49289226185293716</v>
      </c>
      <c r="D487" s="41">
        <f t="shared" si="71"/>
        <v>0.98069361229543572</v>
      </c>
      <c r="E487" s="39">
        <f>IF(_xlfn.NORM.INV(R487,C487,'Regressão Grupo 2'!$B$7)&lt;=0,0,IF(_xlfn.NORM.INV(R487,C487,'Regressão Grupo 2'!$B$7)&gt;100%,100%,_xlfn.NORM.INV(R487,C487,'Regressão Grupo 2'!$B$7)))</f>
        <v>0.57036811433432966</v>
      </c>
      <c r="F487" s="39">
        <f>IF(_xlfn.NORM.INV(S487,D487,'Regressão Grupo 2'!$B$7)&lt;=0,0,IF(_xlfn.NORM.INV(S487,D487,'Regressão Grupo 2'!$B$7)&gt;100%,100%,_xlfn.NORM.INV(S487,D487,'Regressão Grupo 2'!$B$7)))</f>
        <v>0.82727890981531171</v>
      </c>
      <c r="G487" s="41">
        <v>1.5651716660993936E-2</v>
      </c>
      <c r="H487" s="41">
        <v>2.0109745159115351E-2</v>
      </c>
      <c r="I487" s="40">
        <f t="shared" si="72"/>
        <v>178.46733716709548</v>
      </c>
      <c r="J487" s="40">
        <f t="shared" si="72"/>
        <v>0</v>
      </c>
      <c r="K487" s="36">
        <v>0.37456644858363114</v>
      </c>
      <c r="L487" s="42">
        <f t="shared" ref="L487:M502" si="78">L486</f>
        <v>19991.322604477216</v>
      </c>
      <c r="M487" s="42">
        <f t="shared" si="78"/>
        <v>0</v>
      </c>
      <c r="N487" s="42">
        <f t="shared" si="73"/>
        <v>7488.0787104486981</v>
      </c>
      <c r="O487" s="36">
        <v>7.3893057521747032</v>
      </c>
      <c r="P487" s="42">
        <f t="shared" si="74"/>
        <v>2656.0709679939018</v>
      </c>
      <c r="Q487" s="42"/>
      <c r="R487">
        <v>0.71236304818872642</v>
      </c>
      <c r="S487">
        <v>0.13361003448591571</v>
      </c>
    </row>
    <row r="488" spans="1:19" x14ac:dyDescent="0.25">
      <c r="A488" s="40">
        <f t="shared" si="75"/>
        <v>64.229676878151835</v>
      </c>
      <c r="B488" s="40">
        <f t="shared" si="75"/>
        <v>32.933286051621081</v>
      </c>
      <c r="C488" s="41">
        <f t="shared" si="70"/>
        <v>0.49289226185293716</v>
      </c>
      <c r="D488" s="41">
        <f t="shared" si="71"/>
        <v>0.98069361229543572</v>
      </c>
      <c r="E488" s="39">
        <f>IF(_xlfn.NORM.INV(R488,C488,'Regressão Grupo 2'!$B$7)&lt;=0,0,IF(_xlfn.NORM.INV(R488,C488,'Regressão Grupo 2'!$B$7)&gt;100%,100%,_xlfn.NORM.INV(R488,C488,'Regressão Grupo 2'!$B$7)))</f>
        <v>0.48556366205183288</v>
      </c>
      <c r="F488" s="39">
        <f>IF(_xlfn.NORM.INV(S488,D488,'Regressão Grupo 2'!$B$7)&lt;=0,0,IF(_xlfn.NORM.INV(S488,D488,'Regressão Grupo 2'!$B$7)&gt;100%,100%,_xlfn.NORM.INV(S488,D488,'Regressão Grupo 2'!$B$7)))</f>
        <v>1</v>
      </c>
      <c r="G488" s="41">
        <v>1.5881002928197958E-2</v>
      </c>
      <c r="H488" s="41">
        <v>1.0936611139419482E-2</v>
      </c>
      <c r="I488" s="40">
        <f t="shared" si="72"/>
        <v>154.15784531586775</v>
      </c>
      <c r="J488" s="40">
        <f t="shared" si="72"/>
        <v>0</v>
      </c>
      <c r="K488" s="36">
        <v>0.24724779906514327</v>
      </c>
      <c r="L488" s="42">
        <f t="shared" si="78"/>
        <v>19991.322604477216</v>
      </c>
      <c r="M488" s="42">
        <f t="shared" si="78"/>
        <v>0</v>
      </c>
      <c r="N488" s="42">
        <f t="shared" si="73"/>
        <v>4942.8105143582397</v>
      </c>
      <c r="O488" s="36">
        <v>5.6387880431706954</v>
      </c>
      <c r="P488" s="42">
        <f t="shared" si="74"/>
        <v>4089.4346635839847</v>
      </c>
      <c r="Q488" s="42"/>
      <c r="R488">
        <v>0.47886593218787193</v>
      </c>
      <c r="S488">
        <v>0.64888454847865229</v>
      </c>
    </row>
    <row r="489" spans="1:19" x14ac:dyDescent="0.25">
      <c r="A489" s="40">
        <f t="shared" si="75"/>
        <v>64.229676878151835</v>
      </c>
      <c r="B489" s="40">
        <f t="shared" si="75"/>
        <v>32.933286051621081</v>
      </c>
      <c r="C489" s="41">
        <f t="shared" si="70"/>
        <v>0.49289226185293716</v>
      </c>
      <c r="D489" s="41">
        <f t="shared" si="71"/>
        <v>0.98069361229543572</v>
      </c>
      <c r="E489" s="39">
        <f>IF(_xlfn.NORM.INV(R489,C489,'Regressão Grupo 2'!$B$7)&lt;=0,0,IF(_xlfn.NORM.INV(R489,C489,'Regressão Grupo 2'!$B$7)&gt;100%,100%,_xlfn.NORM.INV(R489,C489,'Regressão Grupo 2'!$B$7)))</f>
        <v>0.69042150446500394</v>
      </c>
      <c r="F489" s="39">
        <f>IF(_xlfn.NORM.INV(S489,D489,'Regressão Grupo 2'!$B$7)&lt;=0,0,IF(_xlfn.NORM.INV(S489,D489,'Regressão Grupo 2'!$B$7)&gt;100%,100%,_xlfn.NORM.INV(S489,D489,'Regressão Grupo 2'!$B$7)))</f>
        <v>0.73926653328538339</v>
      </c>
      <c r="G489" s="41">
        <v>1.8064136919340654E-2</v>
      </c>
      <c r="H489" s="41">
        <v>2.3476409457054634E-2</v>
      </c>
      <c r="I489" s="40">
        <f t="shared" si="72"/>
        <v>249.32914843760747</v>
      </c>
      <c r="J489" s="40">
        <f t="shared" si="72"/>
        <v>0</v>
      </c>
      <c r="K489" s="36">
        <v>0.31134438910599671</v>
      </c>
      <c r="L489" s="42">
        <f t="shared" si="78"/>
        <v>19991.322604477216</v>
      </c>
      <c r="M489" s="42">
        <f t="shared" si="78"/>
        <v>0</v>
      </c>
      <c r="N489" s="42">
        <f t="shared" si="73"/>
        <v>6224.1861237118619</v>
      </c>
      <c r="O489" s="36">
        <v>6.6827306997487721</v>
      </c>
      <c r="P489" s="42">
        <f t="shared" si="74"/>
        <v>8123.9449621342019</v>
      </c>
      <c r="Q489" s="42"/>
      <c r="R489">
        <v>0.923429059724723</v>
      </c>
      <c r="S489">
        <v>4.0406506546220286E-2</v>
      </c>
    </row>
    <row r="490" spans="1:19" x14ac:dyDescent="0.25">
      <c r="A490" s="40">
        <f t="shared" si="75"/>
        <v>64.229676878151835</v>
      </c>
      <c r="B490" s="40">
        <f t="shared" si="75"/>
        <v>32.933286051621081</v>
      </c>
      <c r="C490" s="41">
        <f t="shared" si="70"/>
        <v>0.49289226185293716</v>
      </c>
      <c r="D490" s="41">
        <f t="shared" si="71"/>
        <v>0.98069361229543572</v>
      </c>
      <c r="E490" s="39">
        <f>IF(_xlfn.NORM.INV(R490,C490,'Regressão Grupo 2'!$B$7)&lt;=0,0,IF(_xlfn.NORM.INV(R490,C490,'Regressão Grupo 2'!$B$7)&gt;100%,100%,_xlfn.NORM.INV(R490,C490,'Regressão Grupo 2'!$B$7)))</f>
        <v>0.4874273732007357</v>
      </c>
      <c r="F490" s="39">
        <f>IF(_xlfn.NORM.INV(S490,D490,'Regressão Grupo 2'!$B$7)&lt;=0,0,IF(_xlfn.NORM.INV(S490,D490,'Regressão Grupo 2'!$B$7)&gt;100%,100%,_xlfn.NORM.INV(S490,D490,'Regressão Grupo 2'!$B$7)))</f>
        <v>0.95219199749609529</v>
      </c>
      <c r="G490" s="41">
        <v>2.0588550851218041E-2</v>
      </c>
      <c r="H490" s="41">
        <v>1.8710637737254163E-2</v>
      </c>
      <c r="I490" s="40">
        <f t="shared" si="72"/>
        <v>200.62138385151911</v>
      </c>
      <c r="J490" s="40">
        <f t="shared" si="72"/>
        <v>0</v>
      </c>
      <c r="K490" s="36">
        <v>0.31516571352911771</v>
      </c>
      <c r="L490" s="42">
        <f t="shared" si="78"/>
        <v>19991.322604477216</v>
      </c>
      <c r="M490" s="42">
        <f t="shared" si="78"/>
        <v>0</v>
      </c>
      <c r="N490" s="42">
        <f t="shared" si="73"/>
        <v>6300.5794530308413</v>
      </c>
      <c r="O490" s="36">
        <v>6.864207514648756</v>
      </c>
      <c r="P490" s="42">
        <f t="shared" si="74"/>
        <v>5208.1603959670701</v>
      </c>
      <c r="Q490" s="42"/>
      <c r="R490">
        <v>0.48423718985564745</v>
      </c>
      <c r="S490">
        <v>0.4183477278969695</v>
      </c>
    </row>
    <row r="491" spans="1:19" x14ac:dyDescent="0.25">
      <c r="A491" s="40">
        <f t="shared" si="75"/>
        <v>64.229676878151835</v>
      </c>
      <c r="B491" s="40">
        <f t="shared" si="75"/>
        <v>32.933286051621081</v>
      </c>
      <c r="C491" s="41">
        <f t="shared" si="70"/>
        <v>0.49289226185293716</v>
      </c>
      <c r="D491" s="41">
        <f t="shared" si="71"/>
        <v>0.98069361229543572</v>
      </c>
      <c r="E491" s="39">
        <f>IF(_xlfn.NORM.INV(R491,C491,'Regressão Grupo 2'!$B$7)&lt;=0,0,IF(_xlfn.NORM.INV(R491,C491,'Regressão Grupo 2'!$B$7)&gt;100%,100%,_xlfn.NORM.INV(R491,C491,'Regressão Grupo 2'!$B$7)))</f>
        <v>0.44683979669236173</v>
      </c>
      <c r="F491" s="39">
        <f>IF(_xlfn.NORM.INV(S491,D491,'Regressão Grupo 2'!$B$7)&lt;=0,0,IF(_xlfn.NORM.INV(S491,D491,'Regressão Grupo 2'!$B$7)&gt;100%,100%,_xlfn.NORM.INV(S491,D491,'Regressão Grupo 2'!$B$7)))</f>
        <v>0.80697203662981187</v>
      </c>
      <c r="G491" s="41">
        <v>2.7119334081906043E-2</v>
      </c>
      <c r="H491" s="41">
        <v>1.686762860681229E-2</v>
      </c>
      <c r="I491" s="40">
        <f t="shared" si="72"/>
        <v>242.25480189259616</v>
      </c>
      <c r="J491" s="40">
        <f t="shared" si="72"/>
        <v>0</v>
      </c>
      <c r="K491" s="36">
        <v>0.28993520535347317</v>
      </c>
      <c r="L491" s="42">
        <f t="shared" si="78"/>
        <v>19991.322604477216</v>
      </c>
      <c r="M491" s="42">
        <f t="shared" si="78"/>
        <v>0</v>
      </c>
      <c r="N491" s="42">
        <f t="shared" si="73"/>
        <v>5796.1882246166315</v>
      </c>
      <c r="O491" s="36">
        <v>7.506523626188744</v>
      </c>
      <c r="P491" s="42">
        <f t="shared" si="74"/>
        <v>7945.2680291610595</v>
      </c>
      <c r="Q491" s="42"/>
      <c r="R491">
        <v>0.36954863124484999</v>
      </c>
      <c r="S491">
        <v>0.10449537644581439</v>
      </c>
    </row>
    <row r="492" spans="1:19" x14ac:dyDescent="0.25">
      <c r="A492" s="40">
        <f t="shared" si="75"/>
        <v>64.229676878151835</v>
      </c>
      <c r="B492" s="40">
        <f t="shared" si="75"/>
        <v>32.933286051621081</v>
      </c>
      <c r="C492" s="41">
        <f t="shared" si="70"/>
        <v>0.49289226185293716</v>
      </c>
      <c r="D492" s="41">
        <f t="shared" si="71"/>
        <v>0.98069361229543572</v>
      </c>
      <c r="E492" s="39">
        <f>IF(_xlfn.NORM.INV(R492,C492,'Regressão Grupo 2'!$B$7)&lt;=0,0,IF(_xlfn.NORM.INV(R492,C492,'Regressão Grupo 2'!$B$7)&gt;100%,100%,_xlfn.NORM.INV(R492,C492,'Regressão Grupo 2'!$B$7)))</f>
        <v>0.30457229746566383</v>
      </c>
      <c r="F492" s="39">
        <f>IF(_xlfn.NORM.INV(S492,D492,'Regressão Grupo 2'!$B$7)&lt;=0,0,IF(_xlfn.NORM.INV(S492,D492,'Regressão Grupo 2'!$B$7)&gt;100%,100%,_xlfn.NORM.INV(S492,D492,'Regressão Grupo 2'!$B$7)))</f>
        <v>0.87456223740447414</v>
      </c>
      <c r="G492" s="41">
        <v>2.5214672480942876E-2</v>
      </c>
      <c r="H492" s="41">
        <v>9.852289401409562E-3</v>
      </c>
      <c r="I492" s="40">
        <f t="shared" si="72"/>
        <v>153.52717483336644</v>
      </c>
      <c r="J492" s="40">
        <f t="shared" si="72"/>
        <v>0</v>
      </c>
      <c r="K492" s="36">
        <v>0.20808398576910608</v>
      </c>
      <c r="L492" s="42">
        <f t="shared" si="78"/>
        <v>19991.322604477216</v>
      </c>
      <c r="M492" s="42">
        <f t="shared" si="78"/>
        <v>0</v>
      </c>
      <c r="N492" s="42">
        <f t="shared" si="73"/>
        <v>4159.8740883356459</v>
      </c>
      <c r="O492" s="36">
        <v>2.8053320738219947</v>
      </c>
      <c r="P492" s="42">
        <f t="shared" si="74"/>
        <v>5270.4320354636857</v>
      </c>
      <c r="Q492" s="42"/>
      <c r="R492">
        <v>8.6611529892880026E-2</v>
      </c>
      <c r="S492">
        <v>0.22138126773888364</v>
      </c>
    </row>
    <row r="493" spans="1:19" x14ac:dyDescent="0.25">
      <c r="A493" s="40">
        <f t="shared" si="75"/>
        <v>64.229676878151835</v>
      </c>
      <c r="B493" s="40">
        <f t="shared" si="75"/>
        <v>32.933286051621081</v>
      </c>
      <c r="C493" s="41">
        <f t="shared" si="70"/>
        <v>0.49289226185293716</v>
      </c>
      <c r="D493" s="41">
        <f t="shared" si="71"/>
        <v>0.98069361229543572</v>
      </c>
      <c r="E493" s="39">
        <f>IF(_xlfn.NORM.INV(R493,C493,'Regressão Grupo 2'!$B$7)&lt;=0,0,IF(_xlfn.NORM.INV(R493,C493,'Regressão Grupo 2'!$B$7)&gt;100%,100%,_xlfn.NORM.INV(R493,C493,'Regressão Grupo 2'!$B$7)))</f>
        <v>0.34799416145252121</v>
      </c>
      <c r="F493" s="39">
        <f>IF(_xlfn.NORM.INV(S493,D493,'Regressão Grupo 2'!$B$7)&lt;=0,0,IF(_xlfn.NORM.INV(S493,D493,'Regressão Grupo 2'!$B$7)&gt;100%,100%,_xlfn.NORM.INV(S493,D493,'Regressão Grupo 2'!$B$7)))</f>
        <v>0.84177751053414096</v>
      </c>
      <c r="G493" s="41">
        <v>1.4718999969886725E-2</v>
      </c>
      <c r="H493" s="41">
        <v>2.0284811948612362E-2</v>
      </c>
      <c r="I493" s="40">
        <f t="shared" si="72"/>
        <v>102.39807432513807</v>
      </c>
      <c r="J493" s="40">
        <f t="shared" si="72"/>
        <v>0</v>
      </c>
      <c r="K493" s="36">
        <v>0.26314202172344858</v>
      </c>
      <c r="L493" s="42">
        <f t="shared" si="78"/>
        <v>19991.322604477216</v>
      </c>
      <c r="M493" s="42">
        <f t="shared" si="78"/>
        <v>0</v>
      </c>
      <c r="N493" s="42">
        <f t="shared" si="73"/>
        <v>5260.5570470678122</v>
      </c>
      <c r="O493" s="36">
        <v>6.8453965831483616</v>
      </c>
      <c r="P493" s="42">
        <f t="shared" si="74"/>
        <v>615.48275167450993</v>
      </c>
      <c r="Q493" s="42"/>
      <c r="R493">
        <v>0.14734336375011445</v>
      </c>
      <c r="S493">
        <v>0.1575365459150975</v>
      </c>
    </row>
    <row r="494" spans="1:19" x14ac:dyDescent="0.25">
      <c r="A494" s="40">
        <f t="shared" si="75"/>
        <v>64.229676878151835</v>
      </c>
      <c r="B494" s="40">
        <f t="shared" si="75"/>
        <v>32.933286051621081</v>
      </c>
      <c r="C494" s="41">
        <f t="shared" si="70"/>
        <v>0.49289226185293716</v>
      </c>
      <c r="D494" s="41">
        <f t="shared" si="71"/>
        <v>0.98069361229543572</v>
      </c>
      <c r="E494" s="39">
        <f>IF(_xlfn.NORM.INV(R494,C494,'Regressão Grupo 2'!$B$7)&lt;=0,0,IF(_xlfn.NORM.INV(R494,C494,'Regressão Grupo 2'!$B$7)&gt;100%,100%,_xlfn.NORM.INV(R494,C494,'Regressão Grupo 2'!$B$7)))</f>
        <v>0.69322013071095046</v>
      </c>
      <c r="F494" s="39">
        <f>IF(_xlfn.NORM.INV(S494,D494,'Regressão Grupo 2'!$B$7)&lt;=0,0,IF(_xlfn.NORM.INV(S494,D494,'Regressão Grupo 2'!$B$7)&gt;100%,100%,_xlfn.NORM.INV(S494,D494,'Regressão Grupo 2'!$B$7)))</f>
        <v>0.87920339138343251</v>
      </c>
      <c r="G494" s="41">
        <v>1.6977008222125986E-2</v>
      </c>
      <c r="H494" s="41">
        <v>2.2313550834835275E-2</v>
      </c>
      <c r="I494" s="40">
        <f t="shared" si="72"/>
        <v>235.27395461054809</v>
      </c>
      <c r="J494" s="40">
        <f t="shared" si="72"/>
        <v>0</v>
      </c>
      <c r="K494" s="36">
        <v>0.28083383861887201</v>
      </c>
      <c r="L494" s="42">
        <f t="shared" si="78"/>
        <v>19991.322604477216</v>
      </c>
      <c r="M494" s="42">
        <f t="shared" si="78"/>
        <v>0</v>
      </c>
      <c r="N494" s="42">
        <f t="shared" si="73"/>
        <v>5614.2398660835624</v>
      </c>
      <c r="O494" s="36">
        <v>7.0644680581955921</v>
      </c>
      <c r="P494" s="42">
        <f t="shared" si="74"/>
        <v>7835.2448791253246</v>
      </c>
      <c r="Q494" s="42"/>
      <c r="R494">
        <v>0.92629779961546677</v>
      </c>
      <c r="S494">
        <v>0.2314828943754387</v>
      </c>
    </row>
    <row r="495" spans="1:19" x14ac:dyDescent="0.25">
      <c r="A495" s="40">
        <f t="shared" si="75"/>
        <v>64.229676878151835</v>
      </c>
      <c r="B495" s="40">
        <f t="shared" si="75"/>
        <v>32.933286051621081</v>
      </c>
      <c r="C495" s="41">
        <f t="shared" si="70"/>
        <v>0.49289226185293716</v>
      </c>
      <c r="D495" s="41">
        <f t="shared" si="71"/>
        <v>0.98069361229543572</v>
      </c>
      <c r="E495" s="39">
        <f>IF(_xlfn.NORM.INV(R495,C495,'Regressão Grupo 2'!$B$7)&lt;=0,0,IF(_xlfn.NORM.INV(R495,C495,'Regressão Grupo 2'!$B$7)&gt;100%,100%,_xlfn.NORM.INV(R495,C495,'Regressão Grupo 2'!$B$7)))</f>
        <v>0.72545402139256321</v>
      </c>
      <c r="F495" s="39">
        <f>IF(_xlfn.NORM.INV(S495,D495,'Regressão Grupo 2'!$B$7)&lt;=0,0,IF(_xlfn.NORM.INV(S495,D495,'Regressão Grupo 2'!$B$7)&gt;100%,100%,_xlfn.NORM.INV(S495,D495,'Regressão Grupo 2'!$B$7)))</f>
        <v>1</v>
      </c>
      <c r="G495" s="41">
        <v>2.4502576521173932E-2</v>
      </c>
      <c r="H495" s="41">
        <v>1.0273535550305924E-2</v>
      </c>
      <c r="I495" s="40">
        <f t="shared" si="72"/>
        <v>355.35560845476738</v>
      </c>
      <c r="J495" s="40">
        <f t="shared" si="72"/>
        <v>0</v>
      </c>
      <c r="K495" s="36">
        <v>0.37074225980519171</v>
      </c>
      <c r="L495" s="42">
        <f t="shared" si="78"/>
        <v>19991.322604477216</v>
      </c>
      <c r="M495" s="42">
        <f t="shared" si="78"/>
        <v>0</v>
      </c>
      <c r="N495" s="42">
        <f t="shared" si="73"/>
        <v>7411.6281188784942</v>
      </c>
      <c r="O495" s="36">
        <v>5.8785343959868079</v>
      </c>
      <c r="P495" s="42">
        <f t="shared" si="74"/>
        <v>13323.777621902083</v>
      </c>
      <c r="Q495" s="42"/>
      <c r="R495">
        <v>0.95370342112491224</v>
      </c>
      <c r="S495">
        <v>0.95718253120517593</v>
      </c>
    </row>
    <row r="496" spans="1:19" x14ac:dyDescent="0.25">
      <c r="A496" s="40">
        <f t="shared" si="75"/>
        <v>64.229676878151835</v>
      </c>
      <c r="B496" s="40">
        <f t="shared" si="75"/>
        <v>32.933286051621081</v>
      </c>
      <c r="C496" s="41">
        <f t="shared" si="70"/>
        <v>0.49289226185293716</v>
      </c>
      <c r="D496" s="41">
        <f t="shared" si="71"/>
        <v>0.98069361229543572</v>
      </c>
      <c r="E496" s="39">
        <f>IF(_xlfn.NORM.INV(R496,C496,'Regressão Grupo 2'!$B$7)&lt;=0,0,IF(_xlfn.NORM.INV(R496,C496,'Regressão Grupo 2'!$B$7)&gt;100%,100%,_xlfn.NORM.INV(R496,C496,'Regressão Grupo 2'!$B$7)))</f>
        <v>0.55984320683669586</v>
      </c>
      <c r="F496" s="39">
        <f>IF(_xlfn.NORM.INV(S496,D496,'Regressão Grupo 2'!$B$7)&lt;=0,0,IF(_xlfn.NORM.INV(S496,D496,'Regressão Grupo 2'!$B$7)&gt;100%,100%,_xlfn.NORM.INV(S496,D496,'Regressão Grupo 2'!$B$7)))</f>
        <v>0.72827988330118165</v>
      </c>
      <c r="G496" s="41">
        <v>1.7282666043146509E-2</v>
      </c>
      <c r="H496" s="41">
        <v>1.3261181198259501E-2</v>
      </c>
      <c r="I496" s="40">
        <f t="shared" si="72"/>
        <v>193.42770474348731</v>
      </c>
      <c r="J496" s="40">
        <f t="shared" si="72"/>
        <v>0</v>
      </c>
      <c r="K496" s="36">
        <v>0.24116765753268049</v>
      </c>
      <c r="L496" s="42">
        <f t="shared" si="78"/>
        <v>19991.322604477216</v>
      </c>
      <c r="M496" s="42">
        <f t="shared" si="78"/>
        <v>0</v>
      </c>
      <c r="N496" s="42">
        <f t="shared" si="73"/>
        <v>4821.2604435018957</v>
      </c>
      <c r="O496" s="36">
        <v>5.5617029182347775</v>
      </c>
      <c r="P496" s="42">
        <f t="shared" si="74"/>
        <v>6526.7511015155442</v>
      </c>
      <c r="Q496" s="42"/>
      <c r="R496">
        <v>0.68587298196356095</v>
      </c>
      <c r="S496">
        <v>3.3967101046784874E-2</v>
      </c>
    </row>
    <row r="497" spans="1:19" x14ac:dyDescent="0.25">
      <c r="A497" s="40">
        <f t="shared" si="75"/>
        <v>64.229676878151835</v>
      </c>
      <c r="B497" s="40">
        <f t="shared" si="75"/>
        <v>32.933286051621081</v>
      </c>
      <c r="C497" s="41">
        <f t="shared" si="70"/>
        <v>0.49289226185293716</v>
      </c>
      <c r="D497" s="41">
        <f t="shared" si="71"/>
        <v>0.98069361229543572</v>
      </c>
      <c r="E497" s="39">
        <f>IF(_xlfn.NORM.INV(R497,C497,'Regressão Grupo 2'!$B$7)&lt;=0,0,IF(_xlfn.NORM.INV(R497,C497,'Regressão Grupo 2'!$B$7)&gt;100%,100%,_xlfn.NORM.INV(R497,C497,'Regressão Grupo 2'!$B$7)))</f>
        <v>0.53973934895389208</v>
      </c>
      <c r="F497" s="39">
        <f>IF(_xlfn.NORM.INV(S497,D497,'Regressão Grupo 2'!$B$7)&lt;=0,0,IF(_xlfn.NORM.INV(S497,D497,'Regressão Grupo 2'!$B$7)&gt;100%,100%,_xlfn.NORM.INV(S497,D497,'Regressão Grupo 2'!$B$7)))</f>
        <v>1</v>
      </c>
      <c r="G497" s="41">
        <v>1.2386741616508577E-2</v>
      </c>
      <c r="H497" s="41">
        <v>1.2754037105712704E-2</v>
      </c>
      <c r="I497" s="40">
        <f t="shared" si="72"/>
        <v>133.65422341670421</v>
      </c>
      <c r="J497" s="40">
        <f t="shared" si="72"/>
        <v>0</v>
      </c>
      <c r="K497" s="36">
        <v>0.36835624177852444</v>
      </c>
      <c r="L497" s="42">
        <f t="shared" si="78"/>
        <v>19991.322604477216</v>
      </c>
      <c r="M497" s="42">
        <f t="shared" si="78"/>
        <v>0</v>
      </c>
      <c r="N497" s="42">
        <f t="shared" si="73"/>
        <v>7363.9284627672905</v>
      </c>
      <c r="O497" s="36">
        <v>3.7193571925515112</v>
      </c>
      <c r="P497" s="42">
        <f t="shared" si="74"/>
        <v>723.53132350812939</v>
      </c>
      <c r="Q497" s="42"/>
      <c r="R497">
        <v>0.6326181829279458</v>
      </c>
      <c r="S497">
        <v>0.67101046784875029</v>
      </c>
    </row>
    <row r="498" spans="1:19" x14ac:dyDescent="0.25">
      <c r="A498" s="40">
        <f t="shared" si="75"/>
        <v>64.229676878151835</v>
      </c>
      <c r="B498" s="40">
        <f t="shared" si="75"/>
        <v>32.933286051621081</v>
      </c>
      <c r="C498" s="41">
        <f t="shared" si="70"/>
        <v>0.49289226185293716</v>
      </c>
      <c r="D498" s="41">
        <f t="shared" si="71"/>
        <v>0.98069361229543572</v>
      </c>
      <c r="E498" s="39">
        <f>IF(_xlfn.NORM.INV(R498,C498,'Regressão Grupo 2'!$B$7)&lt;=0,0,IF(_xlfn.NORM.INV(R498,C498,'Regressão Grupo 2'!$B$7)&gt;100%,100%,_xlfn.NORM.INV(R498,C498,'Regressão Grupo 2'!$B$7)))</f>
        <v>0.40536733249242379</v>
      </c>
      <c r="F498" s="39">
        <f>IF(_xlfn.NORM.INV(S498,D498,'Regressão Grupo 2'!$B$7)&lt;=0,0,IF(_xlfn.NORM.INV(S498,D498,'Regressão Grupo 2'!$B$7)&gt;100%,100%,_xlfn.NORM.INV(S498,D498,'Regressão Grupo 2'!$B$7)))</f>
        <v>0.8795216203977273</v>
      </c>
      <c r="G498" s="41">
        <v>1.4742746945972109E-2</v>
      </c>
      <c r="H498" s="41">
        <v>1.2113398714058813E-2</v>
      </c>
      <c r="I498" s="40">
        <f t="shared" si="72"/>
        <v>119.4727019678736</v>
      </c>
      <c r="J498" s="40">
        <f t="shared" si="72"/>
        <v>0</v>
      </c>
      <c r="K498" s="36">
        <v>0.17699760274747145</v>
      </c>
      <c r="L498" s="42">
        <f t="shared" si="78"/>
        <v>19991.322604477216</v>
      </c>
      <c r="M498" s="42">
        <f t="shared" si="78"/>
        <v>0</v>
      </c>
      <c r="N498" s="42">
        <f t="shared" si="73"/>
        <v>3538.4161767438045</v>
      </c>
      <c r="O498" s="36">
        <v>5.2786170579363203</v>
      </c>
      <c r="P498" s="42">
        <f t="shared" si="74"/>
        <v>3504.6262238470927</v>
      </c>
      <c r="Q498" s="42"/>
      <c r="R498">
        <v>0.26337473677785578</v>
      </c>
      <c r="S498">
        <v>0.23218482009338665</v>
      </c>
    </row>
    <row r="499" spans="1:19" x14ac:dyDescent="0.25">
      <c r="A499" s="40">
        <f t="shared" si="75"/>
        <v>64.229676878151835</v>
      </c>
      <c r="B499" s="40">
        <f t="shared" si="75"/>
        <v>32.933286051621081</v>
      </c>
      <c r="C499" s="41">
        <f t="shared" si="70"/>
        <v>0.49289226185293716</v>
      </c>
      <c r="D499" s="41">
        <f t="shared" si="71"/>
        <v>0.98069361229543572</v>
      </c>
      <c r="E499" s="39">
        <f>IF(_xlfn.NORM.INV(R499,C499,'Regressão Grupo 2'!$B$7)&lt;=0,0,IF(_xlfn.NORM.INV(R499,C499,'Regressão Grupo 2'!$B$7)&gt;100%,100%,_xlfn.NORM.INV(R499,C499,'Regressão Grupo 2'!$B$7)))</f>
        <v>0.78301797198511724</v>
      </c>
      <c r="F499" s="39">
        <f>IF(_xlfn.NORM.INV(S499,D499,'Regressão Grupo 2'!$B$7)&lt;=0,0,IF(_xlfn.NORM.INV(S499,D499,'Regressão Grupo 2'!$B$7)&gt;100%,100%,_xlfn.NORM.INV(S499,D499,'Regressão Grupo 2'!$B$7)))</f>
        <v>1</v>
      </c>
      <c r="G499" s="41">
        <v>2.0725252213527015E-2</v>
      </c>
      <c r="H499" s="41">
        <v>5.2173874041293953E-3</v>
      </c>
      <c r="I499" s="40">
        <f t="shared" si="72"/>
        <v>324.42408024218622</v>
      </c>
      <c r="J499" s="40">
        <f t="shared" si="72"/>
        <v>0</v>
      </c>
      <c r="K499" s="36">
        <v>0.38266253085634128</v>
      </c>
      <c r="L499" s="42">
        <f t="shared" si="78"/>
        <v>19991.322604477216</v>
      </c>
      <c r="M499" s="42">
        <f t="shared" si="78"/>
        <v>0</v>
      </c>
      <c r="N499" s="42">
        <f t="shared" si="73"/>
        <v>7649.9301029948356</v>
      </c>
      <c r="O499" s="36">
        <v>4.920292767600416</v>
      </c>
      <c r="P499" s="42">
        <f t="shared" si="74"/>
        <v>11591.462286801343</v>
      </c>
      <c r="Q499" s="42"/>
      <c r="R499">
        <v>0.98205511642811361</v>
      </c>
      <c r="S499">
        <v>0.58137760551774653</v>
      </c>
    </row>
    <row r="500" spans="1:19" x14ac:dyDescent="0.25">
      <c r="A500" s="40">
        <f t="shared" si="75"/>
        <v>64.229676878151835</v>
      </c>
      <c r="B500" s="40">
        <f t="shared" si="75"/>
        <v>32.933286051621081</v>
      </c>
      <c r="C500" s="41">
        <f t="shared" si="70"/>
        <v>0.49289226185293716</v>
      </c>
      <c r="D500" s="41">
        <f t="shared" si="71"/>
        <v>0.98069361229543572</v>
      </c>
      <c r="E500" s="39">
        <f>IF(_xlfn.NORM.INV(R500,C500,'Regressão Grupo 2'!$B$7)&lt;=0,0,IF(_xlfn.NORM.INV(R500,C500,'Regressão Grupo 2'!$B$7)&gt;100%,100%,_xlfn.NORM.INV(R500,C500,'Regressão Grupo 2'!$B$7)))</f>
        <v>0.4135529857521838</v>
      </c>
      <c r="F500" s="39">
        <f>IF(_xlfn.NORM.INV(S500,D500,'Regressão Grupo 2'!$B$7)&lt;=0,0,IF(_xlfn.NORM.INV(S500,D500,'Regressão Grupo 2'!$B$7)&gt;100%,100%,_xlfn.NORM.INV(S500,D500,'Regressão Grupo 2'!$B$7)))</f>
        <v>0.7382891237139505</v>
      </c>
      <c r="G500" s="41">
        <v>2.0532542288557103E-2</v>
      </c>
      <c r="H500" s="41">
        <v>1.336409769739328E-2</v>
      </c>
      <c r="I500" s="40">
        <f t="shared" si="72"/>
        <v>169.75220105231483</v>
      </c>
      <c r="J500" s="40">
        <f t="shared" si="72"/>
        <v>0</v>
      </c>
      <c r="K500" s="36">
        <v>0.22300148747482898</v>
      </c>
      <c r="L500" s="42">
        <f t="shared" si="78"/>
        <v>19991.322604477216</v>
      </c>
      <c r="M500" s="42">
        <f t="shared" si="78"/>
        <v>0</v>
      </c>
      <c r="N500" s="42">
        <f t="shared" si="73"/>
        <v>4458.0946773875912</v>
      </c>
      <c r="O500" s="36">
        <v>10.079930602804428</v>
      </c>
      <c r="P500" s="42">
        <f t="shared" si="74"/>
        <v>4733.9439392770182</v>
      </c>
      <c r="Q500" s="42"/>
      <c r="R500">
        <v>0.28305917538987396</v>
      </c>
      <c r="S500">
        <v>3.9796136356700339E-2</v>
      </c>
    </row>
    <row r="501" spans="1:19" x14ac:dyDescent="0.25">
      <c r="A501" s="40">
        <f t="shared" si="75"/>
        <v>64.229676878151835</v>
      </c>
      <c r="B501" s="40">
        <f t="shared" si="75"/>
        <v>32.933286051621081</v>
      </c>
      <c r="C501" s="41">
        <f t="shared" si="70"/>
        <v>0.49289226185293716</v>
      </c>
      <c r="D501" s="41">
        <f t="shared" si="71"/>
        <v>0.98069361229543572</v>
      </c>
      <c r="E501" s="39">
        <f>IF(_xlfn.NORM.INV(R501,C501,'Regressão Grupo 2'!$B$7)&lt;=0,0,IF(_xlfn.NORM.INV(R501,C501,'Regressão Grupo 2'!$B$7)&gt;100%,100%,_xlfn.NORM.INV(R501,C501,'Regressão Grupo 2'!$B$7)))</f>
        <v>0.52855562279320989</v>
      </c>
      <c r="F501" s="39">
        <f>IF(_xlfn.NORM.INV(S501,D501,'Regressão Grupo 2'!$B$7)&lt;=0,0,IF(_xlfn.NORM.INV(S501,D501,'Regressão Grupo 2'!$B$7)&gt;100%,100%,_xlfn.NORM.INV(S501,D501,'Regressão Grupo 2'!$B$7)))</f>
        <v>1</v>
      </c>
      <c r="G501" s="41">
        <v>2.3184875783729915E-2</v>
      </c>
      <c r="H501" s="41">
        <v>1.6449715937680791E-2</v>
      </c>
      <c r="I501" s="40">
        <f t="shared" si="72"/>
        <v>244.98359207234202</v>
      </c>
      <c r="J501" s="40">
        <f t="shared" si="72"/>
        <v>0</v>
      </c>
      <c r="K501" s="36">
        <v>0.14753688183487132</v>
      </c>
      <c r="L501" s="42">
        <f t="shared" si="78"/>
        <v>19991.322604477216</v>
      </c>
      <c r="M501" s="42">
        <f t="shared" si="78"/>
        <v>0</v>
      </c>
      <c r="N501" s="42">
        <f t="shared" si="73"/>
        <v>2949.4574008195468</v>
      </c>
      <c r="O501" s="36">
        <v>8.2996460669753525</v>
      </c>
      <c r="P501" s="42">
        <f t="shared" si="74"/>
        <v>10752.482452019232</v>
      </c>
      <c r="Q501" s="42"/>
      <c r="R501">
        <v>0.60176396984771263</v>
      </c>
      <c r="S501">
        <v>0.66695150608844267</v>
      </c>
    </row>
    <row r="502" spans="1:19" x14ac:dyDescent="0.25">
      <c r="A502" s="40">
        <f t="shared" si="75"/>
        <v>64.229676878151835</v>
      </c>
      <c r="B502" s="40">
        <f t="shared" si="75"/>
        <v>32.933286051621081</v>
      </c>
      <c r="C502" s="41">
        <f t="shared" si="70"/>
        <v>0.49289226185293716</v>
      </c>
      <c r="D502" s="41">
        <f t="shared" si="71"/>
        <v>0.98069361229543572</v>
      </c>
      <c r="E502" s="39">
        <f>IF(_xlfn.NORM.INV(R502,C502,'Regressão Grupo 2'!$B$7)&lt;=0,0,IF(_xlfn.NORM.INV(R502,C502,'Regressão Grupo 2'!$B$7)&gt;100%,100%,_xlfn.NORM.INV(R502,C502,'Regressão Grupo 2'!$B$7)))</f>
        <v>0.76501122305970748</v>
      </c>
      <c r="F502" s="39">
        <f>IF(_xlfn.NORM.INV(S502,D502,'Regressão Grupo 2'!$B$7)&lt;=0,0,IF(_xlfn.NORM.INV(S502,D502,'Regressão Grupo 2'!$B$7)&gt;100%,100%,_xlfn.NORM.INV(S502,D502,'Regressão Grupo 2'!$B$7)))</f>
        <v>1</v>
      </c>
      <c r="G502" s="41">
        <v>1.7538921126239806E-2</v>
      </c>
      <c r="H502" s="41">
        <v>1.1616939026382202E-2</v>
      </c>
      <c r="I502" s="40">
        <f t="shared" si="72"/>
        <v>268.23300133151116</v>
      </c>
      <c r="J502" s="40">
        <f t="shared" si="72"/>
        <v>0</v>
      </c>
      <c r="K502" s="36">
        <v>0.26059838278539327</v>
      </c>
      <c r="L502" s="42">
        <f t="shared" si="78"/>
        <v>19991.322604477216</v>
      </c>
      <c r="M502" s="42">
        <f t="shared" si="78"/>
        <v>0</v>
      </c>
      <c r="N502" s="42">
        <f t="shared" si="73"/>
        <v>5209.7063404678383</v>
      </c>
      <c r="O502" s="36">
        <v>2.3778551604841924</v>
      </c>
      <c r="P502" s="42">
        <f t="shared" si="74"/>
        <v>11380.993436683701</v>
      </c>
      <c r="Q502" s="42"/>
      <c r="R502">
        <v>0.97546311838129829</v>
      </c>
      <c r="S502">
        <v>0.76580095828119754</v>
      </c>
    </row>
    <row r="503" spans="1:19" x14ac:dyDescent="0.25">
      <c r="A503" s="40">
        <f t="shared" si="75"/>
        <v>64.229676878151835</v>
      </c>
      <c r="B503" s="40">
        <f t="shared" si="75"/>
        <v>32.933286051621081</v>
      </c>
      <c r="C503" s="41">
        <f t="shared" si="70"/>
        <v>0.49289226185293716</v>
      </c>
      <c r="D503" s="41">
        <f t="shared" si="71"/>
        <v>0.98069361229543572</v>
      </c>
      <c r="E503" s="39">
        <f>IF(_xlfn.NORM.INV(R503,C503,'Regressão Grupo 2'!$B$7)&lt;=0,0,IF(_xlfn.NORM.INV(R503,C503,'Regressão Grupo 2'!$B$7)&gt;100%,100%,_xlfn.NORM.INV(R503,C503,'Regressão Grupo 2'!$B$7)))</f>
        <v>0.28158314775764404</v>
      </c>
      <c r="F503" s="39">
        <f>IF(_xlfn.NORM.INV(S503,D503,'Regressão Grupo 2'!$B$7)&lt;=0,0,IF(_xlfn.NORM.INV(S503,D503,'Regressão Grupo 2'!$B$7)&gt;100%,100%,_xlfn.NORM.INV(S503,D503,'Regressão Grupo 2'!$B$7)))</f>
        <v>0.8728069313445751</v>
      </c>
      <c r="G503" s="41">
        <v>2.6022827824711811E-2</v>
      </c>
      <c r="H503" s="41">
        <v>1.8115090588104392E-2</v>
      </c>
      <c r="I503" s="40">
        <f t="shared" si="72"/>
        <v>146.48821105406699</v>
      </c>
      <c r="J503" s="40">
        <f t="shared" si="72"/>
        <v>0</v>
      </c>
      <c r="K503" s="36">
        <v>0.24360779072021824</v>
      </c>
      <c r="L503" s="42">
        <f t="shared" ref="L503:M518" si="79">L502</f>
        <v>19991.322604477216</v>
      </c>
      <c r="M503" s="42">
        <f t="shared" si="79"/>
        <v>0</v>
      </c>
      <c r="N503" s="42">
        <f t="shared" si="73"/>
        <v>4870.0419332518541</v>
      </c>
      <c r="O503" s="36">
        <v>8.5544719851953328</v>
      </c>
      <c r="P503" s="42">
        <f t="shared" si="74"/>
        <v>3285.719231585982</v>
      </c>
      <c r="Q503" s="42"/>
      <c r="R503">
        <v>6.3234351634266189E-2</v>
      </c>
      <c r="S503">
        <v>0.21762749107333598</v>
      </c>
    </row>
    <row r="504" spans="1:19" x14ac:dyDescent="0.25">
      <c r="A504" s="40">
        <f t="shared" si="75"/>
        <v>64.229676878151835</v>
      </c>
      <c r="B504" s="40">
        <f t="shared" si="75"/>
        <v>32.933286051621081</v>
      </c>
      <c r="C504" s="41">
        <f t="shared" si="70"/>
        <v>0.49289226185293716</v>
      </c>
      <c r="D504" s="41">
        <f t="shared" si="71"/>
        <v>0.98069361229543572</v>
      </c>
      <c r="E504" s="39">
        <f>IF(_xlfn.NORM.INV(R504,C504,'Regressão Grupo 2'!$B$7)&lt;=0,0,IF(_xlfn.NORM.INV(R504,C504,'Regressão Grupo 2'!$B$7)&gt;100%,100%,_xlfn.NORM.INV(R504,C504,'Regressão Grupo 2'!$B$7)))</f>
        <v>0.73127008593225873</v>
      </c>
      <c r="F504" s="39">
        <f>IF(_xlfn.NORM.INV(S504,D504,'Regressão Grupo 2'!$B$7)&lt;=0,0,IF(_xlfn.NORM.INV(S504,D504,'Regressão Grupo 2'!$B$7)&gt;100%,100%,_xlfn.NORM.INV(S504,D504,'Regressão Grupo 2'!$B$7)))</f>
        <v>1</v>
      </c>
      <c r="G504" s="41">
        <v>1.1848600053785177E-2</v>
      </c>
      <c r="H504" s="41">
        <v>1.0832789419653885E-2</v>
      </c>
      <c r="I504" s="40">
        <f t="shared" si="72"/>
        <v>173.21535006428547</v>
      </c>
      <c r="J504" s="40">
        <f t="shared" si="72"/>
        <v>0</v>
      </c>
      <c r="K504" s="36">
        <v>0.46389834535961771</v>
      </c>
      <c r="L504" s="42">
        <f t="shared" si="79"/>
        <v>19991.322604477216</v>
      </c>
      <c r="M504" s="42">
        <f t="shared" si="79"/>
        <v>0</v>
      </c>
      <c r="N504" s="42">
        <f t="shared" si="73"/>
        <v>9273.9414777673046</v>
      </c>
      <c r="O504" s="36">
        <v>9.0091811449671315</v>
      </c>
      <c r="P504" s="42">
        <f t="shared" si="74"/>
        <v>291.09602137966613</v>
      </c>
      <c r="Q504" s="42"/>
      <c r="R504">
        <v>0.95764030884731588</v>
      </c>
      <c r="S504">
        <v>0.59837641529587693</v>
      </c>
    </row>
    <row r="505" spans="1:19" x14ac:dyDescent="0.25">
      <c r="A505" s="40">
        <f t="shared" si="75"/>
        <v>64.229676878151835</v>
      </c>
      <c r="B505" s="40">
        <f t="shared" si="75"/>
        <v>32.933286051621081</v>
      </c>
      <c r="C505" s="41">
        <f t="shared" si="70"/>
        <v>0.49289226185293716</v>
      </c>
      <c r="D505" s="41">
        <f t="shared" si="71"/>
        <v>0.98069361229543572</v>
      </c>
      <c r="E505" s="39">
        <f>IF(_xlfn.NORM.INV(R505,C505,'Regressão Grupo 2'!$B$7)&lt;=0,0,IF(_xlfn.NORM.INV(R505,C505,'Regressão Grupo 2'!$B$7)&gt;100%,100%,_xlfn.NORM.INV(R505,C505,'Regressão Grupo 2'!$B$7)))</f>
        <v>0.36804590970722062</v>
      </c>
      <c r="F505" s="39">
        <f>IF(_xlfn.NORM.INV(S505,D505,'Regressão Grupo 2'!$B$7)&lt;=0,0,IF(_xlfn.NORM.INV(S505,D505,'Regressão Grupo 2'!$B$7)&gt;100%,100%,_xlfn.NORM.INV(S505,D505,'Regressão Grupo 2'!$B$7)))</f>
        <v>0.83058235553966786</v>
      </c>
      <c r="G505" s="41">
        <v>1.7261717341177599E-2</v>
      </c>
      <c r="H505" s="41">
        <v>1.5420867330449594E-2</v>
      </c>
      <c r="I505" s="40">
        <f t="shared" si="72"/>
        <v>127.00696083863846</v>
      </c>
      <c r="J505" s="40">
        <f t="shared" si="72"/>
        <v>0</v>
      </c>
      <c r="K505" s="36">
        <v>0.20770344401513896</v>
      </c>
      <c r="L505" s="42">
        <f t="shared" si="79"/>
        <v>19991.322604477216</v>
      </c>
      <c r="M505" s="42">
        <f t="shared" si="79"/>
        <v>0</v>
      </c>
      <c r="N505" s="42">
        <f t="shared" si="73"/>
        <v>4152.2665553676152</v>
      </c>
      <c r="O505" s="36">
        <v>4.6174352841725064</v>
      </c>
      <c r="P505" s="42">
        <f t="shared" si="74"/>
        <v>3418.9030782623722</v>
      </c>
      <c r="Q505" s="42"/>
      <c r="R505">
        <v>0.18329416791283915</v>
      </c>
      <c r="S505">
        <v>0.13882869960631122</v>
      </c>
    </row>
    <row r="506" spans="1:19" x14ac:dyDescent="0.25">
      <c r="A506" s="40">
        <f t="shared" si="75"/>
        <v>64.229676878151835</v>
      </c>
      <c r="B506" s="40">
        <f t="shared" si="75"/>
        <v>32.933286051621081</v>
      </c>
      <c r="C506" s="41">
        <f t="shared" si="70"/>
        <v>0.49289226185293716</v>
      </c>
      <c r="D506" s="41">
        <f t="shared" si="71"/>
        <v>0.98069361229543572</v>
      </c>
      <c r="E506" s="39">
        <f>IF(_xlfn.NORM.INV(R506,C506,'Regressão Grupo 2'!$B$7)&lt;=0,0,IF(_xlfn.NORM.INV(R506,C506,'Regressão Grupo 2'!$B$7)&gt;100%,100%,_xlfn.NORM.INV(R506,C506,'Regressão Grupo 2'!$B$7)))</f>
        <v>0.7143845647295608</v>
      </c>
      <c r="F506" s="39">
        <f>IF(_xlfn.NORM.INV(S506,D506,'Regressão Grupo 2'!$B$7)&lt;=0,0,IF(_xlfn.NORM.INV(S506,D506,'Regressão Grupo 2'!$B$7)&gt;100%,100%,_xlfn.NORM.INV(S506,D506,'Regressão Grupo 2'!$B$7)))</f>
        <v>1</v>
      </c>
      <c r="G506" s="41">
        <v>2.5248374865617648E-2</v>
      </c>
      <c r="H506" s="41">
        <v>2.0047585936445175E-2</v>
      </c>
      <c r="I506" s="40">
        <f t="shared" si="72"/>
        <v>360.58447115932069</v>
      </c>
      <c r="J506" s="40">
        <f t="shared" si="72"/>
        <v>0</v>
      </c>
      <c r="K506" s="36">
        <v>0.28994723038949954</v>
      </c>
      <c r="L506" s="42">
        <f t="shared" si="79"/>
        <v>19991.322604477216</v>
      </c>
      <c r="M506" s="42">
        <f t="shared" si="79"/>
        <v>0</v>
      </c>
      <c r="N506" s="42">
        <f t="shared" si="73"/>
        <v>5796.4286209911652</v>
      </c>
      <c r="O506" s="36">
        <v>9.6649518212428962</v>
      </c>
      <c r="P506" s="42">
        <f t="shared" si="74"/>
        <v>13878.763907608078</v>
      </c>
      <c r="Q506" s="42"/>
      <c r="R506">
        <v>0.94540238654744102</v>
      </c>
      <c r="S506">
        <v>0.59370708334604938</v>
      </c>
    </row>
    <row r="507" spans="1:19" x14ac:dyDescent="0.25">
      <c r="A507" s="40">
        <f t="shared" si="75"/>
        <v>64.229676878151835</v>
      </c>
      <c r="B507" s="40">
        <f t="shared" si="75"/>
        <v>32.933286051621081</v>
      </c>
      <c r="C507" s="41">
        <f t="shared" si="70"/>
        <v>0.49289226185293716</v>
      </c>
      <c r="D507" s="41">
        <f t="shared" si="71"/>
        <v>0.98069361229543572</v>
      </c>
      <c r="E507" s="39">
        <f>IF(_xlfn.NORM.INV(R507,C507,'Regressão Grupo 2'!$B$7)&lt;=0,0,IF(_xlfn.NORM.INV(R507,C507,'Regressão Grupo 2'!$B$7)&gt;100%,100%,_xlfn.NORM.INV(R507,C507,'Regressão Grupo 2'!$B$7)))</f>
        <v>0.55852606451285625</v>
      </c>
      <c r="F507" s="39">
        <f>IF(_xlfn.NORM.INV(S507,D507,'Regressão Grupo 2'!$B$7)&lt;=0,0,IF(_xlfn.NORM.INV(S507,D507,'Regressão Grupo 2'!$B$7)&gt;100%,100%,_xlfn.NORM.INV(S507,D507,'Regressão Grupo 2'!$B$7)))</f>
        <v>0.80471320738845931</v>
      </c>
      <c r="G507" s="41">
        <v>2.7916280146532559E-2</v>
      </c>
      <c r="H507" s="41">
        <v>3.8644862132794513E-3</v>
      </c>
      <c r="I507" s="40">
        <f t="shared" si="72"/>
        <v>311.70410403020787</v>
      </c>
      <c r="J507" s="40">
        <f t="shared" si="72"/>
        <v>0</v>
      </c>
      <c r="K507" s="36">
        <v>0.35287036648303005</v>
      </c>
      <c r="L507" s="42">
        <f t="shared" si="79"/>
        <v>19991.322604477216</v>
      </c>
      <c r="M507" s="42">
        <f t="shared" si="79"/>
        <v>0</v>
      </c>
      <c r="N507" s="42">
        <f t="shared" si="73"/>
        <v>7054.3453339223579</v>
      </c>
      <c r="O507" s="36">
        <v>3.0119865387107971</v>
      </c>
      <c r="P507" s="42">
        <f t="shared" si="74"/>
        <v>12027.459984131821</v>
      </c>
      <c r="Q507" s="42"/>
      <c r="R507">
        <v>0.68248542741172524</v>
      </c>
      <c r="S507">
        <v>0.10156559953611866</v>
      </c>
    </row>
    <row r="508" spans="1:19" x14ac:dyDescent="0.25">
      <c r="A508" s="40">
        <f t="shared" si="75"/>
        <v>64.229676878151835</v>
      </c>
      <c r="B508" s="40">
        <f t="shared" si="75"/>
        <v>32.933286051621081</v>
      </c>
      <c r="C508" s="41">
        <f t="shared" si="70"/>
        <v>0.49289226185293716</v>
      </c>
      <c r="D508" s="41">
        <f t="shared" si="71"/>
        <v>0.98069361229543572</v>
      </c>
      <c r="E508" s="39">
        <f>IF(_xlfn.NORM.INV(R508,C508,'Regressão Grupo 2'!$B$7)&lt;=0,0,IF(_xlfn.NORM.INV(R508,C508,'Regressão Grupo 2'!$B$7)&gt;100%,100%,_xlfn.NORM.INV(R508,C508,'Regressão Grupo 2'!$B$7)))</f>
        <v>0.69511191712504594</v>
      </c>
      <c r="F508" s="39">
        <f>IF(_xlfn.NORM.INV(S508,D508,'Regressão Grupo 2'!$B$7)&lt;=0,0,IF(_xlfn.NORM.INV(S508,D508,'Regressão Grupo 2'!$B$7)&gt;100%,100%,_xlfn.NORM.INV(S508,D508,'Regressão Grupo 2'!$B$7)))</f>
        <v>0.89859488458576253</v>
      </c>
      <c r="G508" s="41">
        <v>2.395159499724793E-2</v>
      </c>
      <c r="H508" s="41">
        <v>7.1884560985711809E-3</v>
      </c>
      <c r="I508" s="40">
        <f t="shared" si="72"/>
        <v>332.83631203730312</v>
      </c>
      <c r="J508" s="40">
        <f t="shared" si="72"/>
        <v>0</v>
      </c>
      <c r="K508" s="36">
        <v>0.19726221775690045</v>
      </c>
      <c r="L508" s="42">
        <f t="shared" si="79"/>
        <v>19991.322604477216</v>
      </c>
      <c r="M508" s="42">
        <f t="shared" si="79"/>
        <v>0</v>
      </c>
      <c r="N508" s="42">
        <f t="shared" si="73"/>
        <v>3943.5326328528308</v>
      </c>
      <c r="O508" s="36">
        <v>4.7818427043677953</v>
      </c>
      <c r="P508" s="42">
        <f t="shared" si="74"/>
        <v>15842.865252154606</v>
      </c>
      <c r="Q508" s="42"/>
      <c r="R508">
        <v>0.92818994720297865</v>
      </c>
      <c r="S508">
        <v>0.27634510330515455</v>
      </c>
    </row>
    <row r="509" spans="1:19" x14ac:dyDescent="0.25">
      <c r="A509" s="40">
        <f t="shared" si="75"/>
        <v>64.229676878151835</v>
      </c>
      <c r="B509" s="40">
        <f t="shared" si="75"/>
        <v>32.933286051621081</v>
      </c>
      <c r="C509" s="41">
        <f t="shared" si="70"/>
        <v>0.49289226185293716</v>
      </c>
      <c r="D509" s="41">
        <f t="shared" si="71"/>
        <v>0.98069361229543572</v>
      </c>
      <c r="E509" s="39">
        <f>IF(_xlfn.NORM.INV(R509,C509,'Regressão Grupo 2'!$B$7)&lt;=0,0,IF(_xlfn.NORM.INV(R509,C509,'Regressão Grupo 2'!$B$7)&gt;100%,100%,_xlfn.NORM.INV(R509,C509,'Regressão Grupo 2'!$B$7)))</f>
        <v>0.16734408849225096</v>
      </c>
      <c r="F509" s="39">
        <f>IF(_xlfn.NORM.INV(S509,D509,'Regressão Grupo 2'!$B$7)&lt;=0,0,IF(_xlfn.NORM.INV(S509,D509,'Regressão Grupo 2'!$B$7)&gt;100%,100%,_xlfn.NORM.INV(S509,D509,'Regressão Grupo 2'!$B$7)))</f>
        <v>0.86156066882682647</v>
      </c>
      <c r="G509" s="41">
        <v>1.0167709341414878E-2</v>
      </c>
      <c r="H509" s="41">
        <v>7.1198790367437963E-3</v>
      </c>
      <c r="I509" s="40">
        <f t="shared" si="72"/>
        <v>34.01535639486854</v>
      </c>
      <c r="J509" s="40">
        <f t="shared" si="72"/>
        <v>0</v>
      </c>
      <c r="K509" s="36">
        <v>0.31702518984620354</v>
      </c>
      <c r="L509" s="42">
        <f t="shared" si="79"/>
        <v>19991.322604477216</v>
      </c>
      <c r="M509" s="42">
        <f t="shared" si="79"/>
        <v>0</v>
      </c>
      <c r="N509" s="42">
        <f t="shared" si="73"/>
        <v>6337.7528439610896</v>
      </c>
      <c r="O509" s="36">
        <v>7.4249216581805531</v>
      </c>
      <c r="P509" s="42">
        <f t="shared" si="74"/>
        <v>-4405.5188502304973</v>
      </c>
      <c r="Q509" s="42"/>
      <c r="R509">
        <v>9.2776268807031465E-3</v>
      </c>
      <c r="S509">
        <v>0.19446394238105411</v>
      </c>
    </row>
    <row r="510" spans="1:19" x14ac:dyDescent="0.25">
      <c r="A510" s="40">
        <f t="shared" si="75"/>
        <v>64.229676878151835</v>
      </c>
      <c r="B510" s="40">
        <f t="shared" si="75"/>
        <v>32.933286051621081</v>
      </c>
      <c r="C510" s="41">
        <f t="shared" si="70"/>
        <v>0.49289226185293716</v>
      </c>
      <c r="D510" s="41">
        <f t="shared" si="71"/>
        <v>0.98069361229543572</v>
      </c>
      <c r="E510" s="39">
        <f>IF(_xlfn.NORM.INV(R510,C510,'Regressão Grupo 2'!$B$7)&lt;=0,0,IF(_xlfn.NORM.INV(R510,C510,'Regressão Grupo 2'!$B$7)&gt;100%,100%,_xlfn.NORM.INV(R510,C510,'Regressão Grupo 2'!$B$7)))</f>
        <v>0.62929082243465373</v>
      </c>
      <c r="F510" s="39">
        <f>IF(_xlfn.NORM.INV(S510,D510,'Regressão Grupo 2'!$B$7)&lt;=0,0,IF(_xlfn.NORM.INV(S510,D510,'Regressão Grupo 2'!$B$7)&gt;100%,100%,_xlfn.NORM.INV(S510,D510,'Regressão Grupo 2'!$B$7)))</f>
        <v>1</v>
      </c>
      <c r="G510" s="41">
        <v>1.7756839925277455E-2</v>
      </c>
      <c r="H510" s="41">
        <v>1.3625030045082493E-2</v>
      </c>
      <c r="I510" s="40">
        <f t="shared" si="72"/>
        <v>223.3873649130033</v>
      </c>
      <c r="J510" s="40">
        <f t="shared" si="72"/>
        <v>0</v>
      </c>
      <c r="K510" s="36">
        <v>0.35398922588962473</v>
      </c>
      <c r="L510" s="42">
        <f t="shared" si="79"/>
        <v>19991.322604477216</v>
      </c>
      <c r="M510" s="42">
        <f t="shared" si="79"/>
        <v>0</v>
      </c>
      <c r="N510" s="42">
        <f t="shared" si="73"/>
        <v>7076.7128132686466</v>
      </c>
      <c r="O510" s="36">
        <v>4.0057866158517275</v>
      </c>
      <c r="P510" s="42">
        <f t="shared" si="74"/>
        <v>6376.5433372364532</v>
      </c>
      <c r="Q510" s="42"/>
      <c r="R510">
        <v>0.83803827021088295</v>
      </c>
      <c r="S510">
        <v>0.7568285164952544</v>
      </c>
    </row>
    <row r="511" spans="1:19" x14ac:dyDescent="0.25">
      <c r="A511" s="40">
        <f t="shared" si="75"/>
        <v>64.229676878151835</v>
      </c>
      <c r="B511" s="40">
        <f t="shared" si="75"/>
        <v>32.933286051621081</v>
      </c>
      <c r="C511" s="41">
        <f t="shared" si="70"/>
        <v>0.49289226185293716</v>
      </c>
      <c r="D511" s="41">
        <f t="shared" si="71"/>
        <v>0.98069361229543572</v>
      </c>
      <c r="E511" s="39">
        <f>IF(_xlfn.NORM.INV(R511,C511,'Regressão Grupo 2'!$B$7)&lt;=0,0,IF(_xlfn.NORM.INV(R511,C511,'Regressão Grupo 2'!$B$7)&gt;100%,100%,_xlfn.NORM.INV(R511,C511,'Regressão Grupo 2'!$B$7)))</f>
        <v>0.53216597284886236</v>
      </c>
      <c r="F511" s="39">
        <f>IF(_xlfn.NORM.INV(S511,D511,'Regressão Grupo 2'!$B$7)&lt;=0,0,IF(_xlfn.NORM.INV(S511,D511,'Regressão Grupo 2'!$B$7)&gt;100%,100%,_xlfn.NORM.INV(S511,D511,'Regressão Grupo 2'!$B$7)))</f>
        <v>0.8802253554068783</v>
      </c>
      <c r="G511" s="41">
        <v>5.6290897760380015E-3</v>
      </c>
      <c r="H511" s="41">
        <v>2.246693746130745E-2</v>
      </c>
      <c r="I511" s="40">
        <f t="shared" si="72"/>
        <v>59.886206645254589</v>
      </c>
      <c r="J511" s="40">
        <f t="shared" si="72"/>
        <v>0</v>
      </c>
      <c r="K511" s="36">
        <v>0.39885381487178462</v>
      </c>
      <c r="L511" s="42">
        <f t="shared" si="79"/>
        <v>19991.322604477216</v>
      </c>
      <c r="M511" s="42">
        <f t="shared" si="79"/>
        <v>0</v>
      </c>
      <c r="N511" s="42">
        <f t="shared" si="73"/>
        <v>7973.6152851282786</v>
      </c>
      <c r="O511" s="36">
        <v>7.1065738604477335</v>
      </c>
      <c r="P511" s="42">
        <f t="shared" si="74"/>
        <v>-4552.7293335918848</v>
      </c>
      <c r="Q511" s="42"/>
      <c r="R511">
        <v>0.61180455946531576</v>
      </c>
      <c r="S511">
        <v>0.23374126407666249</v>
      </c>
    </row>
    <row r="512" spans="1:19" x14ac:dyDescent="0.25">
      <c r="A512" s="40">
        <f t="shared" si="75"/>
        <v>64.229676878151835</v>
      </c>
      <c r="B512" s="40">
        <f t="shared" si="75"/>
        <v>32.933286051621081</v>
      </c>
      <c r="C512" s="41">
        <f t="shared" si="70"/>
        <v>0.49289226185293716</v>
      </c>
      <c r="D512" s="41">
        <f t="shared" si="71"/>
        <v>0.98069361229543572</v>
      </c>
      <c r="E512" s="39">
        <f>IF(_xlfn.NORM.INV(R512,C512,'Regressão Grupo 2'!$B$7)&lt;=0,0,IF(_xlfn.NORM.INV(R512,C512,'Regressão Grupo 2'!$B$7)&gt;100%,100%,_xlfn.NORM.INV(R512,C512,'Regressão Grupo 2'!$B$7)))</f>
        <v>0.39703760862657533</v>
      </c>
      <c r="F512" s="39">
        <f>IF(_xlfn.NORM.INV(S512,D512,'Regressão Grupo 2'!$B$7)&lt;=0,0,IF(_xlfn.NORM.INV(S512,D512,'Regressão Grupo 2'!$B$7)&gt;100%,100%,_xlfn.NORM.INV(S512,D512,'Regressão Grupo 2'!$B$7)))</f>
        <v>1</v>
      </c>
      <c r="G512" s="41">
        <v>2.1860238792866506E-2</v>
      </c>
      <c r="H512" s="41">
        <v>2.1010002568640988E-2</v>
      </c>
      <c r="I512" s="40">
        <f t="shared" si="72"/>
        <v>173.51142464705757</v>
      </c>
      <c r="J512" s="40">
        <f t="shared" si="72"/>
        <v>0</v>
      </c>
      <c r="K512" s="36">
        <v>0.2740359043917549</v>
      </c>
      <c r="L512" s="42">
        <f t="shared" si="79"/>
        <v>19991.322604477216</v>
      </c>
      <c r="M512" s="42">
        <f t="shared" si="79"/>
        <v>0</v>
      </c>
      <c r="N512" s="42">
        <f t="shared" si="73"/>
        <v>5478.3401699052474</v>
      </c>
      <c r="O512" s="36">
        <v>5.5845780531202198</v>
      </c>
      <c r="P512" s="42">
        <f t="shared" si="74"/>
        <v>4697.2544757934693</v>
      </c>
      <c r="Q512" s="42"/>
      <c r="R512">
        <v>0.24408703878902555</v>
      </c>
      <c r="S512">
        <v>0.77336954863124485</v>
      </c>
    </row>
    <row r="513" spans="1:19" x14ac:dyDescent="0.25">
      <c r="A513" s="40">
        <f t="shared" si="75"/>
        <v>64.229676878151835</v>
      </c>
      <c r="B513" s="40">
        <f t="shared" si="75"/>
        <v>32.933286051621081</v>
      </c>
      <c r="C513" s="41">
        <f t="shared" si="70"/>
        <v>0.49289226185293716</v>
      </c>
      <c r="D513" s="41">
        <f t="shared" si="71"/>
        <v>0.98069361229543572</v>
      </c>
      <c r="E513" s="39">
        <f>IF(_xlfn.NORM.INV(R513,C513,'Regressão Grupo 2'!$B$7)&lt;=0,0,IF(_xlfn.NORM.INV(R513,C513,'Regressão Grupo 2'!$B$7)&gt;100%,100%,_xlfn.NORM.INV(R513,C513,'Regressão Grupo 2'!$B$7)))</f>
        <v>0.47127326572655243</v>
      </c>
      <c r="F513" s="39">
        <f>IF(_xlfn.NORM.INV(S513,D513,'Regressão Grupo 2'!$B$7)&lt;=0,0,IF(_xlfn.NORM.INV(S513,D513,'Regressão Grupo 2'!$B$7)&gt;100%,100%,_xlfn.NORM.INV(S513,D513,'Regressão Grupo 2'!$B$7)))</f>
        <v>0.94138686044226039</v>
      </c>
      <c r="G513" s="41">
        <v>2.6794635346159987E-2</v>
      </c>
      <c r="H513" s="41">
        <v>2.4369182416136156E-2</v>
      </c>
      <c r="I513" s="40">
        <f t="shared" si="72"/>
        <v>252.44233143178818</v>
      </c>
      <c r="J513" s="40">
        <f t="shared" si="72"/>
        <v>0</v>
      </c>
      <c r="K513" s="36">
        <v>0.28059785526729941</v>
      </c>
      <c r="L513" s="42">
        <f t="shared" si="79"/>
        <v>19991.322604477216</v>
      </c>
      <c r="M513" s="42">
        <f t="shared" si="79"/>
        <v>0</v>
      </c>
      <c r="N513" s="42">
        <f t="shared" si="73"/>
        <v>5609.5222467729891</v>
      </c>
      <c r="O513" s="36">
        <v>4.843248417394264</v>
      </c>
      <c r="P513" s="42">
        <f t="shared" si="74"/>
        <v>9382.1262092677516</v>
      </c>
      <c r="Q513" s="42"/>
      <c r="R513">
        <v>0.4378795739616077</v>
      </c>
      <c r="S513">
        <v>0.38810388500625631</v>
      </c>
    </row>
    <row r="514" spans="1:19" x14ac:dyDescent="0.25">
      <c r="A514" s="40">
        <f t="shared" si="75"/>
        <v>64.229676878151835</v>
      </c>
      <c r="B514" s="40">
        <f t="shared" si="75"/>
        <v>32.933286051621081</v>
      </c>
      <c r="C514" s="41">
        <f t="shared" si="70"/>
        <v>0.49289226185293716</v>
      </c>
      <c r="D514" s="41">
        <f t="shared" si="71"/>
        <v>0.98069361229543572</v>
      </c>
      <c r="E514" s="39">
        <f>IF(_xlfn.NORM.INV(R514,C514,'Regressão Grupo 2'!$B$7)&lt;=0,0,IF(_xlfn.NORM.INV(R514,C514,'Regressão Grupo 2'!$B$7)&gt;100%,100%,_xlfn.NORM.INV(R514,C514,'Regressão Grupo 2'!$B$7)))</f>
        <v>0.31865713884828961</v>
      </c>
      <c r="F514" s="39">
        <f>IF(_xlfn.NORM.INV(S514,D514,'Regressão Grupo 2'!$B$7)&lt;=0,0,IF(_xlfn.NORM.INV(S514,D514,'Regressão Grupo 2'!$B$7)&gt;100%,100%,_xlfn.NORM.INV(S514,D514,'Regressão Grupo 2'!$B$7)))</f>
        <v>1</v>
      </c>
      <c r="G514" s="41">
        <v>1.2363003551383596E-2</v>
      </c>
      <c r="H514" s="41">
        <v>2.1177696527068642E-2</v>
      </c>
      <c r="I514" s="40">
        <f t="shared" si="72"/>
        <v>78.757001670530613</v>
      </c>
      <c r="J514" s="40">
        <f t="shared" si="72"/>
        <v>0</v>
      </c>
      <c r="K514" s="36">
        <v>0.45953370797688403</v>
      </c>
      <c r="L514" s="42">
        <f t="shared" si="79"/>
        <v>19991.322604477216</v>
      </c>
      <c r="M514" s="42">
        <f t="shared" si="79"/>
        <v>0</v>
      </c>
      <c r="N514" s="42">
        <f t="shared" si="73"/>
        <v>9186.6866037975142</v>
      </c>
      <c r="O514" s="36">
        <v>7.5371707205227496</v>
      </c>
      <c r="P514" s="42">
        <f t="shared" si="74"/>
        <v>-4721.7548016345536</v>
      </c>
      <c r="Q514" s="42"/>
      <c r="R514">
        <v>0.10382396923734245</v>
      </c>
      <c r="S514">
        <v>0.56361583300271612</v>
      </c>
    </row>
    <row r="515" spans="1:19" x14ac:dyDescent="0.25">
      <c r="A515" s="40">
        <f t="shared" si="75"/>
        <v>64.229676878151835</v>
      </c>
      <c r="B515" s="40">
        <f t="shared" si="75"/>
        <v>32.933286051621081</v>
      </c>
      <c r="C515" s="41">
        <f t="shared" si="70"/>
        <v>0.49289226185293716</v>
      </c>
      <c r="D515" s="41">
        <f t="shared" si="71"/>
        <v>0.98069361229543572</v>
      </c>
      <c r="E515" s="39">
        <f>IF(_xlfn.NORM.INV(R515,C515,'Regressão Grupo 2'!$B$7)&lt;=0,0,IF(_xlfn.NORM.INV(R515,C515,'Regressão Grupo 2'!$B$7)&gt;100%,100%,_xlfn.NORM.INV(R515,C515,'Regressão Grupo 2'!$B$7)))</f>
        <v>0.71392790399358652</v>
      </c>
      <c r="F515" s="39">
        <f>IF(_xlfn.NORM.INV(S515,D515,'Regressão Grupo 2'!$B$7)&lt;=0,0,IF(_xlfn.NORM.INV(S515,D515,'Regressão Grupo 2'!$B$7)&gt;100%,100%,_xlfn.NORM.INV(S515,D515,'Regressão Grupo 2'!$B$7)))</f>
        <v>0.8975833440015184</v>
      </c>
      <c r="G515" s="41">
        <v>1.1288152215814052E-2</v>
      </c>
      <c r="H515" s="41">
        <v>2.2447357154613594E-2</v>
      </c>
      <c r="I515" s="40">
        <f t="shared" si="72"/>
        <v>161.10860653215494</v>
      </c>
      <c r="J515" s="40">
        <f t="shared" si="72"/>
        <v>0</v>
      </c>
      <c r="K515" s="36">
        <v>0.30201968497055026</v>
      </c>
      <c r="L515" s="42">
        <f t="shared" si="79"/>
        <v>19991.322604477216</v>
      </c>
      <c r="M515" s="42">
        <f t="shared" si="79"/>
        <v>0</v>
      </c>
      <c r="N515" s="42">
        <f t="shared" si="73"/>
        <v>6037.7729551488492</v>
      </c>
      <c r="O515" s="36">
        <v>8.1593465372132954</v>
      </c>
      <c r="P515" s="42">
        <f t="shared" si="74"/>
        <v>2995.6398338773679</v>
      </c>
      <c r="Q515" s="42"/>
      <c r="R515">
        <v>0.94503616443372906</v>
      </c>
      <c r="S515">
        <v>0.27390362254707479</v>
      </c>
    </row>
    <row r="516" spans="1:19" x14ac:dyDescent="0.25">
      <c r="A516" s="40">
        <f t="shared" si="75"/>
        <v>64.229676878151835</v>
      </c>
      <c r="B516" s="40">
        <f t="shared" si="75"/>
        <v>32.933286051621081</v>
      </c>
      <c r="C516" s="41">
        <f t="shared" si="70"/>
        <v>0.49289226185293716</v>
      </c>
      <c r="D516" s="41">
        <f t="shared" si="71"/>
        <v>0.98069361229543572</v>
      </c>
      <c r="E516" s="39">
        <f>IF(_xlfn.NORM.INV(R516,C516,'Regressão Grupo 2'!$B$7)&lt;=0,0,IF(_xlfn.NORM.INV(R516,C516,'Regressão Grupo 2'!$B$7)&gt;100%,100%,_xlfn.NORM.INV(R516,C516,'Regressão Grupo 2'!$B$7)))</f>
        <v>0.31710188834844821</v>
      </c>
      <c r="F516" s="39">
        <f>IF(_xlfn.NORM.INV(S516,D516,'Regressão Grupo 2'!$B$7)&lt;=0,0,IF(_xlfn.NORM.INV(S516,D516,'Regressão Grupo 2'!$B$7)&gt;100%,100%,_xlfn.NORM.INV(S516,D516,'Regressão Grupo 2'!$B$7)))</f>
        <v>1</v>
      </c>
      <c r="G516" s="41">
        <v>2.3479273097182684E-2</v>
      </c>
      <c r="H516" s="41">
        <v>1.4302750927744799E-2</v>
      </c>
      <c r="I516" s="40">
        <f t="shared" si="72"/>
        <v>148.8418307209441</v>
      </c>
      <c r="J516" s="40">
        <f t="shared" si="72"/>
        <v>0</v>
      </c>
      <c r="K516" s="36">
        <v>0.30993135688370543</v>
      </c>
      <c r="L516" s="42">
        <f t="shared" si="79"/>
        <v>19991.322604477216</v>
      </c>
      <c r="M516" s="42">
        <f t="shared" si="79"/>
        <v>0</v>
      </c>
      <c r="N516" s="42">
        <f t="shared" si="73"/>
        <v>6195.9377407055154</v>
      </c>
      <c r="O516" s="36">
        <v>6.7893835271508607</v>
      </c>
      <c r="P516" s="42">
        <f t="shared" si="74"/>
        <v>2353.5806788055424</v>
      </c>
      <c r="Q516" s="42"/>
      <c r="R516">
        <v>0.10180974761192664</v>
      </c>
      <c r="S516">
        <v>0.97268593401898251</v>
      </c>
    </row>
    <row r="517" spans="1:19" x14ac:dyDescent="0.25">
      <c r="A517" s="40">
        <f t="shared" si="75"/>
        <v>64.229676878151835</v>
      </c>
      <c r="B517" s="40">
        <f t="shared" si="75"/>
        <v>32.933286051621081</v>
      </c>
      <c r="C517" s="41">
        <f t="shared" si="70"/>
        <v>0.49289226185293716</v>
      </c>
      <c r="D517" s="41">
        <f t="shared" si="71"/>
        <v>0.98069361229543572</v>
      </c>
      <c r="E517" s="39">
        <f>IF(_xlfn.NORM.INV(R517,C517,'Regressão Grupo 2'!$B$7)&lt;=0,0,IF(_xlfn.NORM.INV(R517,C517,'Regressão Grupo 2'!$B$7)&gt;100%,100%,_xlfn.NORM.INV(R517,C517,'Regressão Grupo 2'!$B$7)))</f>
        <v>0.45828861663051168</v>
      </c>
      <c r="F517" s="39">
        <f>IF(_xlfn.NORM.INV(S517,D517,'Regressão Grupo 2'!$B$7)&lt;=0,0,IF(_xlfn.NORM.INV(S517,D517,'Regressão Grupo 2'!$B$7)&gt;100%,100%,_xlfn.NORM.INV(S517,D517,'Regressão Grupo 2'!$B$7)))</f>
        <v>0.85277946069807564</v>
      </c>
      <c r="G517" s="41">
        <v>1.2721485565454431E-2</v>
      </c>
      <c r="H517" s="41">
        <v>6.4516376323764373E-3</v>
      </c>
      <c r="I517" s="40">
        <f t="shared" si="72"/>
        <v>116.55165023759191</v>
      </c>
      <c r="J517" s="40">
        <f t="shared" si="72"/>
        <v>0</v>
      </c>
      <c r="K517" s="36">
        <v>0.24019382071053447</v>
      </c>
      <c r="L517" s="42">
        <f t="shared" si="79"/>
        <v>19991.322604477216</v>
      </c>
      <c r="M517" s="42">
        <f t="shared" si="79"/>
        <v>0</v>
      </c>
      <c r="N517" s="42">
        <f t="shared" si="73"/>
        <v>4801.7921574262555</v>
      </c>
      <c r="O517" s="36">
        <v>6.7460907234644027</v>
      </c>
      <c r="P517" s="42">
        <f t="shared" si="74"/>
        <v>1898.0146704773551</v>
      </c>
      <c r="Q517" s="42"/>
      <c r="R517">
        <v>0.40119632557145907</v>
      </c>
      <c r="S517">
        <v>0.17746513260292368</v>
      </c>
    </row>
    <row r="518" spans="1:19" x14ac:dyDescent="0.25">
      <c r="A518" s="40">
        <f t="shared" si="75"/>
        <v>64.229676878151835</v>
      </c>
      <c r="B518" s="40">
        <f t="shared" si="75"/>
        <v>32.933286051621081</v>
      </c>
      <c r="C518" s="41">
        <f t="shared" ref="C518:C581" si="80">-0.007*A518 + 0.9425</f>
        <v>0.49289226185293716</v>
      </c>
      <c r="D518" s="41">
        <f t="shared" ref="D518:D581" si="81">-0.0059*B518+1.175</f>
        <v>0.98069361229543572</v>
      </c>
      <c r="E518" s="39">
        <f>IF(_xlfn.NORM.INV(R518,C518,'Regressão Grupo 2'!$B$7)&lt;=0,0,IF(_xlfn.NORM.INV(R518,C518,'Regressão Grupo 2'!$B$7)&gt;100%,100%,_xlfn.NORM.INV(R518,C518,'Regressão Grupo 2'!$B$7)))</f>
        <v>0.53081320324883052</v>
      </c>
      <c r="F518" s="39">
        <f>IF(_xlfn.NORM.INV(S518,D518,'Regressão Grupo 2'!$B$7)&lt;=0,0,IF(_xlfn.NORM.INV(S518,D518,'Regressão Grupo 2'!$B$7)&gt;100%,100%,_xlfn.NORM.INV(S518,D518,'Regressão Grupo 2'!$B$7)))</f>
        <v>1</v>
      </c>
      <c r="G518" s="41">
        <v>1.3695030440164017E-2</v>
      </c>
      <c r="H518" s="41">
        <v>1.8327587773481417E-2</v>
      </c>
      <c r="I518" s="40">
        <f t="shared" ref="I518:J581" si="82">IF(E518*G518*L518&gt;0,E518*G518*L518,0)</f>
        <v>145.32697917809264</v>
      </c>
      <c r="J518" s="40">
        <f t="shared" si="82"/>
        <v>0</v>
      </c>
      <c r="K518" s="36">
        <v>0.43876536503657426</v>
      </c>
      <c r="L518" s="42">
        <f t="shared" si="79"/>
        <v>19991.322604477216</v>
      </c>
      <c r="M518" s="42">
        <f t="shared" si="79"/>
        <v>0</v>
      </c>
      <c r="N518" s="42">
        <f t="shared" ref="N518:N581" si="83">(L518+M518)*K518</f>
        <v>8771.499960117364</v>
      </c>
      <c r="O518" s="36">
        <v>8.1084424054088373</v>
      </c>
      <c r="P518" s="42">
        <f t="shared" ref="P518:P581" si="84">SUMPRODUCT(A518:B518,I518:J518)-SUM(I518:J518)*O518-N518</f>
        <v>-615.5704864481886</v>
      </c>
      <c r="Q518" s="42"/>
      <c r="R518">
        <v>0.6080507827997681</v>
      </c>
      <c r="S518">
        <v>0.70369579149754324</v>
      </c>
    </row>
    <row r="519" spans="1:19" x14ac:dyDescent="0.25">
      <c r="A519" s="40">
        <f t="shared" ref="A519:B582" si="85">A518</f>
        <v>64.229676878151835</v>
      </c>
      <c r="B519" s="40">
        <f t="shared" si="85"/>
        <v>32.933286051621081</v>
      </c>
      <c r="C519" s="41">
        <f t="shared" si="80"/>
        <v>0.49289226185293716</v>
      </c>
      <c r="D519" s="41">
        <f t="shared" si="81"/>
        <v>0.98069361229543572</v>
      </c>
      <c r="E519" s="39">
        <f>IF(_xlfn.NORM.INV(R519,C519,'Regressão Grupo 2'!$B$7)&lt;=0,0,IF(_xlfn.NORM.INV(R519,C519,'Regressão Grupo 2'!$B$7)&gt;100%,100%,_xlfn.NORM.INV(R519,C519,'Regressão Grupo 2'!$B$7)))</f>
        <v>0.58971773832957353</v>
      </c>
      <c r="F519" s="39">
        <f>IF(_xlfn.NORM.INV(S519,D519,'Regressão Grupo 2'!$B$7)&lt;=0,0,IF(_xlfn.NORM.INV(S519,D519,'Regressão Grupo 2'!$B$7)&gt;100%,100%,_xlfn.NORM.INV(S519,D519,'Regressão Grupo 2'!$B$7)))</f>
        <v>1</v>
      </c>
      <c r="G519" s="41">
        <v>1.2052412370934103E-2</v>
      </c>
      <c r="H519" s="41">
        <v>8.8369079380728726E-3</v>
      </c>
      <c r="I519" s="40">
        <f t="shared" si="82"/>
        <v>142.08875252198362</v>
      </c>
      <c r="J519" s="40">
        <f t="shared" si="82"/>
        <v>0</v>
      </c>
      <c r="K519" s="36">
        <v>0.22268066163324002</v>
      </c>
      <c r="L519" s="42">
        <f t="shared" ref="L519:M534" si="86">L518</f>
        <v>19991.322604477216</v>
      </c>
      <c r="M519" s="42">
        <f t="shared" si="86"/>
        <v>0</v>
      </c>
      <c r="N519" s="42">
        <f t="shared" si="83"/>
        <v>4451.6809444885339</v>
      </c>
      <c r="O519" s="36">
        <v>7.4837886536326215</v>
      </c>
      <c r="P519" s="42">
        <f t="shared" si="84"/>
        <v>3611.2715240853204</v>
      </c>
      <c r="Q519" s="42"/>
      <c r="R519">
        <v>0.75811029389324625</v>
      </c>
      <c r="S519">
        <v>0.56065553758354447</v>
      </c>
    </row>
    <row r="520" spans="1:19" x14ac:dyDescent="0.25">
      <c r="A520" s="40">
        <f t="shared" si="85"/>
        <v>64.229676878151835</v>
      </c>
      <c r="B520" s="40">
        <f t="shared" si="85"/>
        <v>32.933286051621081</v>
      </c>
      <c r="C520" s="41">
        <f t="shared" si="80"/>
        <v>0.49289226185293716</v>
      </c>
      <c r="D520" s="41">
        <f t="shared" si="81"/>
        <v>0.98069361229543572</v>
      </c>
      <c r="E520" s="39">
        <f>IF(_xlfn.NORM.INV(R520,C520,'Regressão Grupo 2'!$B$7)&lt;=0,0,IF(_xlfn.NORM.INV(R520,C520,'Regressão Grupo 2'!$B$7)&gt;100%,100%,_xlfn.NORM.INV(R520,C520,'Regressão Grupo 2'!$B$7)))</f>
        <v>0.60263875075826834</v>
      </c>
      <c r="F520" s="39">
        <f>IF(_xlfn.NORM.INV(S520,D520,'Regressão Grupo 2'!$B$7)&lt;=0,0,IF(_xlfn.NORM.INV(S520,D520,'Regressão Grupo 2'!$B$7)&gt;100%,100%,_xlfn.NORM.INV(S520,D520,'Regressão Grupo 2'!$B$7)))</f>
        <v>0.81624258440084185</v>
      </c>
      <c r="G520" s="41">
        <v>1.9035934322744863E-2</v>
      </c>
      <c r="H520" s="41">
        <v>1.9593489394211606E-2</v>
      </c>
      <c r="I520" s="40">
        <f t="shared" si="82"/>
        <v>229.33628832174773</v>
      </c>
      <c r="J520" s="40">
        <f t="shared" si="82"/>
        <v>0</v>
      </c>
      <c r="K520" s="36">
        <v>0.36142987612859567</v>
      </c>
      <c r="L520" s="42">
        <f t="shared" si="86"/>
        <v>19991.322604477216</v>
      </c>
      <c r="M520" s="42">
        <f t="shared" si="86"/>
        <v>0</v>
      </c>
      <c r="N520" s="42">
        <f t="shared" si="83"/>
        <v>7225.4612525829953</v>
      </c>
      <c r="O520" s="36">
        <v>6.5168217119155551</v>
      </c>
      <c r="P520" s="42">
        <f t="shared" si="84"/>
        <v>6010.1907396922352</v>
      </c>
      <c r="Q520" s="42"/>
      <c r="R520">
        <v>0.78630939664906763</v>
      </c>
      <c r="S520">
        <v>0.11716055787835322</v>
      </c>
    </row>
    <row r="521" spans="1:19" x14ac:dyDescent="0.25">
      <c r="A521" s="40">
        <f t="shared" si="85"/>
        <v>64.229676878151835</v>
      </c>
      <c r="B521" s="40">
        <f t="shared" si="85"/>
        <v>32.933286051621081</v>
      </c>
      <c r="C521" s="41">
        <f t="shared" si="80"/>
        <v>0.49289226185293716</v>
      </c>
      <c r="D521" s="41">
        <f t="shared" si="81"/>
        <v>0.98069361229543572</v>
      </c>
      <c r="E521" s="39">
        <f>IF(_xlfn.NORM.INV(R521,C521,'Regressão Grupo 2'!$B$7)&lt;=0,0,IF(_xlfn.NORM.INV(R521,C521,'Regressão Grupo 2'!$B$7)&gt;100%,100%,_xlfn.NORM.INV(R521,C521,'Regressão Grupo 2'!$B$7)))</f>
        <v>0.65385558806597666</v>
      </c>
      <c r="F521" s="39">
        <f>IF(_xlfn.NORM.INV(S521,D521,'Regressão Grupo 2'!$B$7)&lt;=0,0,IF(_xlfn.NORM.INV(S521,D521,'Regressão Grupo 2'!$B$7)&gt;100%,100%,_xlfn.NORM.INV(S521,D521,'Regressão Grupo 2'!$B$7)))</f>
        <v>0.9826664507033479</v>
      </c>
      <c r="G521" s="41">
        <v>1.9421295415158968E-2</v>
      </c>
      <c r="H521" s="41">
        <v>2.276357056229196E-2</v>
      </c>
      <c r="I521" s="40">
        <f t="shared" si="82"/>
        <v>253.86425885556895</v>
      </c>
      <c r="J521" s="40">
        <f t="shared" si="82"/>
        <v>0</v>
      </c>
      <c r="K521" s="36">
        <v>0.28332732653169651</v>
      </c>
      <c r="L521" s="42">
        <f t="shared" si="86"/>
        <v>19991.322604477216</v>
      </c>
      <c r="M521" s="42">
        <f t="shared" si="86"/>
        <v>0</v>
      </c>
      <c r="N521" s="42">
        <f t="shared" si="83"/>
        <v>5664.0879873592021</v>
      </c>
      <c r="O521" s="36">
        <v>7.8417080412213824</v>
      </c>
      <c r="P521" s="42">
        <f t="shared" si="84"/>
        <v>8650.8019297990668</v>
      </c>
      <c r="Q521" s="42"/>
      <c r="R521">
        <v>0.87780388805810727</v>
      </c>
      <c r="S521">
        <v>0.50569170201727343</v>
      </c>
    </row>
    <row r="522" spans="1:19" x14ac:dyDescent="0.25">
      <c r="A522" s="40">
        <f t="shared" si="85"/>
        <v>64.229676878151835</v>
      </c>
      <c r="B522" s="40">
        <f t="shared" si="85"/>
        <v>32.933286051621081</v>
      </c>
      <c r="C522" s="41">
        <f t="shared" si="80"/>
        <v>0.49289226185293716</v>
      </c>
      <c r="D522" s="41">
        <f t="shared" si="81"/>
        <v>0.98069361229543572</v>
      </c>
      <c r="E522" s="39">
        <f>IF(_xlfn.NORM.INV(R522,C522,'Regressão Grupo 2'!$B$7)&lt;=0,0,IF(_xlfn.NORM.INV(R522,C522,'Regressão Grupo 2'!$B$7)&gt;100%,100%,_xlfn.NORM.INV(R522,C522,'Regressão Grupo 2'!$B$7)))</f>
        <v>0.65848604314048387</v>
      </c>
      <c r="F522" s="39">
        <f>IF(_xlfn.NORM.INV(S522,D522,'Regressão Grupo 2'!$B$7)&lt;=0,0,IF(_xlfn.NORM.INV(S522,D522,'Regressão Grupo 2'!$B$7)&gt;100%,100%,_xlfn.NORM.INV(S522,D522,'Regressão Grupo 2'!$B$7)))</f>
        <v>0.97576857586768939</v>
      </c>
      <c r="G522" s="41">
        <v>2.2242644647979238E-3</v>
      </c>
      <c r="H522" s="41">
        <v>1.4999529115915212E-2</v>
      </c>
      <c r="I522" s="40">
        <f t="shared" si="82"/>
        <v>29.280232804212552</v>
      </c>
      <c r="J522" s="40">
        <f t="shared" si="82"/>
        <v>0</v>
      </c>
      <c r="K522" s="36">
        <v>0.27376020497603293</v>
      </c>
      <c r="L522" s="42">
        <f t="shared" si="86"/>
        <v>19991.322604477216</v>
      </c>
      <c r="M522" s="42">
        <f t="shared" si="86"/>
        <v>0</v>
      </c>
      <c r="N522" s="42">
        <f t="shared" si="83"/>
        <v>5472.8285739436833</v>
      </c>
      <c r="O522" s="36">
        <v>5.5962478917779208</v>
      </c>
      <c r="P522" s="42">
        <f t="shared" si="84"/>
        <v>-3756.0281231133904</v>
      </c>
      <c r="Q522" s="42"/>
      <c r="R522">
        <v>0.88445692312387458</v>
      </c>
      <c r="S522">
        <v>0.48579363383892332</v>
      </c>
    </row>
    <row r="523" spans="1:19" x14ac:dyDescent="0.25">
      <c r="A523" s="40">
        <f t="shared" si="85"/>
        <v>64.229676878151835</v>
      </c>
      <c r="B523" s="40">
        <f t="shared" si="85"/>
        <v>32.933286051621081</v>
      </c>
      <c r="C523" s="41">
        <f t="shared" si="80"/>
        <v>0.49289226185293716</v>
      </c>
      <c r="D523" s="41">
        <f t="shared" si="81"/>
        <v>0.98069361229543572</v>
      </c>
      <c r="E523" s="39">
        <f>IF(_xlfn.NORM.INV(R523,C523,'Regressão Grupo 2'!$B$7)&lt;=0,0,IF(_xlfn.NORM.INV(R523,C523,'Regressão Grupo 2'!$B$7)&gt;100%,100%,_xlfn.NORM.INV(R523,C523,'Regressão Grupo 2'!$B$7)))</f>
        <v>0.45577246255255655</v>
      </c>
      <c r="F523" s="39">
        <f>IF(_xlfn.NORM.INV(S523,D523,'Regressão Grupo 2'!$B$7)&lt;=0,0,IF(_xlfn.NORM.INV(S523,D523,'Regressão Grupo 2'!$B$7)&gt;100%,100%,_xlfn.NORM.INV(S523,D523,'Regressão Grupo 2'!$B$7)))</f>
        <v>0.8899919433965795</v>
      </c>
      <c r="G523" s="41">
        <v>2.2934804839867703E-2</v>
      </c>
      <c r="H523" s="41">
        <v>9.8614234307727432E-3</v>
      </c>
      <c r="I523" s="40">
        <f t="shared" si="82"/>
        <v>208.97034432978629</v>
      </c>
      <c r="J523" s="40">
        <f t="shared" si="82"/>
        <v>0</v>
      </c>
      <c r="K523" s="36">
        <v>0.39809442803340261</v>
      </c>
      <c r="L523" s="42">
        <f t="shared" si="86"/>
        <v>19991.322604477216</v>
      </c>
      <c r="M523" s="42">
        <f t="shared" si="86"/>
        <v>0</v>
      </c>
      <c r="N523" s="42">
        <f t="shared" si="83"/>
        <v>7958.4341378605905</v>
      </c>
      <c r="O523" s="36">
        <v>4.42932699049571</v>
      </c>
      <c r="P523" s="42">
        <f t="shared" si="84"/>
        <v>4538.0655692046066</v>
      </c>
      <c r="Q523" s="42"/>
      <c r="R523">
        <v>0.39417706839197975</v>
      </c>
      <c r="S523">
        <v>0.25592822046571245</v>
      </c>
    </row>
    <row r="524" spans="1:19" x14ac:dyDescent="0.25">
      <c r="A524" s="40">
        <f t="shared" si="85"/>
        <v>64.229676878151835</v>
      </c>
      <c r="B524" s="40">
        <f t="shared" si="85"/>
        <v>32.933286051621081</v>
      </c>
      <c r="C524" s="41">
        <f t="shared" si="80"/>
        <v>0.49289226185293716</v>
      </c>
      <c r="D524" s="41">
        <f t="shared" si="81"/>
        <v>0.98069361229543572</v>
      </c>
      <c r="E524" s="39">
        <f>IF(_xlfn.NORM.INV(R524,C524,'Regressão Grupo 2'!$B$7)&lt;=0,0,IF(_xlfn.NORM.INV(R524,C524,'Regressão Grupo 2'!$B$7)&gt;100%,100%,_xlfn.NORM.INV(R524,C524,'Regressão Grupo 2'!$B$7)))</f>
        <v>0.39406969024107824</v>
      </c>
      <c r="F524" s="39">
        <f>IF(_xlfn.NORM.INV(S524,D524,'Regressão Grupo 2'!$B$7)&lt;=0,0,IF(_xlfn.NORM.INV(S524,D524,'Regressão Grupo 2'!$B$7)&gt;100%,100%,_xlfn.NORM.INV(S524,D524,'Regressão Grupo 2'!$B$7)))</f>
        <v>0.81101938056226386</v>
      </c>
      <c r="G524" s="41">
        <v>2.2330435438443159E-2</v>
      </c>
      <c r="H524" s="41">
        <v>6.7673218253347898E-3</v>
      </c>
      <c r="I524" s="40">
        <f t="shared" si="82"/>
        <v>175.91859663155921</v>
      </c>
      <c r="J524" s="40">
        <f t="shared" si="82"/>
        <v>0</v>
      </c>
      <c r="K524" s="36">
        <v>0.36431727991567986</v>
      </c>
      <c r="L524" s="42">
        <f t="shared" si="86"/>
        <v>19991.322604477216</v>
      </c>
      <c r="M524" s="42">
        <f t="shared" si="86"/>
        <v>0</v>
      </c>
      <c r="N524" s="42">
        <f t="shared" si="83"/>
        <v>7283.1842731799843</v>
      </c>
      <c r="O524" s="36">
        <v>3.9183316013793466</v>
      </c>
      <c r="P524" s="42">
        <f t="shared" si="84"/>
        <v>3326.7029488712487</v>
      </c>
      <c r="Q524" s="42"/>
      <c r="R524">
        <v>0.23740348521378216</v>
      </c>
      <c r="S524">
        <v>0.10989715262306589</v>
      </c>
    </row>
    <row r="525" spans="1:19" x14ac:dyDescent="0.25">
      <c r="A525" s="40">
        <f t="shared" si="85"/>
        <v>64.229676878151835</v>
      </c>
      <c r="B525" s="40">
        <f t="shared" si="85"/>
        <v>32.933286051621081</v>
      </c>
      <c r="C525" s="41">
        <f t="shared" si="80"/>
        <v>0.49289226185293716</v>
      </c>
      <c r="D525" s="41">
        <f t="shared" si="81"/>
        <v>0.98069361229543572</v>
      </c>
      <c r="E525" s="39">
        <f>IF(_xlfn.NORM.INV(R525,C525,'Regressão Grupo 2'!$B$7)&lt;=0,0,IF(_xlfn.NORM.INV(R525,C525,'Regressão Grupo 2'!$B$7)&gt;100%,100%,_xlfn.NORM.INV(R525,C525,'Regressão Grupo 2'!$B$7)))</f>
        <v>0.8169382617375649</v>
      </c>
      <c r="F525" s="39">
        <f>IF(_xlfn.NORM.INV(S525,D525,'Regressão Grupo 2'!$B$7)&lt;=0,0,IF(_xlfn.NORM.INV(S525,D525,'Regressão Grupo 2'!$B$7)&gt;100%,100%,_xlfn.NORM.INV(S525,D525,'Regressão Grupo 2'!$B$7)))</f>
        <v>0.98361860958268987</v>
      </c>
      <c r="G525" s="41">
        <v>1.8737619127094641E-2</v>
      </c>
      <c r="H525" s="41">
        <v>1.7242127736882083E-2</v>
      </c>
      <c r="I525" s="40">
        <f t="shared" si="82"/>
        <v>306.01673093473306</v>
      </c>
      <c r="J525" s="40">
        <f t="shared" si="82"/>
        <v>0</v>
      </c>
      <c r="K525" s="36">
        <v>0.28736624715464343</v>
      </c>
      <c r="L525" s="42">
        <f t="shared" si="86"/>
        <v>19991.322604477216</v>
      </c>
      <c r="M525" s="42">
        <f t="shared" si="86"/>
        <v>0</v>
      </c>
      <c r="N525" s="42">
        <f t="shared" si="83"/>
        <v>5744.8313525064095</v>
      </c>
      <c r="O525" s="36">
        <v>6.6310608475011579</v>
      </c>
      <c r="P525" s="42">
        <f t="shared" si="84"/>
        <v>11881.308831558219</v>
      </c>
      <c r="Q525" s="42"/>
      <c r="R525">
        <v>0.99044770653401293</v>
      </c>
      <c r="S525">
        <v>0.50843836787011321</v>
      </c>
    </row>
    <row r="526" spans="1:19" x14ac:dyDescent="0.25">
      <c r="A526" s="40">
        <f t="shared" si="85"/>
        <v>64.229676878151835</v>
      </c>
      <c r="B526" s="40">
        <f t="shared" si="85"/>
        <v>32.933286051621081</v>
      </c>
      <c r="C526" s="41">
        <f t="shared" si="80"/>
        <v>0.49289226185293716</v>
      </c>
      <c r="D526" s="41">
        <f t="shared" si="81"/>
        <v>0.98069361229543572</v>
      </c>
      <c r="E526" s="39">
        <f>IF(_xlfn.NORM.INV(R526,C526,'Regressão Grupo 2'!$B$7)&lt;=0,0,IF(_xlfn.NORM.INV(R526,C526,'Regressão Grupo 2'!$B$7)&gt;100%,100%,_xlfn.NORM.INV(R526,C526,'Regressão Grupo 2'!$B$7)))</f>
        <v>0.1902637121450485</v>
      </c>
      <c r="F526" s="39">
        <f>IF(_xlfn.NORM.INV(S526,D526,'Regressão Grupo 2'!$B$7)&lt;=0,0,IF(_xlfn.NORM.INV(S526,D526,'Regressão Grupo 2'!$B$7)&gt;100%,100%,_xlfn.NORM.INV(S526,D526,'Regressão Grupo 2'!$B$7)))</f>
        <v>0.86494402069932685</v>
      </c>
      <c r="G526" s="41">
        <v>1.390892988807033E-2</v>
      </c>
      <c r="H526" s="41">
        <v>1.5166553652345798E-2</v>
      </c>
      <c r="I526" s="40">
        <f t="shared" si="82"/>
        <v>52.904329096776053</v>
      </c>
      <c r="J526" s="40">
        <f t="shared" si="82"/>
        <v>0</v>
      </c>
      <c r="K526" s="36">
        <v>0.2816270917547532</v>
      </c>
      <c r="L526" s="42">
        <f t="shared" si="86"/>
        <v>19991.322604477216</v>
      </c>
      <c r="M526" s="42">
        <f t="shared" si="86"/>
        <v>0</v>
      </c>
      <c r="N526" s="42">
        <f t="shared" si="83"/>
        <v>5630.098045429977</v>
      </c>
      <c r="O526" s="36">
        <v>8.1459377428575142</v>
      </c>
      <c r="P526" s="42">
        <f t="shared" si="84"/>
        <v>-2663.025453238628</v>
      </c>
      <c r="Q526" s="42"/>
      <c r="R526">
        <v>1.4313180944242684E-2</v>
      </c>
      <c r="S526">
        <v>0.20126956999420148</v>
      </c>
    </row>
    <row r="527" spans="1:19" x14ac:dyDescent="0.25">
      <c r="A527" s="40">
        <f t="shared" si="85"/>
        <v>64.229676878151835</v>
      </c>
      <c r="B527" s="40">
        <f t="shared" si="85"/>
        <v>32.933286051621081</v>
      </c>
      <c r="C527" s="41">
        <f t="shared" si="80"/>
        <v>0.49289226185293716</v>
      </c>
      <c r="D527" s="41">
        <f t="shared" si="81"/>
        <v>0.98069361229543572</v>
      </c>
      <c r="E527" s="39">
        <f>IF(_xlfn.NORM.INV(R527,C527,'Regressão Grupo 2'!$B$7)&lt;=0,0,IF(_xlfn.NORM.INV(R527,C527,'Regressão Grupo 2'!$B$7)&gt;100%,100%,_xlfn.NORM.INV(R527,C527,'Regressão Grupo 2'!$B$7)))</f>
        <v>0.44837995927614749</v>
      </c>
      <c r="F527" s="39">
        <f>IF(_xlfn.NORM.INV(S527,D527,'Regressão Grupo 2'!$B$7)&lt;=0,0,IF(_xlfn.NORM.INV(S527,D527,'Regressão Grupo 2'!$B$7)&gt;100%,100%,_xlfn.NORM.INV(S527,D527,'Regressão Grupo 2'!$B$7)))</f>
        <v>1</v>
      </c>
      <c r="G527" s="41">
        <v>2.0274401792964331E-2</v>
      </c>
      <c r="H527" s="41">
        <v>5.8746474545802911E-3</v>
      </c>
      <c r="I527" s="40">
        <f t="shared" si="82"/>
        <v>181.73382596619646</v>
      </c>
      <c r="J527" s="40">
        <f t="shared" si="82"/>
        <v>0</v>
      </c>
      <c r="K527" s="36">
        <v>0.21014789522560945</v>
      </c>
      <c r="L527" s="42">
        <f t="shared" si="86"/>
        <v>19991.322604477216</v>
      </c>
      <c r="M527" s="42">
        <f t="shared" si="86"/>
        <v>0</v>
      </c>
      <c r="N527" s="42">
        <f t="shared" si="83"/>
        <v>4201.1343681070357</v>
      </c>
      <c r="O527" s="36">
        <v>5.4091748793177059</v>
      </c>
      <c r="P527" s="42">
        <f t="shared" si="84"/>
        <v>6488.5405053933973</v>
      </c>
      <c r="Q527" s="42"/>
      <c r="R527">
        <v>0.37376018555253759</v>
      </c>
      <c r="S527">
        <v>0.61470381786553541</v>
      </c>
    </row>
    <row r="528" spans="1:19" x14ac:dyDescent="0.25">
      <c r="A528" s="40">
        <f t="shared" si="85"/>
        <v>64.229676878151835</v>
      </c>
      <c r="B528" s="40">
        <f t="shared" si="85"/>
        <v>32.933286051621081</v>
      </c>
      <c r="C528" s="41">
        <f t="shared" si="80"/>
        <v>0.49289226185293716</v>
      </c>
      <c r="D528" s="41">
        <f t="shared" si="81"/>
        <v>0.98069361229543572</v>
      </c>
      <c r="E528" s="39">
        <f>IF(_xlfn.NORM.INV(R528,C528,'Regressão Grupo 2'!$B$7)&lt;=0,0,IF(_xlfn.NORM.INV(R528,C528,'Regressão Grupo 2'!$B$7)&gt;100%,100%,_xlfn.NORM.INV(R528,C528,'Regressão Grupo 2'!$B$7)))</f>
        <v>0.39578272933632774</v>
      </c>
      <c r="F528" s="39">
        <f>IF(_xlfn.NORM.INV(S528,D528,'Regressão Grupo 2'!$B$7)&lt;=0,0,IF(_xlfn.NORM.INV(S528,D528,'Regressão Grupo 2'!$B$7)&gt;100%,100%,_xlfn.NORM.INV(S528,D528,'Regressão Grupo 2'!$B$7)))</f>
        <v>1</v>
      </c>
      <c r="G528" s="41">
        <v>1.6358270514949459E-2</v>
      </c>
      <c r="H528" s="41">
        <v>1.5369857486319782E-2</v>
      </c>
      <c r="I528" s="40">
        <f t="shared" si="82"/>
        <v>129.4302387889347</v>
      </c>
      <c r="J528" s="40">
        <f t="shared" si="82"/>
        <v>0</v>
      </c>
      <c r="K528" s="36">
        <v>0.17743401702609682</v>
      </c>
      <c r="L528" s="42">
        <f t="shared" si="86"/>
        <v>19991.322604477216</v>
      </c>
      <c r="M528" s="42">
        <f t="shared" si="86"/>
        <v>0</v>
      </c>
      <c r="N528" s="42">
        <f t="shared" si="83"/>
        <v>3547.1406753770048</v>
      </c>
      <c r="O528" s="36">
        <v>4.9967081069220267</v>
      </c>
      <c r="P528" s="42">
        <f t="shared" si="84"/>
        <v>4119.3966168607822</v>
      </c>
      <c r="Q528" s="42"/>
      <c r="R528">
        <v>0.2412488174077578</v>
      </c>
      <c r="S528">
        <v>0.94009216589861755</v>
      </c>
    </row>
    <row r="529" spans="1:19" x14ac:dyDescent="0.25">
      <c r="A529" s="40">
        <f t="shared" si="85"/>
        <v>64.229676878151835</v>
      </c>
      <c r="B529" s="40">
        <f t="shared" si="85"/>
        <v>32.933286051621081</v>
      </c>
      <c r="C529" s="41">
        <f t="shared" si="80"/>
        <v>0.49289226185293716</v>
      </c>
      <c r="D529" s="41">
        <f t="shared" si="81"/>
        <v>0.98069361229543572</v>
      </c>
      <c r="E529" s="39">
        <f>IF(_xlfn.NORM.INV(R529,C529,'Regressão Grupo 2'!$B$7)&lt;=0,0,IF(_xlfn.NORM.INV(R529,C529,'Regressão Grupo 2'!$B$7)&gt;100%,100%,_xlfn.NORM.INV(R529,C529,'Regressão Grupo 2'!$B$7)))</f>
        <v>0.57708218908878717</v>
      </c>
      <c r="F529" s="39">
        <f>IF(_xlfn.NORM.INV(S529,D529,'Regressão Grupo 2'!$B$7)&lt;=0,0,IF(_xlfn.NORM.INV(S529,D529,'Regressão Grupo 2'!$B$7)&gt;100%,100%,_xlfn.NORM.INV(S529,D529,'Regressão Grupo 2'!$B$7)))</f>
        <v>0.92588964219805348</v>
      </c>
      <c r="G529" s="41">
        <v>2.022005322640516E-2</v>
      </c>
      <c r="H529" s="41">
        <v>1.0899859920091562E-2</v>
      </c>
      <c r="I529" s="40">
        <f t="shared" si="82"/>
        <v>233.2713982476123</v>
      </c>
      <c r="J529" s="40">
        <f t="shared" si="82"/>
        <v>0</v>
      </c>
      <c r="K529" s="36">
        <v>0.37673084777702692</v>
      </c>
      <c r="L529" s="42">
        <f t="shared" si="86"/>
        <v>19991.322604477216</v>
      </c>
      <c r="M529" s="42">
        <f t="shared" si="86"/>
        <v>0</v>
      </c>
      <c r="N529" s="42">
        <f t="shared" si="83"/>
        <v>7531.3479129687439</v>
      </c>
      <c r="O529" s="36">
        <v>8.5030540524131712</v>
      </c>
      <c r="P529" s="42">
        <f t="shared" si="84"/>
        <v>5468.0793132086219</v>
      </c>
      <c r="Q529" s="42"/>
      <c r="R529">
        <v>0.72869045075838501</v>
      </c>
      <c r="S529">
        <v>0.34592730491042817</v>
      </c>
    </row>
    <row r="530" spans="1:19" x14ac:dyDescent="0.25">
      <c r="A530" s="40">
        <f t="shared" si="85"/>
        <v>64.229676878151835</v>
      </c>
      <c r="B530" s="40">
        <f t="shared" si="85"/>
        <v>32.933286051621081</v>
      </c>
      <c r="C530" s="41">
        <f t="shared" si="80"/>
        <v>0.49289226185293716</v>
      </c>
      <c r="D530" s="41">
        <f t="shared" si="81"/>
        <v>0.98069361229543572</v>
      </c>
      <c r="E530" s="39">
        <f>IF(_xlfn.NORM.INV(R530,C530,'Regressão Grupo 2'!$B$7)&lt;=0,0,IF(_xlfn.NORM.INV(R530,C530,'Regressão Grupo 2'!$B$7)&gt;100%,100%,_xlfn.NORM.INV(R530,C530,'Regressão Grupo 2'!$B$7)))</f>
        <v>0.33734525749164646</v>
      </c>
      <c r="F530" s="39">
        <f>IF(_xlfn.NORM.INV(S530,D530,'Regressão Grupo 2'!$B$7)&lt;=0,0,IF(_xlfn.NORM.INV(S530,D530,'Regressão Grupo 2'!$B$7)&gt;100%,100%,_xlfn.NORM.INV(S530,D530,'Regressão Grupo 2'!$B$7)))</f>
        <v>1</v>
      </c>
      <c r="G530" s="41">
        <v>5.8640484292084884E-3</v>
      </c>
      <c r="H530" s="41">
        <v>1.9037810111071751E-2</v>
      </c>
      <c r="I530" s="40">
        <f t="shared" si="82"/>
        <v>39.547012844607615</v>
      </c>
      <c r="J530" s="40">
        <f t="shared" si="82"/>
        <v>0</v>
      </c>
      <c r="K530" s="36">
        <v>0.12869623547364509</v>
      </c>
      <c r="L530" s="42">
        <f t="shared" si="86"/>
        <v>19991.322604477216</v>
      </c>
      <c r="M530" s="42">
        <f t="shared" si="86"/>
        <v>0</v>
      </c>
      <c r="N530" s="42">
        <f t="shared" si="83"/>
        <v>2572.8079613354034</v>
      </c>
      <c r="O530" s="36">
        <v>5.7854178504980753</v>
      </c>
      <c r="P530" s="42">
        <f t="shared" si="84"/>
        <v>-261.51209887520554</v>
      </c>
      <c r="Q530" s="42"/>
      <c r="R530">
        <v>0.130314035462508</v>
      </c>
      <c r="S530">
        <v>0.61235389263588369</v>
      </c>
    </row>
    <row r="531" spans="1:19" x14ac:dyDescent="0.25">
      <c r="A531" s="40">
        <f t="shared" si="85"/>
        <v>64.229676878151835</v>
      </c>
      <c r="B531" s="40">
        <f t="shared" si="85"/>
        <v>32.933286051621081</v>
      </c>
      <c r="C531" s="41">
        <f t="shared" si="80"/>
        <v>0.49289226185293716</v>
      </c>
      <c r="D531" s="41">
        <f t="shared" si="81"/>
        <v>0.98069361229543572</v>
      </c>
      <c r="E531" s="39">
        <f>IF(_xlfn.NORM.INV(R531,C531,'Regressão Grupo 2'!$B$7)&lt;=0,0,IF(_xlfn.NORM.INV(R531,C531,'Regressão Grupo 2'!$B$7)&gt;100%,100%,_xlfn.NORM.INV(R531,C531,'Regressão Grupo 2'!$B$7)))</f>
        <v>0.69688517368139435</v>
      </c>
      <c r="F531" s="39">
        <f>IF(_xlfn.NORM.INV(S531,D531,'Regressão Grupo 2'!$B$7)&lt;=0,0,IF(_xlfn.NORM.INV(S531,D531,'Regressão Grupo 2'!$B$7)&gt;100%,100%,_xlfn.NORM.INV(S531,D531,'Regressão Grupo 2'!$B$7)))</f>
        <v>0.93814871180734172</v>
      </c>
      <c r="G531" s="41">
        <v>1.8500452706236497E-2</v>
      </c>
      <c r="H531" s="41">
        <v>1.5133398073256791E-2</v>
      </c>
      <c r="I531" s="40">
        <f t="shared" si="82"/>
        <v>257.74194896652818</v>
      </c>
      <c r="J531" s="40">
        <f t="shared" si="82"/>
        <v>0</v>
      </c>
      <c r="K531" s="36">
        <v>0.25869783640818689</v>
      </c>
      <c r="L531" s="42">
        <f t="shared" si="86"/>
        <v>19991.322604477216</v>
      </c>
      <c r="M531" s="42">
        <f t="shared" si="86"/>
        <v>0</v>
      </c>
      <c r="N531" s="42">
        <f t="shared" si="83"/>
        <v>5171.7119047163351</v>
      </c>
      <c r="O531" s="36">
        <v>4.0211643131473398</v>
      </c>
      <c r="P531" s="42">
        <f t="shared" si="84"/>
        <v>10346.547468163622</v>
      </c>
      <c r="Q531" s="42"/>
      <c r="R531">
        <v>0.92992950224311044</v>
      </c>
      <c r="S531">
        <v>0.37916196172978911</v>
      </c>
    </row>
    <row r="532" spans="1:19" x14ac:dyDescent="0.25">
      <c r="A532" s="40">
        <f t="shared" si="85"/>
        <v>64.229676878151835</v>
      </c>
      <c r="B532" s="40">
        <f t="shared" si="85"/>
        <v>32.933286051621081</v>
      </c>
      <c r="C532" s="41">
        <f t="shared" si="80"/>
        <v>0.49289226185293716</v>
      </c>
      <c r="D532" s="41">
        <f t="shared" si="81"/>
        <v>0.98069361229543572</v>
      </c>
      <c r="E532" s="39">
        <f>IF(_xlfn.NORM.INV(R532,C532,'Regressão Grupo 2'!$B$7)&lt;=0,0,IF(_xlfn.NORM.INV(R532,C532,'Regressão Grupo 2'!$B$7)&gt;100%,100%,_xlfn.NORM.INV(R532,C532,'Regressão Grupo 2'!$B$7)))</f>
        <v>0.39821779396698431</v>
      </c>
      <c r="F532" s="39">
        <f>IF(_xlfn.NORM.INV(S532,D532,'Regressão Grupo 2'!$B$7)&lt;=0,0,IF(_xlfn.NORM.INV(S532,D532,'Regressão Grupo 2'!$B$7)&gt;100%,100%,_xlfn.NORM.INV(S532,D532,'Regressão Grupo 2'!$B$7)))</f>
        <v>0.88017025468982091</v>
      </c>
      <c r="G532" s="41">
        <v>2.2821259238282092E-2</v>
      </c>
      <c r="H532" s="41">
        <v>1.8186308005687025E-2</v>
      </c>
      <c r="I532" s="40">
        <f t="shared" si="82"/>
        <v>181.67777147989545</v>
      </c>
      <c r="J532" s="40">
        <f t="shared" si="82"/>
        <v>0</v>
      </c>
      <c r="K532" s="36">
        <v>0.21048975031339517</v>
      </c>
      <c r="L532" s="42">
        <f t="shared" si="86"/>
        <v>19991.322604477216</v>
      </c>
      <c r="M532" s="42">
        <f t="shared" si="86"/>
        <v>0</v>
      </c>
      <c r="N532" s="42">
        <f t="shared" si="83"/>
        <v>4207.9685034509421</v>
      </c>
      <c r="O532" s="36">
        <v>5.8032377845950673</v>
      </c>
      <c r="P532" s="42">
        <f t="shared" si="84"/>
        <v>6406.8167465722945</v>
      </c>
      <c r="Q532" s="42"/>
      <c r="R532">
        <v>0.24677266762291331</v>
      </c>
      <c r="S532">
        <v>0.2336191900387585</v>
      </c>
    </row>
    <row r="533" spans="1:19" x14ac:dyDescent="0.25">
      <c r="A533" s="40">
        <f t="shared" si="85"/>
        <v>64.229676878151835</v>
      </c>
      <c r="B533" s="40">
        <f t="shared" si="85"/>
        <v>32.933286051621081</v>
      </c>
      <c r="C533" s="41">
        <f t="shared" si="80"/>
        <v>0.49289226185293716</v>
      </c>
      <c r="D533" s="41">
        <f t="shared" si="81"/>
        <v>0.98069361229543572</v>
      </c>
      <c r="E533" s="39">
        <f>IF(_xlfn.NORM.INV(R533,C533,'Regressão Grupo 2'!$B$7)&lt;=0,0,IF(_xlfn.NORM.INV(R533,C533,'Regressão Grupo 2'!$B$7)&gt;100%,100%,_xlfn.NORM.INV(R533,C533,'Regressão Grupo 2'!$B$7)))</f>
        <v>0.41900430326612109</v>
      </c>
      <c r="F533" s="39">
        <f>IF(_xlfn.NORM.INV(S533,D533,'Regressão Grupo 2'!$B$7)&lt;=0,0,IF(_xlfn.NORM.INV(S533,D533,'Regressão Grupo 2'!$B$7)&gt;100%,100%,_xlfn.NORM.INV(S533,D533,'Regressão Grupo 2'!$B$7)))</f>
        <v>0.84315478968477187</v>
      </c>
      <c r="G533" s="41">
        <v>8.5195430876218049E-3</v>
      </c>
      <c r="H533" s="41">
        <v>2.4712989299833133E-3</v>
      </c>
      <c r="I533" s="40">
        <f t="shared" si="82"/>
        <v>71.363528393890249</v>
      </c>
      <c r="J533" s="40">
        <f t="shared" si="82"/>
        <v>0</v>
      </c>
      <c r="K533" s="36">
        <v>0.39423136077726162</v>
      </c>
      <c r="L533" s="42">
        <f t="shared" si="86"/>
        <v>19991.322604477216</v>
      </c>
      <c r="M533" s="42">
        <f t="shared" si="86"/>
        <v>0</v>
      </c>
      <c r="N533" s="42">
        <f t="shared" si="83"/>
        <v>7881.2063141002827</v>
      </c>
      <c r="O533" s="36">
        <v>4.0022720901579572</v>
      </c>
      <c r="P533" s="42">
        <f t="shared" si="84"/>
        <v>-3583.1662024219595</v>
      </c>
      <c r="Q533" s="42"/>
      <c r="R533">
        <v>0.29654835657826473</v>
      </c>
      <c r="S533">
        <v>0.15994750816370129</v>
      </c>
    </row>
    <row r="534" spans="1:19" x14ac:dyDescent="0.25">
      <c r="A534" s="40">
        <f t="shared" si="85"/>
        <v>64.229676878151835</v>
      </c>
      <c r="B534" s="40">
        <f t="shared" si="85"/>
        <v>32.933286051621081</v>
      </c>
      <c r="C534" s="41">
        <f t="shared" si="80"/>
        <v>0.49289226185293716</v>
      </c>
      <c r="D534" s="41">
        <f t="shared" si="81"/>
        <v>0.98069361229543572</v>
      </c>
      <c r="E534" s="39">
        <f>IF(_xlfn.NORM.INV(R534,C534,'Regressão Grupo 2'!$B$7)&lt;=0,0,IF(_xlfn.NORM.INV(R534,C534,'Regressão Grupo 2'!$B$7)&gt;100%,100%,_xlfn.NORM.INV(R534,C534,'Regressão Grupo 2'!$B$7)))</f>
        <v>0.50866094464326705</v>
      </c>
      <c r="F534" s="39">
        <f>IF(_xlfn.NORM.INV(S534,D534,'Regressão Grupo 2'!$B$7)&lt;=0,0,IF(_xlfn.NORM.INV(S534,D534,'Regressão Grupo 2'!$B$7)&gt;100%,100%,_xlfn.NORM.INV(S534,D534,'Regressão Grupo 2'!$B$7)))</f>
        <v>1</v>
      </c>
      <c r="G534" s="41">
        <v>1.6509975062420204E-2</v>
      </c>
      <c r="H534" s="41">
        <v>8.2863234327753745E-3</v>
      </c>
      <c r="I534" s="40">
        <f t="shared" si="82"/>
        <v>167.88671763593717</v>
      </c>
      <c r="J534" s="40">
        <f t="shared" si="82"/>
        <v>0</v>
      </c>
      <c r="K534" s="36">
        <v>0.22658905880912719</v>
      </c>
      <c r="L534" s="42">
        <f t="shared" si="86"/>
        <v>19991.322604477216</v>
      </c>
      <c r="M534" s="42">
        <f t="shared" si="86"/>
        <v>0</v>
      </c>
      <c r="N534" s="42">
        <f t="shared" si="83"/>
        <v>4529.8149732981219</v>
      </c>
      <c r="O534" s="36">
        <v>4.380677564405703</v>
      </c>
      <c r="P534" s="42">
        <f t="shared" si="84"/>
        <v>5518.0370752821727</v>
      </c>
      <c r="Q534" s="42"/>
      <c r="R534">
        <v>0.54539628284554587</v>
      </c>
      <c r="S534">
        <v>0.56520279549546804</v>
      </c>
    </row>
    <row r="535" spans="1:19" x14ac:dyDescent="0.25">
      <c r="A535" s="40">
        <f t="shared" si="85"/>
        <v>64.229676878151835</v>
      </c>
      <c r="B535" s="40">
        <f t="shared" si="85"/>
        <v>32.933286051621081</v>
      </c>
      <c r="C535" s="41">
        <f t="shared" si="80"/>
        <v>0.49289226185293716</v>
      </c>
      <c r="D535" s="41">
        <f t="shared" si="81"/>
        <v>0.98069361229543572</v>
      </c>
      <c r="E535" s="39">
        <f>IF(_xlfn.NORM.INV(R535,C535,'Regressão Grupo 2'!$B$7)&lt;=0,0,IF(_xlfn.NORM.INV(R535,C535,'Regressão Grupo 2'!$B$7)&gt;100%,100%,_xlfn.NORM.INV(R535,C535,'Regressão Grupo 2'!$B$7)))</f>
        <v>0.36002809557703885</v>
      </c>
      <c r="F535" s="39">
        <f>IF(_xlfn.NORM.INV(S535,D535,'Regressão Grupo 2'!$B$7)&lt;=0,0,IF(_xlfn.NORM.INV(S535,D535,'Regressão Grupo 2'!$B$7)&gt;100%,100%,_xlfn.NORM.INV(S535,D535,'Regressão Grupo 2'!$B$7)))</f>
        <v>0.90764617194268371</v>
      </c>
      <c r="G535" s="41">
        <v>2.2020209611547999E-2</v>
      </c>
      <c r="H535" s="41">
        <v>2.3414533475835095E-2</v>
      </c>
      <c r="I535" s="40">
        <f t="shared" si="82"/>
        <v>158.4890891400222</v>
      </c>
      <c r="J535" s="40">
        <f t="shared" si="82"/>
        <v>0</v>
      </c>
      <c r="K535" s="36">
        <v>0.19328917094327297</v>
      </c>
      <c r="L535" s="42">
        <f t="shared" ref="L535:M550" si="87">L534</f>
        <v>19991.322604477216</v>
      </c>
      <c r="M535" s="42">
        <f t="shared" si="87"/>
        <v>0</v>
      </c>
      <c r="N535" s="42">
        <f t="shared" si="83"/>
        <v>3864.1061722789136</v>
      </c>
      <c r="O535" s="36">
        <v>5.1425247525531779</v>
      </c>
      <c r="P535" s="42">
        <f t="shared" si="84"/>
        <v>5500.5627479851437</v>
      </c>
      <c r="Q535" s="42"/>
      <c r="R535">
        <v>0.16830957976012451</v>
      </c>
      <c r="S535">
        <v>0.29865413373210853</v>
      </c>
    </row>
    <row r="536" spans="1:19" x14ac:dyDescent="0.25">
      <c r="A536" s="40">
        <f t="shared" si="85"/>
        <v>64.229676878151835</v>
      </c>
      <c r="B536" s="40">
        <f t="shared" si="85"/>
        <v>32.933286051621081</v>
      </c>
      <c r="C536" s="41">
        <f t="shared" si="80"/>
        <v>0.49289226185293716</v>
      </c>
      <c r="D536" s="41">
        <f t="shared" si="81"/>
        <v>0.98069361229543572</v>
      </c>
      <c r="E536" s="39">
        <f>IF(_xlfn.NORM.INV(R536,C536,'Regressão Grupo 2'!$B$7)&lt;=0,0,IF(_xlfn.NORM.INV(R536,C536,'Regressão Grupo 2'!$B$7)&gt;100%,100%,_xlfn.NORM.INV(R536,C536,'Regressão Grupo 2'!$B$7)))</f>
        <v>0.61276281285220935</v>
      </c>
      <c r="F536" s="39">
        <f>IF(_xlfn.NORM.INV(S536,D536,'Regressão Grupo 2'!$B$7)&lt;=0,0,IF(_xlfn.NORM.INV(S536,D536,'Regressão Grupo 2'!$B$7)&gt;100%,100%,_xlfn.NORM.INV(S536,D536,'Regressão Grupo 2'!$B$7)))</f>
        <v>1</v>
      </c>
      <c r="G536" s="41">
        <v>7.4172847004531032E-3</v>
      </c>
      <c r="H536" s="41">
        <v>2.1990085784571387E-2</v>
      </c>
      <c r="I536" s="40">
        <f t="shared" si="82"/>
        <v>90.861285658414133</v>
      </c>
      <c r="J536" s="40">
        <f t="shared" si="82"/>
        <v>0</v>
      </c>
      <c r="K536" s="36">
        <v>0.24004968578953007</v>
      </c>
      <c r="L536" s="42">
        <f t="shared" si="87"/>
        <v>19991.322604477216</v>
      </c>
      <c r="M536" s="42">
        <f t="shared" si="87"/>
        <v>0</v>
      </c>
      <c r="N536" s="42">
        <f t="shared" si="83"/>
        <v>4798.9107097218857</v>
      </c>
      <c r="O536" s="36">
        <v>7.2436370473062652</v>
      </c>
      <c r="P536" s="42">
        <f t="shared" si="84"/>
        <v>378.91413389034005</v>
      </c>
      <c r="Q536" s="42"/>
      <c r="R536">
        <v>0.8070009460737938</v>
      </c>
      <c r="S536">
        <v>0.92919705801568653</v>
      </c>
    </row>
    <row r="537" spans="1:19" x14ac:dyDescent="0.25">
      <c r="A537" s="40">
        <f t="shared" si="85"/>
        <v>64.229676878151835</v>
      </c>
      <c r="B537" s="40">
        <f t="shared" si="85"/>
        <v>32.933286051621081</v>
      </c>
      <c r="C537" s="41">
        <f t="shared" si="80"/>
        <v>0.49289226185293716</v>
      </c>
      <c r="D537" s="41">
        <f t="shared" si="81"/>
        <v>0.98069361229543572</v>
      </c>
      <c r="E537" s="39">
        <f>IF(_xlfn.NORM.INV(R537,C537,'Regressão Grupo 2'!$B$7)&lt;=0,0,IF(_xlfn.NORM.INV(R537,C537,'Regressão Grupo 2'!$B$7)&gt;100%,100%,_xlfn.NORM.INV(R537,C537,'Regressão Grupo 2'!$B$7)))</f>
        <v>0.30338883334587274</v>
      </c>
      <c r="F537" s="39">
        <f>IF(_xlfn.NORM.INV(S537,D537,'Regressão Grupo 2'!$B$7)&lt;=0,0,IF(_xlfn.NORM.INV(S537,D537,'Regressão Grupo 2'!$B$7)&gt;100%,100%,_xlfn.NORM.INV(S537,D537,'Regressão Grupo 2'!$B$7)))</f>
        <v>0.84081045051163283</v>
      </c>
      <c r="G537" s="41">
        <v>1.6900465083071203E-2</v>
      </c>
      <c r="H537" s="41">
        <v>9.8249455632456167E-3</v>
      </c>
      <c r="I537" s="40">
        <f t="shared" si="82"/>
        <v>102.50375510584341</v>
      </c>
      <c r="J537" s="40">
        <f t="shared" si="82"/>
        <v>0</v>
      </c>
      <c r="K537" s="36">
        <v>0.13879061877306631</v>
      </c>
      <c r="L537" s="42">
        <f t="shared" si="87"/>
        <v>19991.322604477216</v>
      </c>
      <c r="M537" s="42">
        <f t="shared" si="87"/>
        <v>0</v>
      </c>
      <c r="N537" s="42">
        <f t="shared" si="83"/>
        <v>2774.6080343673802</v>
      </c>
      <c r="O537" s="36">
        <v>6.1667657497849868</v>
      </c>
      <c r="P537" s="42">
        <f t="shared" si="84"/>
        <v>3177.0583886670856</v>
      </c>
      <c r="Q537" s="42"/>
      <c r="R537">
        <v>8.526871547593616E-2</v>
      </c>
      <c r="S537">
        <v>0.15585802789391767</v>
      </c>
    </row>
    <row r="538" spans="1:19" x14ac:dyDescent="0.25">
      <c r="A538" s="40">
        <f t="shared" si="85"/>
        <v>64.229676878151835</v>
      </c>
      <c r="B538" s="40">
        <f t="shared" si="85"/>
        <v>32.933286051621081</v>
      </c>
      <c r="C538" s="41">
        <f t="shared" si="80"/>
        <v>0.49289226185293716</v>
      </c>
      <c r="D538" s="41">
        <f t="shared" si="81"/>
        <v>0.98069361229543572</v>
      </c>
      <c r="E538" s="39">
        <f>IF(_xlfn.NORM.INV(R538,C538,'Regressão Grupo 2'!$B$7)&lt;=0,0,IF(_xlfn.NORM.INV(R538,C538,'Regressão Grupo 2'!$B$7)&gt;100%,100%,_xlfn.NORM.INV(R538,C538,'Regressão Grupo 2'!$B$7)))</f>
        <v>0.49522479129515207</v>
      </c>
      <c r="F538" s="39">
        <f>IF(_xlfn.NORM.INV(S538,D538,'Regressão Grupo 2'!$B$7)&lt;=0,0,IF(_xlfn.NORM.INV(S538,D538,'Regressão Grupo 2'!$B$7)&gt;100%,100%,_xlfn.NORM.INV(S538,D538,'Regressão Grupo 2'!$B$7)))</f>
        <v>1</v>
      </c>
      <c r="G538" s="41">
        <v>1.6561829895282876E-2</v>
      </c>
      <c r="H538" s="41">
        <v>1.5559828839230995E-2</v>
      </c>
      <c r="I538" s="40">
        <f t="shared" si="82"/>
        <v>163.96540455504243</v>
      </c>
      <c r="J538" s="40">
        <f t="shared" si="82"/>
        <v>0</v>
      </c>
      <c r="K538" s="36">
        <v>0.21895775941263815</v>
      </c>
      <c r="L538" s="42">
        <f t="shared" si="87"/>
        <v>19991.322604477216</v>
      </c>
      <c r="M538" s="42">
        <f t="shared" si="87"/>
        <v>0</v>
      </c>
      <c r="N538" s="42">
        <f t="shared" si="83"/>
        <v>4377.2552051715566</v>
      </c>
      <c r="O538" s="36">
        <v>3.5881220237226645</v>
      </c>
      <c r="P538" s="42">
        <f t="shared" si="84"/>
        <v>5565.8618693817198</v>
      </c>
      <c r="Q538" s="42"/>
      <c r="R538">
        <v>0.50672933133945741</v>
      </c>
      <c r="S538">
        <v>0.72856837672048103</v>
      </c>
    </row>
    <row r="539" spans="1:19" x14ac:dyDescent="0.25">
      <c r="A539" s="40">
        <f t="shared" si="85"/>
        <v>64.229676878151835</v>
      </c>
      <c r="B539" s="40">
        <f t="shared" si="85"/>
        <v>32.933286051621081</v>
      </c>
      <c r="C539" s="41">
        <f t="shared" si="80"/>
        <v>0.49289226185293716</v>
      </c>
      <c r="D539" s="41">
        <f t="shared" si="81"/>
        <v>0.98069361229543572</v>
      </c>
      <c r="E539" s="39">
        <f>IF(_xlfn.NORM.INV(R539,C539,'Regressão Grupo 2'!$B$7)&lt;=0,0,IF(_xlfn.NORM.INV(R539,C539,'Regressão Grupo 2'!$B$7)&gt;100%,100%,_xlfn.NORM.INV(R539,C539,'Regressão Grupo 2'!$B$7)))</f>
        <v>0.63771711631160621</v>
      </c>
      <c r="F539" s="39">
        <f>IF(_xlfn.NORM.INV(S539,D539,'Regressão Grupo 2'!$B$7)&lt;=0,0,IF(_xlfn.NORM.INV(S539,D539,'Regressão Grupo 2'!$B$7)&gt;100%,100%,_xlfn.NORM.INV(S539,D539,'Regressão Grupo 2'!$B$7)))</f>
        <v>1</v>
      </c>
      <c r="G539" s="41">
        <v>4.1857894136520888E-3</v>
      </c>
      <c r="H539" s="41">
        <v>2.131462632273242E-2</v>
      </c>
      <c r="I539" s="40">
        <f t="shared" si="82"/>
        <v>53.363828085365419</v>
      </c>
      <c r="J539" s="40">
        <f t="shared" si="82"/>
        <v>0</v>
      </c>
      <c r="K539" s="36">
        <v>0.23448169819138032</v>
      </c>
      <c r="L539" s="42">
        <f t="shared" si="87"/>
        <v>19991.322604477216</v>
      </c>
      <c r="M539" s="42">
        <f t="shared" si="87"/>
        <v>0</v>
      </c>
      <c r="N539" s="42">
        <f t="shared" si="83"/>
        <v>4687.5992733895455</v>
      </c>
      <c r="O539" s="36">
        <v>10.635761660362574</v>
      </c>
      <c r="P539" s="42">
        <f t="shared" si="84"/>
        <v>-1827.6227952857898</v>
      </c>
      <c r="Q539" s="42"/>
      <c r="R539">
        <v>0.85253456221198154</v>
      </c>
      <c r="S539">
        <v>0.77385784478286079</v>
      </c>
    </row>
    <row r="540" spans="1:19" x14ac:dyDescent="0.25">
      <c r="A540" s="40">
        <f t="shared" si="85"/>
        <v>64.229676878151835</v>
      </c>
      <c r="B540" s="40">
        <f t="shared" si="85"/>
        <v>32.933286051621081</v>
      </c>
      <c r="C540" s="41">
        <f t="shared" si="80"/>
        <v>0.49289226185293716</v>
      </c>
      <c r="D540" s="41">
        <f t="shared" si="81"/>
        <v>0.98069361229543572</v>
      </c>
      <c r="E540" s="39">
        <f>IF(_xlfn.NORM.INV(R540,C540,'Regressão Grupo 2'!$B$7)&lt;=0,0,IF(_xlfn.NORM.INV(R540,C540,'Regressão Grupo 2'!$B$7)&gt;100%,100%,_xlfn.NORM.INV(R540,C540,'Regressão Grupo 2'!$B$7)))</f>
        <v>0.54446140085195516</v>
      </c>
      <c r="F540" s="39">
        <f>IF(_xlfn.NORM.INV(S540,D540,'Regressão Grupo 2'!$B$7)&lt;=0,0,IF(_xlfn.NORM.INV(S540,D540,'Regressão Grupo 2'!$B$7)&gt;100%,100%,_xlfn.NORM.INV(S540,D540,'Regressão Grupo 2'!$B$7)))</f>
        <v>0.78528323031555347</v>
      </c>
      <c r="G540" s="41">
        <v>1.7073129382232943E-3</v>
      </c>
      <c r="H540" s="41">
        <v>2.3095050934296452E-2</v>
      </c>
      <c r="I540" s="40">
        <f t="shared" si="82"/>
        <v>18.583253668959653</v>
      </c>
      <c r="J540" s="40">
        <f t="shared" si="82"/>
        <v>0</v>
      </c>
      <c r="K540" s="36">
        <v>0.24141378646072548</v>
      </c>
      <c r="L540" s="42">
        <f t="shared" si="87"/>
        <v>19991.322604477216</v>
      </c>
      <c r="M540" s="42">
        <f t="shared" si="87"/>
        <v>0</v>
      </c>
      <c r="N540" s="42">
        <f t="shared" si="83"/>
        <v>4826.1808863047372</v>
      </c>
      <c r="O540" s="36">
        <v>4.0113383553860231</v>
      </c>
      <c r="P540" s="42">
        <f t="shared" si="84"/>
        <v>-3707.1282260128951</v>
      </c>
      <c r="Q540" s="42"/>
      <c r="R540">
        <v>0.6454054383983886</v>
      </c>
      <c r="S540">
        <v>7.8798791467024745E-2</v>
      </c>
    </row>
    <row r="541" spans="1:19" x14ac:dyDescent="0.25">
      <c r="A541" s="40">
        <f t="shared" si="85"/>
        <v>64.229676878151835</v>
      </c>
      <c r="B541" s="40">
        <f t="shared" si="85"/>
        <v>32.933286051621081</v>
      </c>
      <c r="C541" s="41">
        <f t="shared" si="80"/>
        <v>0.49289226185293716</v>
      </c>
      <c r="D541" s="41">
        <f t="shared" si="81"/>
        <v>0.98069361229543572</v>
      </c>
      <c r="E541" s="39">
        <f>IF(_xlfn.NORM.INV(R541,C541,'Regressão Grupo 2'!$B$7)&lt;=0,0,IF(_xlfn.NORM.INV(R541,C541,'Regressão Grupo 2'!$B$7)&gt;100%,100%,_xlfn.NORM.INV(R541,C541,'Regressão Grupo 2'!$B$7)))</f>
        <v>0.40847304315320565</v>
      </c>
      <c r="F541" s="39">
        <f>IF(_xlfn.NORM.INV(S541,D541,'Regressão Grupo 2'!$B$7)&lt;=0,0,IF(_xlfn.NORM.INV(S541,D541,'Regressão Grupo 2'!$B$7)&gt;100%,100%,_xlfn.NORM.INV(S541,D541,'Regressão Grupo 2'!$B$7)))</f>
        <v>1</v>
      </c>
      <c r="G541" s="41">
        <v>1.2434989196533368E-2</v>
      </c>
      <c r="H541" s="41">
        <v>1.7966383736753019E-2</v>
      </c>
      <c r="I541" s="40">
        <f t="shared" si="82"/>
        <v>101.54308197638929</v>
      </c>
      <c r="J541" s="40">
        <f t="shared" si="82"/>
        <v>0</v>
      </c>
      <c r="K541" s="36">
        <v>0.31557981107351829</v>
      </c>
      <c r="L541" s="42">
        <f t="shared" si="87"/>
        <v>19991.322604477216</v>
      </c>
      <c r="M541" s="42">
        <f t="shared" si="87"/>
        <v>0</v>
      </c>
      <c r="N541" s="42">
        <f t="shared" si="83"/>
        <v>6308.8578106306759</v>
      </c>
      <c r="O541" s="36">
        <v>5.7279976318043424</v>
      </c>
      <c r="P541" s="42">
        <f t="shared" si="84"/>
        <v>-368.41699916238031</v>
      </c>
      <c r="Q541" s="42"/>
      <c r="R541">
        <v>0.27076021607104711</v>
      </c>
      <c r="S541">
        <v>0.80968657490768148</v>
      </c>
    </row>
    <row r="542" spans="1:19" x14ac:dyDescent="0.25">
      <c r="A542" s="40">
        <f t="shared" si="85"/>
        <v>64.229676878151835</v>
      </c>
      <c r="B542" s="40">
        <f t="shared" si="85"/>
        <v>32.933286051621081</v>
      </c>
      <c r="C542" s="41">
        <f t="shared" si="80"/>
        <v>0.49289226185293716</v>
      </c>
      <c r="D542" s="41">
        <f t="shared" si="81"/>
        <v>0.98069361229543572</v>
      </c>
      <c r="E542" s="39">
        <f>IF(_xlfn.NORM.INV(R542,C542,'Regressão Grupo 2'!$B$7)&lt;=0,0,IF(_xlfn.NORM.INV(R542,C542,'Regressão Grupo 2'!$B$7)&gt;100%,100%,_xlfn.NORM.INV(R542,C542,'Regressão Grupo 2'!$B$7)))</f>
        <v>0.51890242465786196</v>
      </c>
      <c r="F542" s="39">
        <f>IF(_xlfn.NORM.INV(S542,D542,'Regressão Grupo 2'!$B$7)&lt;=0,0,IF(_xlfn.NORM.INV(S542,D542,'Regressão Grupo 2'!$B$7)&gt;100%,100%,_xlfn.NORM.INV(S542,D542,'Regressão Grupo 2'!$B$7)))</f>
        <v>0.96566998494930845</v>
      </c>
      <c r="G542" s="41">
        <v>2.3309892449751665E-2</v>
      </c>
      <c r="H542" s="41">
        <v>1.5877887087839365E-2</v>
      </c>
      <c r="I542" s="40">
        <f t="shared" si="82"/>
        <v>241.80623625812348</v>
      </c>
      <c r="J542" s="40">
        <f t="shared" si="82"/>
        <v>0</v>
      </c>
      <c r="K542" s="36">
        <v>0.31330381394099915</v>
      </c>
      <c r="L542" s="42">
        <f t="shared" si="87"/>
        <v>19991.322604477216</v>
      </c>
      <c r="M542" s="42">
        <f t="shared" si="87"/>
        <v>0</v>
      </c>
      <c r="N542" s="42">
        <f t="shared" si="83"/>
        <v>6263.3576177076202</v>
      </c>
      <c r="O542" s="36">
        <v>7.8318690707212735</v>
      </c>
      <c r="P542" s="42">
        <f t="shared" si="84"/>
        <v>7373.984021416175</v>
      </c>
      <c r="Q542" s="42"/>
      <c r="R542">
        <v>0.57460249641407513</v>
      </c>
      <c r="S542">
        <v>0.45674001281777399</v>
      </c>
    </row>
    <row r="543" spans="1:19" x14ac:dyDescent="0.25">
      <c r="A543" s="40">
        <f t="shared" si="85"/>
        <v>64.229676878151835</v>
      </c>
      <c r="B543" s="40">
        <f t="shared" si="85"/>
        <v>32.933286051621081</v>
      </c>
      <c r="C543" s="41">
        <f t="shared" si="80"/>
        <v>0.49289226185293716</v>
      </c>
      <c r="D543" s="41">
        <f t="shared" si="81"/>
        <v>0.98069361229543572</v>
      </c>
      <c r="E543" s="39">
        <f>IF(_xlfn.NORM.INV(R543,C543,'Regressão Grupo 2'!$B$7)&lt;=0,0,IF(_xlfn.NORM.INV(R543,C543,'Regressão Grupo 2'!$B$7)&gt;100%,100%,_xlfn.NORM.INV(R543,C543,'Regressão Grupo 2'!$B$7)))</f>
        <v>0.61639296420672474</v>
      </c>
      <c r="F543" s="39">
        <f>IF(_xlfn.NORM.INV(S543,D543,'Regressão Grupo 2'!$B$7)&lt;=0,0,IF(_xlfn.NORM.INV(S543,D543,'Regressão Grupo 2'!$B$7)&gt;100%,100%,_xlfn.NORM.INV(S543,D543,'Regressão Grupo 2'!$B$7)))</f>
        <v>1</v>
      </c>
      <c r="G543" s="41">
        <v>1.2693932560970114E-2</v>
      </c>
      <c r="H543" s="41">
        <v>1.8330424757186332E-2</v>
      </c>
      <c r="I543" s="40">
        <f t="shared" si="82"/>
        <v>156.42111852029791</v>
      </c>
      <c r="J543" s="40">
        <f t="shared" si="82"/>
        <v>0</v>
      </c>
      <c r="K543" s="36">
        <v>0.3806455635885751</v>
      </c>
      <c r="L543" s="42">
        <f t="shared" si="87"/>
        <v>19991.322604477216</v>
      </c>
      <c r="M543" s="42">
        <f t="shared" si="87"/>
        <v>0</v>
      </c>
      <c r="N543" s="42">
        <f t="shared" si="83"/>
        <v>7609.6082596622509</v>
      </c>
      <c r="O543" s="36">
        <v>5.5895377896335452</v>
      </c>
      <c r="P543" s="42">
        <f t="shared" si="84"/>
        <v>1562.9478867496218</v>
      </c>
      <c r="Q543" s="42"/>
      <c r="R543">
        <v>0.81411175878170106</v>
      </c>
      <c r="S543">
        <v>0.62657551805169831</v>
      </c>
    </row>
    <row r="544" spans="1:19" x14ac:dyDescent="0.25">
      <c r="A544" s="40">
        <f t="shared" si="85"/>
        <v>64.229676878151835</v>
      </c>
      <c r="B544" s="40">
        <f t="shared" si="85"/>
        <v>32.933286051621081</v>
      </c>
      <c r="C544" s="41">
        <f t="shared" si="80"/>
        <v>0.49289226185293716</v>
      </c>
      <c r="D544" s="41">
        <f t="shared" si="81"/>
        <v>0.98069361229543572</v>
      </c>
      <c r="E544" s="39">
        <f>IF(_xlfn.NORM.INV(R544,C544,'Regressão Grupo 2'!$B$7)&lt;=0,0,IF(_xlfn.NORM.INV(R544,C544,'Regressão Grupo 2'!$B$7)&gt;100%,100%,_xlfn.NORM.INV(R544,C544,'Regressão Grupo 2'!$B$7)))</f>
        <v>0.43868277980394299</v>
      </c>
      <c r="F544" s="39">
        <f>IF(_xlfn.NORM.INV(S544,D544,'Regressão Grupo 2'!$B$7)&lt;=0,0,IF(_xlfn.NORM.INV(S544,D544,'Regressão Grupo 2'!$B$7)&gt;100%,100%,_xlfn.NORM.INV(S544,D544,'Regressão Grupo 2'!$B$7)))</f>
        <v>1</v>
      </c>
      <c r="G544" s="41">
        <v>1.6850194713701337E-2</v>
      </c>
      <c r="H544" s="41">
        <v>1.9583085511715965E-2</v>
      </c>
      <c r="I544" s="40">
        <f t="shared" si="82"/>
        <v>147.77366278946104</v>
      </c>
      <c r="J544" s="40">
        <f t="shared" si="82"/>
        <v>0</v>
      </c>
      <c r="K544" s="36">
        <v>0.41171394293715402</v>
      </c>
      <c r="L544" s="42">
        <f t="shared" si="87"/>
        <v>19991.322604477216</v>
      </c>
      <c r="M544" s="42">
        <f t="shared" si="87"/>
        <v>0</v>
      </c>
      <c r="N544" s="42">
        <f t="shared" si="83"/>
        <v>8230.7062540179704</v>
      </c>
      <c r="O544" s="36">
        <v>3.3570737762903278</v>
      </c>
      <c r="P544" s="42">
        <f t="shared" si="84"/>
        <v>764.66126987321149</v>
      </c>
      <c r="Q544" s="42"/>
      <c r="R544">
        <v>0.34751426740318003</v>
      </c>
      <c r="S544">
        <v>0.77367473372600482</v>
      </c>
    </row>
    <row r="545" spans="1:19" x14ac:dyDescent="0.25">
      <c r="A545" s="40">
        <f t="shared" si="85"/>
        <v>64.229676878151835</v>
      </c>
      <c r="B545" s="40">
        <f t="shared" si="85"/>
        <v>32.933286051621081</v>
      </c>
      <c r="C545" s="41">
        <f t="shared" si="80"/>
        <v>0.49289226185293716</v>
      </c>
      <c r="D545" s="41">
        <f t="shared" si="81"/>
        <v>0.98069361229543572</v>
      </c>
      <c r="E545" s="39">
        <f>IF(_xlfn.NORM.INV(R545,C545,'Regressão Grupo 2'!$B$7)&lt;=0,0,IF(_xlfn.NORM.INV(R545,C545,'Regressão Grupo 2'!$B$7)&gt;100%,100%,_xlfn.NORM.INV(R545,C545,'Regressão Grupo 2'!$B$7)))</f>
        <v>0.24493546578956554</v>
      </c>
      <c r="F545" s="39">
        <f>IF(_xlfn.NORM.INV(S545,D545,'Regressão Grupo 2'!$B$7)&lt;=0,0,IF(_xlfn.NORM.INV(S545,D545,'Regressão Grupo 2'!$B$7)&gt;100%,100%,_xlfn.NORM.INV(S545,D545,'Regressão Grupo 2'!$B$7)))</f>
        <v>0.86432720557276199</v>
      </c>
      <c r="G545" s="41">
        <v>1.367324211914746E-2</v>
      </c>
      <c r="H545" s="41">
        <v>1.319075597550274E-2</v>
      </c>
      <c r="I545" s="40">
        <f t="shared" si="82"/>
        <v>66.952177411164243</v>
      </c>
      <c r="J545" s="40">
        <f t="shared" si="82"/>
        <v>0</v>
      </c>
      <c r="K545" s="36">
        <v>0.42591848110594388</v>
      </c>
      <c r="L545" s="42">
        <f t="shared" si="87"/>
        <v>19991.322604477216</v>
      </c>
      <c r="M545" s="42">
        <f t="shared" si="87"/>
        <v>0</v>
      </c>
      <c r="N545" s="42">
        <f t="shared" si="83"/>
        <v>8514.6737589978584</v>
      </c>
      <c r="O545" s="36">
        <v>5.8476471456357979</v>
      </c>
      <c r="P545" s="42">
        <f t="shared" si="84"/>
        <v>-4605.8697467225793</v>
      </c>
      <c r="Q545" s="42"/>
      <c r="R545">
        <v>3.6469618823816642E-2</v>
      </c>
      <c r="S545">
        <v>0.2000183111056856</v>
      </c>
    </row>
    <row r="546" spans="1:19" x14ac:dyDescent="0.25">
      <c r="A546" s="40">
        <f t="shared" si="85"/>
        <v>64.229676878151835</v>
      </c>
      <c r="B546" s="40">
        <f t="shared" si="85"/>
        <v>32.933286051621081</v>
      </c>
      <c r="C546" s="41">
        <f t="shared" si="80"/>
        <v>0.49289226185293716</v>
      </c>
      <c r="D546" s="41">
        <f t="shared" si="81"/>
        <v>0.98069361229543572</v>
      </c>
      <c r="E546" s="39">
        <f>IF(_xlfn.NORM.INV(R546,C546,'Regressão Grupo 2'!$B$7)&lt;=0,0,IF(_xlfn.NORM.INV(R546,C546,'Regressão Grupo 2'!$B$7)&gt;100%,100%,_xlfn.NORM.INV(R546,C546,'Regressão Grupo 2'!$B$7)))</f>
        <v>0.53742684577504118</v>
      </c>
      <c r="F546" s="39">
        <f>IF(_xlfn.NORM.INV(S546,D546,'Regressão Grupo 2'!$B$7)&lt;=0,0,IF(_xlfn.NORM.INV(S546,D546,'Regressão Grupo 2'!$B$7)&gt;100%,100%,_xlfn.NORM.INV(S546,D546,'Regressão Grupo 2'!$B$7)))</f>
        <v>1</v>
      </c>
      <c r="G546" s="41">
        <v>2.1496944780225985E-2</v>
      </c>
      <c r="H546" s="41">
        <v>1.8691106811803582E-2</v>
      </c>
      <c r="I546" s="40">
        <f t="shared" si="82"/>
        <v>230.96045428458808</v>
      </c>
      <c r="J546" s="40">
        <f t="shared" si="82"/>
        <v>0</v>
      </c>
      <c r="K546" s="36">
        <v>0.40673881810527557</v>
      </c>
      <c r="L546" s="42">
        <f t="shared" si="87"/>
        <v>19991.322604477216</v>
      </c>
      <c r="M546" s="42">
        <f t="shared" si="87"/>
        <v>0</v>
      </c>
      <c r="N546" s="42">
        <f t="shared" si="83"/>
        <v>8131.2469285063426</v>
      </c>
      <c r="O546" s="36">
        <v>4.4818939560046456</v>
      </c>
      <c r="P546" s="42">
        <f t="shared" si="84"/>
        <v>5668.1281576897263</v>
      </c>
      <c r="Q546" s="42"/>
      <c r="R546">
        <v>0.62630085146641434</v>
      </c>
      <c r="S546">
        <v>0.7780388805810724</v>
      </c>
    </row>
    <row r="547" spans="1:19" x14ac:dyDescent="0.25">
      <c r="A547" s="40">
        <f t="shared" si="85"/>
        <v>64.229676878151835</v>
      </c>
      <c r="B547" s="40">
        <f t="shared" si="85"/>
        <v>32.933286051621081</v>
      </c>
      <c r="C547" s="41">
        <f t="shared" si="80"/>
        <v>0.49289226185293716</v>
      </c>
      <c r="D547" s="41">
        <f t="shared" si="81"/>
        <v>0.98069361229543572</v>
      </c>
      <c r="E547" s="39">
        <f>IF(_xlfn.NORM.INV(R547,C547,'Regressão Grupo 2'!$B$7)&lt;=0,0,IF(_xlfn.NORM.INV(R547,C547,'Regressão Grupo 2'!$B$7)&gt;100%,100%,_xlfn.NORM.INV(R547,C547,'Regressão Grupo 2'!$B$7)))</f>
        <v>0.80395317931279053</v>
      </c>
      <c r="F547" s="39">
        <f>IF(_xlfn.NORM.INV(S547,D547,'Regressão Grupo 2'!$B$7)&lt;=0,0,IF(_xlfn.NORM.INV(S547,D547,'Regressão Grupo 2'!$B$7)&gt;100%,100%,_xlfn.NORM.INV(S547,D547,'Regressão Grupo 2'!$B$7)))</f>
        <v>1</v>
      </c>
      <c r="G547" s="41">
        <v>2.228477768679981E-2</v>
      </c>
      <c r="H547" s="41">
        <v>2.7239553223780133E-2</v>
      </c>
      <c r="I547" s="40">
        <f t="shared" si="82"/>
        <v>358.16289392610344</v>
      </c>
      <c r="J547" s="40">
        <f t="shared" si="82"/>
        <v>0</v>
      </c>
      <c r="K547" s="36">
        <v>0.16612027693324127</v>
      </c>
      <c r="L547" s="42">
        <f t="shared" si="87"/>
        <v>19991.322604477216</v>
      </c>
      <c r="M547" s="42">
        <f t="shared" si="87"/>
        <v>0</v>
      </c>
      <c r="N547" s="42">
        <f t="shared" si="83"/>
        <v>3320.9640473175214</v>
      </c>
      <c r="O547" s="36">
        <v>4.998620669846531</v>
      </c>
      <c r="P547" s="42">
        <f t="shared" si="84"/>
        <v>17893.402454548803</v>
      </c>
      <c r="Q547" s="42"/>
      <c r="R547">
        <v>0.98776207770012514</v>
      </c>
      <c r="S547">
        <v>0.99414044618060848</v>
      </c>
    </row>
    <row r="548" spans="1:19" x14ac:dyDescent="0.25">
      <c r="A548" s="40">
        <f t="shared" si="85"/>
        <v>64.229676878151835</v>
      </c>
      <c r="B548" s="40">
        <f t="shared" si="85"/>
        <v>32.933286051621081</v>
      </c>
      <c r="C548" s="41">
        <f t="shared" si="80"/>
        <v>0.49289226185293716</v>
      </c>
      <c r="D548" s="41">
        <f t="shared" si="81"/>
        <v>0.98069361229543572</v>
      </c>
      <c r="E548" s="39">
        <f>IF(_xlfn.NORM.INV(R548,C548,'Regressão Grupo 2'!$B$7)&lt;=0,0,IF(_xlfn.NORM.INV(R548,C548,'Regressão Grupo 2'!$B$7)&gt;100%,100%,_xlfn.NORM.INV(R548,C548,'Regressão Grupo 2'!$B$7)))</f>
        <v>0.55647322091912865</v>
      </c>
      <c r="F548" s="39">
        <f>IF(_xlfn.NORM.INV(S548,D548,'Regressão Grupo 2'!$B$7)&lt;=0,0,IF(_xlfn.NORM.INV(S548,D548,'Regressão Grupo 2'!$B$7)&gt;100%,100%,_xlfn.NORM.INV(S548,D548,'Regressão Grupo 2'!$B$7)))</f>
        <v>0.86179047672011166</v>
      </c>
      <c r="G548" s="41">
        <v>1.9946074205639777E-2</v>
      </c>
      <c r="H548" s="41">
        <v>2.3877978250997668E-2</v>
      </c>
      <c r="I548" s="40">
        <f t="shared" si="82"/>
        <v>221.89280878691642</v>
      </c>
      <c r="J548" s="40">
        <f t="shared" si="82"/>
        <v>0</v>
      </c>
      <c r="K548" s="36">
        <v>0.25061465532544869</v>
      </c>
      <c r="L548" s="42">
        <f t="shared" si="87"/>
        <v>19991.322604477216</v>
      </c>
      <c r="M548" s="42">
        <f t="shared" si="87"/>
        <v>0</v>
      </c>
      <c r="N548" s="42">
        <f t="shared" si="83"/>
        <v>5010.1184240209086</v>
      </c>
      <c r="O548" s="36">
        <v>3.6754852780486775</v>
      </c>
      <c r="P548" s="42">
        <f t="shared" si="84"/>
        <v>8426.4212339470796</v>
      </c>
      <c r="Q548" s="42"/>
      <c r="R548">
        <v>0.67717520676290166</v>
      </c>
      <c r="S548">
        <v>0.19492172002319408</v>
      </c>
    </row>
    <row r="549" spans="1:19" x14ac:dyDescent="0.25">
      <c r="A549" s="40">
        <f t="shared" si="85"/>
        <v>64.229676878151835</v>
      </c>
      <c r="B549" s="40">
        <f t="shared" si="85"/>
        <v>32.933286051621081</v>
      </c>
      <c r="C549" s="41">
        <f t="shared" si="80"/>
        <v>0.49289226185293716</v>
      </c>
      <c r="D549" s="41">
        <f t="shared" si="81"/>
        <v>0.98069361229543572</v>
      </c>
      <c r="E549" s="39">
        <f>IF(_xlfn.NORM.INV(R549,C549,'Regressão Grupo 2'!$B$7)&lt;=0,0,IF(_xlfn.NORM.INV(R549,C549,'Regressão Grupo 2'!$B$7)&gt;100%,100%,_xlfn.NORM.INV(R549,C549,'Regressão Grupo 2'!$B$7)))</f>
        <v>0.46529765797221634</v>
      </c>
      <c r="F549" s="39">
        <f>IF(_xlfn.NORM.INV(S549,D549,'Regressão Grupo 2'!$B$7)&lt;=0,0,IF(_xlfn.NORM.INV(S549,D549,'Regressão Grupo 2'!$B$7)&gt;100%,100%,_xlfn.NORM.INV(S549,D549,'Regressão Grupo 2'!$B$7)))</f>
        <v>0.96864606784294061</v>
      </c>
      <c r="G549" s="41">
        <v>2.4724774134079405E-2</v>
      </c>
      <c r="H549" s="41">
        <v>2.0503233142199442E-2</v>
      </c>
      <c r="I549" s="40">
        <f t="shared" si="82"/>
        <v>229.98776191843109</v>
      </c>
      <c r="J549" s="40">
        <f t="shared" si="82"/>
        <v>0</v>
      </c>
      <c r="K549" s="36">
        <v>0.32085902523935006</v>
      </c>
      <c r="L549" s="42">
        <f t="shared" si="87"/>
        <v>19991.322604477216</v>
      </c>
      <c r="M549" s="42">
        <f t="shared" si="87"/>
        <v>0</v>
      </c>
      <c r="N549" s="42">
        <f t="shared" si="83"/>
        <v>6414.3962841179446</v>
      </c>
      <c r="O549" s="36">
        <v>5.6467712546011475</v>
      </c>
      <c r="P549" s="42">
        <f t="shared" si="84"/>
        <v>7058.9550669211485</v>
      </c>
      <c r="Q549" s="42"/>
      <c r="R549">
        <v>0.4209112826929533</v>
      </c>
      <c r="S549">
        <v>0.46528519547105318</v>
      </c>
    </row>
    <row r="550" spans="1:19" x14ac:dyDescent="0.25">
      <c r="A550" s="40">
        <f t="shared" si="85"/>
        <v>64.229676878151835</v>
      </c>
      <c r="B550" s="40">
        <f t="shared" si="85"/>
        <v>32.933286051621081</v>
      </c>
      <c r="C550" s="41">
        <f t="shared" si="80"/>
        <v>0.49289226185293716</v>
      </c>
      <c r="D550" s="41">
        <f t="shared" si="81"/>
        <v>0.98069361229543572</v>
      </c>
      <c r="E550" s="39">
        <f>IF(_xlfn.NORM.INV(R550,C550,'Regressão Grupo 2'!$B$7)&lt;=0,0,IF(_xlfn.NORM.INV(R550,C550,'Regressão Grupo 2'!$B$7)&gt;100%,100%,_xlfn.NORM.INV(R550,C550,'Regressão Grupo 2'!$B$7)))</f>
        <v>0.48769201654177363</v>
      </c>
      <c r="F550" s="39">
        <f>IF(_xlfn.NORM.INV(S550,D550,'Regressão Grupo 2'!$B$7)&lt;=0,0,IF(_xlfn.NORM.INV(S550,D550,'Regressão Grupo 2'!$B$7)&gt;100%,100%,_xlfn.NORM.INV(S550,D550,'Regressão Grupo 2'!$B$7)))</f>
        <v>0.98342816815588674</v>
      </c>
      <c r="G550" s="41">
        <v>2.082616237602701E-2</v>
      </c>
      <c r="H550" s="41">
        <v>1.8463931776766956E-2</v>
      </c>
      <c r="I550" s="40">
        <f t="shared" si="82"/>
        <v>203.04692835571905</v>
      </c>
      <c r="J550" s="40">
        <f t="shared" si="82"/>
        <v>0</v>
      </c>
      <c r="K550" s="36">
        <v>0.28164600651470229</v>
      </c>
      <c r="L550" s="42">
        <f t="shared" si="87"/>
        <v>19991.322604477216</v>
      </c>
      <c r="M550" s="42">
        <f t="shared" si="87"/>
        <v>0</v>
      </c>
      <c r="N550" s="42">
        <f t="shared" si="83"/>
        <v>5630.4761764981049</v>
      </c>
      <c r="O550" s="36">
        <v>4.4466974522860863</v>
      </c>
      <c r="P550" s="42">
        <f t="shared" si="84"/>
        <v>6508.274163877084</v>
      </c>
      <c r="Q550" s="42"/>
      <c r="R550">
        <v>0.48500015259254736</v>
      </c>
      <c r="S550">
        <v>0.50788903469954527</v>
      </c>
    </row>
    <row r="551" spans="1:19" x14ac:dyDescent="0.25">
      <c r="A551" s="40">
        <f t="shared" si="85"/>
        <v>64.229676878151835</v>
      </c>
      <c r="B551" s="40">
        <f t="shared" si="85"/>
        <v>32.933286051621081</v>
      </c>
      <c r="C551" s="41">
        <f t="shared" si="80"/>
        <v>0.49289226185293716</v>
      </c>
      <c r="D551" s="41">
        <f t="shared" si="81"/>
        <v>0.98069361229543572</v>
      </c>
      <c r="E551" s="39">
        <f>IF(_xlfn.NORM.INV(R551,C551,'Regressão Grupo 2'!$B$7)&lt;=0,0,IF(_xlfn.NORM.INV(R551,C551,'Regressão Grupo 2'!$B$7)&gt;100%,100%,_xlfn.NORM.INV(R551,C551,'Regressão Grupo 2'!$B$7)))</f>
        <v>0.29030205279568433</v>
      </c>
      <c r="F551" s="39">
        <f>IF(_xlfn.NORM.INV(S551,D551,'Regressão Grupo 2'!$B$7)&lt;=0,0,IF(_xlfn.NORM.INV(S551,D551,'Regressão Grupo 2'!$B$7)&gt;100%,100%,_xlfn.NORM.INV(S551,D551,'Regressão Grupo 2'!$B$7)))</f>
        <v>0.92699778313658809</v>
      </c>
      <c r="G551" s="41">
        <v>1.1152926294507872E-2</v>
      </c>
      <c r="H551" s="41">
        <v>2.1886851444512204E-2</v>
      </c>
      <c r="I551" s="40">
        <f t="shared" si="82"/>
        <v>64.726253005038785</v>
      </c>
      <c r="J551" s="40">
        <f t="shared" si="82"/>
        <v>0</v>
      </c>
      <c r="K551" s="36">
        <v>0.35929960788328669</v>
      </c>
      <c r="L551" s="42">
        <f t="shared" ref="L551:M566" si="88">L550</f>
        <v>19991.322604477216</v>
      </c>
      <c r="M551" s="42">
        <f t="shared" si="88"/>
        <v>0</v>
      </c>
      <c r="N551" s="42">
        <f t="shared" si="83"/>
        <v>7182.8743728569498</v>
      </c>
      <c r="O551" s="36">
        <v>4.6311599117994655</v>
      </c>
      <c r="P551" s="42">
        <f t="shared" si="84"/>
        <v>-3325.2856849677296</v>
      </c>
      <c r="Q551" s="42"/>
      <c r="R551">
        <v>7.1443830683309423E-2</v>
      </c>
      <c r="S551">
        <v>0.34888760032959992</v>
      </c>
    </row>
    <row r="552" spans="1:19" x14ac:dyDescent="0.25">
      <c r="A552" s="40">
        <f t="shared" si="85"/>
        <v>64.229676878151835</v>
      </c>
      <c r="B552" s="40">
        <f t="shared" si="85"/>
        <v>32.933286051621081</v>
      </c>
      <c r="C552" s="41">
        <f t="shared" si="80"/>
        <v>0.49289226185293716</v>
      </c>
      <c r="D552" s="41">
        <f t="shared" si="81"/>
        <v>0.98069361229543572</v>
      </c>
      <c r="E552" s="39">
        <f>IF(_xlfn.NORM.INV(R552,C552,'Regressão Grupo 2'!$B$7)&lt;=0,0,IF(_xlfn.NORM.INV(R552,C552,'Regressão Grupo 2'!$B$7)&gt;100%,100%,_xlfn.NORM.INV(R552,C552,'Regressão Grupo 2'!$B$7)))</f>
        <v>0.49910885000820721</v>
      </c>
      <c r="F552" s="39">
        <f>IF(_xlfn.NORM.INV(S552,D552,'Regressão Grupo 2'!$B$7)&lt;=0,0,IF(_xlfn.NORM.INV(S552,D552,'Regressão Grupo 2'!$B$7)&gt;100%,100%,_xlfn.NORM.INV(S552,D552,'Regressão Grupo 2'!$B$7)))</f>
        <v>1</v>
      </c>
      <c r="G552" s="41">
        <v>1.0983824584541E-2</v>
      </c>
      <c r="H552" s="41">
        <v>5.445880482631768E-3</v>
      </c>
      <c r="I552" s="40">
        <f t="shared" si="82"/>
        <v>109.59491058289439</v>
      </c>
      <c r="J552" s="40">
        <f t="shared" si="82"/>
        <v>0</v>
      </c>
      <c r="K552" s="36">
        <v>0.32864675473786542</v>
      </c>
      <c r="L552" s="42">
        <f t="shared" si="88"/>
        <v>19991.322604477216</v>
      </c>
      <c r="M552" s="42">
        <f t="shared" si="88"/>
        <v>0</v>
      </c>
      <c r="N552" s="42">
        <f t="shared" si="83"/>
        <v>6570.0832968791683</v>
      </c>
      <c r="O552" s="36">
        <v>4.4642932355659335</v>
      </c>
      <c r="P552" s="42">
        <f t="shared" si="84"/>
        <v>-20.101420617587792</v>
      </c>
      <c r="Q552" s="42"/>
      <c r="R552">
        <v>0.5179296243171484</v>
      </c>
      <c r="S552">
        <v>0.78954435865352335</v>
      </c>
    </row>
    <row r="553" spans="1:19" x14ac:dyDescent="0.25">
      <c r="A553" s="40">
        <f t="shared" si="85"/>
        <v>64.229676878151835</v>
      </c>
      <c r="B553" s="40">
        <f t="shared" si="85"/>
        <v>32.933286051621081</v>
      </c>
      <c r="C553" s="41">
        <f t="shared" si="80"/>
        <v>0.49289226185293716</v>
      </c>
      <c r="D553" s="41">
        <f t="shared" si="81"/>
        <v>0.98069361229543572</v>
      </c>
      <c r="E553" s="39">
        <f>IF(_xlfn.NORM.INV(R553,C553,'Regressão Grupo 2'!$B$7)&lt;=0,0,IF(_xlfn.NORM.INV(R553,C553,'Regressão Grupo 2'!$B$7)&gt;100%,100%,_xlfn.NORM.INV(R553,C553,'Regressão Grupo 2'!$B$7)))</f>
        <v>0.60457724759643661</v>
      </c>
      <c r="F553" s="39">
        <f>IF(_xlfn.NORM.INV(S553,D553,'Regressão Grupo 2'!$B$7)&lt;=0,0,IF(_xlfn.NORM.INV(S553,D553,'Regressão Grupo 2'!$B$7)&gt;100%,100%,_xlfn.NORM.INV(S553,D553,'Regressão Grupo 2'!$B$7)))</f>
        <v>0.94044976180274409</v>
      </c>
      <c r="G553" s="41">
        <v>6.4118783928374789E-3</v>
      </c>
      <c r="H553" s="41">
        <v>1.2206250951623367E-2</v>
      </c>
      <c r="I553" s="40">
        <f t="shared" si="82"/>
        <v>77.495878099624846</v>
      </c>
      <c r="J553" s="40">
        <f t="shared" si="82"/>
        <v>0</v>
      </c>
      <c r="K553" s="36">
        <v>0.22146598455933358</v>
      </c>
      <c r="L553" s="42">
        <f t="shared" si="88"/>
        <v>19991.322604477216</v>
      </c>
      <c r="M553" s="42">
        <f t="shared" si="88"/>
        <v>0</v>
      </c>
      <c r="N553" s="42">
        <f t="shared" si="83"/>
        <v>4427.3979432438073</v>
      </c>
      <c r="O553" s="36">
        <v>4.4198951627351537</v>
      </c>
      <c r="P553" s="42">
        <f t="shared" si="84"/>
        <v>207.61360973929459</v>
      </c>
      <c r="Q553" s="42"/>
      <c r="R553">
        <v>0.79036835840937525</v>
      </c>
      <c r="S553">
        <v>0.38550981170079651</v>
      </c>
    </row>
    <row r="554" spans="1:19" x14ac:dyDescent="0.25">
      <c r="A554" s="40">
        <f t="shared" si="85"/>
        <v>64.229676878151835</v>
      </c>
      <c r="B554" s="40">
        <f t="shared" si="85"/>
        <v>32.933286051621081</v>
      </c>
      <c r="C554" s="41">
        <f t="shared" si="80"/>
        <v>0.49289226185293716</v>
      </c>
      <c r="D554" s="41">
        <f t="shared" si="81"/>
        <v>0.98069361229543572</v>
      </c>
      <c r="E554" s="39">
        <f>IF(_xlfn.NORM.INV(R554,C554,'Regressão Grupo 2'!$B$7)&lt;=0,0,IF(_xlfn.NORM.INV(R554,C554,'Regressão Grupo 2'!$B$7)&gt;100%,100%,_xlfn.NORM.INV(R554,C554,'Regressão Grupo 2'!$B$7)))</f>
        <v>0.363018083084233</v>
      </c>
      <c r="F554" s="39">
        <f>IF(_xlfn.NORM.INV(S554,D554,'Regressão Grupo 2'!$B$7)&lt;=0,0,IF(_xlfn.NORM.INV(S554,D554,'Regressão Grupo 2'!$B$7)&gt;100%,100%,_xlfn.NORM.INV(S554,D554,'Regressão Grupo 2'!$B$7)))</f>
        <v>0.97631893620283727</v>
      </c>
      <c r="G554" s="41">
        <v>1.178238642141864E-2</v>
      </c>
      <c r="H554" s="41">
        <v>1.4750277096360023E-2</v>
      </c>
      <c r="I554" s="40">
        <f t="shared" si="82"/>
        <v>85.507271533332883</v>
      </c>
      <c r="J554" s="40">
        <f t="shared" si="82"/>
        <v>0</v>
      </c>
      <c r="K554" s="36">
        <v>0.25197824304869582</v>
      </c>
      <c r="L554" s="42">
        <f t="shared" si="88"/>
        <v>19991.322604477216</v>
      </c>
      <c r="M554" s="42">
        <f t="shared" si="88"/>
        <v>0</v>
      </c>
      <c r="N554" s="42">
        <f t="shared" si="83"/>
        <v>5037.3783460958466</v>
      </c>
      <c r="O554" s="36">
        <v>9.1078952873568113</v>
      </c>
      <c r="P554" s="42">
        <f t="shared" si="84"/>
        <v>-324.06520021066717</v>
      </c>
      <c r="Q554" s="42"/>
      <c r="R554">
        <v>0.17380291146580401</v>
      </c>
      <c r="S554">
        <v>0.48738059633167519</v>
      </c>
    </row>
    <row r="555" spans="1:19" x14ac:dyDescent="0.25">
      <c r="A555" s="40">
        <f t="shared" si="85"/>
        <v>64.229676878151835</v>
      </c>
      <c r="B555" s="40">
        <f t="shared" si="85"/>
        <v>32.933286051621081</v>
      </c>
      <c r="C555" s="41">
        <f t="shared" si="80"/>
        <v>0.49289226185293716</v>
      </c>
      <c r="D555" s="41">
        <f t="shared" si="81"/>
        <v>0.98069361229543572</v>
      </c>
      <c r="E555" s="39">
        <f>IF(_xlfn.NORM.INV(R555,C555,'Regressão Grupo 2'!$B$7)&lt;=0,0,IF(_xlfn.NORM.INV(R555,C555,'Regressão Grupo 2'!$B$7)&gt;100%,100%,_xlfn.NORM.INV(R555,C555,'Regressão Grupo 2'!$B$7)))</f>
        <v>0.61515270512850673</v>
      </c>
      <c r="F555" s="39">
        <f>IF(_xlfn.NORM.INV(S555,D555,'Regressão Grupo 2'!$B$7)&lt;=0,0,IF(_xlfn.NORM.INV(S555,D555,'Regressão Grupo 2'!$B$7)&gt;100%,100%,_xlfn.NORM.INV(S555,D555,'Regressão Grupo 2'!$B$7)))</f>
        <v>1</v>
      </c>
      <c r="G555" s="41">
        <v>8.054134464610679E-3</v>
      </c>
      <c r="H555" s="41">
        <v>2.0034801721243861E-2</v>
      </c>
      <c r="I555" s="40">
        <f t="shared" si="82"/>
        <v>99.047459715223894</v>
      </c>
      <c r="J555" s="40">
        <f t="shared" si="82"/>
        <v>0</v>
      </c>
      <c r="K555" s="36">
        <v>0.21411152661314037</v>
      </c>
      <c r="L555" s="42">
        <f t="shared" si="88"/>
        <v>19991.322604477216</v>
      </c>
      <c r="M555" s="42">
        <f t="shared" si="88"/>
        <v>0</v>
      </c>
      <c r="N555" s="42">
        <f t="shared" si="83"/>
        <v>4280.3726018603984</v>
      </c>
      <c r="O555" s="36">
        <v>4.8628783105123947</v>
      </c>
      <c r="P555" s="42">
        <f t="shared" si="84"/>
        <v>1599.7579876896807</v>
      </c>
      <c r="Q555" s="42"/>
      <c r="R555">
        <v>0.81170079653309735</v>
      </c>
      <c r="S555">
        <v>0.6429029206213569</v>
      </c>
    </row>
    <row r="556" spans="1:19" x14ac:dyDescent="0.25">
      <c r="A556" s="40">
        <f t="shared" si="85"/>
        <v>64.229676878151835</v>
      </c>
      <c r="B556" s="40">
        <f t="shared" si="85"/>
        <v>32.933286051621081</v>
      </c>
      <c r="C556" s="41">
        <f t="shared" si="80"/>
        <v>0.49289226185293716</v>
      </c>
      <c r="D556" s="41">
        <f t="shared" si="81"/>
        <v>0.98069361229543572</v>
      </c>
      <c r="E556" s="39">
        <f>IF(_xlfn.NORM.INV(R556,C556,'Regressão Grupo 2'!$B$7)&lt;=0,0,IF(_xlfn.NORM.INV(R556,C556,'Regressão Grupo 2'!$B$7)&gt;100%,100%,_xlfn.NORM.INV(R556,C556,'Regressão Grupo 2'!$B$7)))</f>
        <v>0.47185130733138619</v>
      </c>
      <c r="F556" s="39">
        <f>IF(_xlfn.NORM.INV(S556,D556,'Regressão Grupo 2'!$B$7)&lt;=0,0,IF(_xlfn.NORM.INV(S556,D556,'Regressão Grupo 2'!$B$7)&gt;100%,100%,_xlfn.NORM.INV(S556,D556,'Regressão Grupo 2'!$B$7)))</f>
        <v>1</v>
      </c>
      <c r="G556" s="41">
        <v>1.7287422678147712E-2</v>
      </c>
      <c r="H556" s="41">
        <v>1.6277131026369959E-2</v>
      </c>
      <c r="I556" s="40">
        <f t="shared" si="82"/>
        <v>163.07107749928537</v>
      </c>
      <c r="J556" s="40">
        <f t="shared" si="82"/>
        <v>0</v>
      </c>
      <c r="K556" s="36">
        <v>0.47277622932288088</v>
      </c>
      <c r="L556" s="42">
        <f t="shared" si="88"/>
        <v>19991.322604477216</v>
      </c>
      <c r="M556" s="42">
        <f t="shared" si="88"/>
        <v>0</v>
      </c>
      <c r="N556" s="42">
        <f t="shared" si="83"/>
        <v>9451.4221201220134</v>
      </c>
      <c r="O556" s="36">
        <v>8.845686662724745</v>
      </c>
      <c r="P556" s="42">
        <f t="shared" si="84"/>
        <v>-419.89515948244116</v>
      </c>
      <c r="Q556" s="42"/>
      <c r="R556">
        <v>0.43952757347331156</v>
      </c>
      <c r="S556">
        <v>0.57090975676747946</v>
      </c>
    </row>
    <row r="557" spans="1:19" x14ac:dyDescent="0.25">
      <c r="A557" s="40">
        <f t="shared" si="85"/>
        <v>64.229676878151835</v>
      </c>
      <c r="B557" s="40">
        <f t="shared" si="85"/>
        <v>32.933286051621081</v>
      </c>
      <c r="C557" s="41">
        <f t="shared" si="80"/>
        <v>0.49289226185293716</v>
      </c>
      <c r="D557" s="41">
        <f t="shared" si="81"/>
        <v>0.98069361229543572</v>
      </c>
      <c r="E557" s="39">
        <f>IF(_xlfn.NORM.INV(R557,C557,'Regressão Grupo 2'!$B$7)&lt;=0,0,IF(_xlfn.NORM.INV(R557,C557,'Regressão Grupo 2'!$B$7)&gt;100%,100%,_xlfn.NORM.INV(R557,C557,'Regressão Grupo 2'!$B$7)))</f>
        <v>0.70389587221245309</v>
      </c>
      <c r="F557" s="39">
        <f>IF(_xlfn.NORM.INV(S557,D557,'Regressão Grupo 2'!$B$7)&lt;=0,0,IF(_xlfn.NORM.INV(S557,D557,'Regressão Grupo 2'!$B$7)&gt;100%,100%,_xlfn.NORM.INV(S557,D557,'Regressão Grupo 2'!$B$7)))</f>
        <v>0.79493503651860664</v>
      </c>
      <c r="G557" s="41">
        <v>6.4518704430260006E-3</v>
      </c>
      <c r="H557" s="41">
        <v>2.7575053040602766E-2</v>
      </c>
      <c r="I557" s="40">
        <f t="shared" si="82"/>
        <v>90.78949154363589</v>
      </c>
      <c r="J557" s="40">
        <f t="shared" si="82"/>
        <v>0</v>
      </c>
      <c r="K557" s="36">
        <v>0.46450715870570392</v>
      </c>
      <c r="L557" s="42">
        <f t="shared" si="88"/>
        <v>19991.322604477216</v>
      </c>
      <c r="M557" s="42">
        <f t="shared" si="88"/>
        <v>0</v>
      </c>
      <c r="N557" s="42">
        <f t="shared" si="83"/>
        <v>9286.1124617748246</v>
      </c>
      <c r="O557" s="36">
        <v>6.1709066824988232</v>
      </c>
      <c r="P557" s="42">
        <f t="shared" si="84"/>
        <v>-4014.9862360626857</v>
      </c>
      <c r="Q557" s="42"/>
      <c r="R557">
        <v>0.93649098178044987</v>
      </c>
      <c r="S557">
        <v>8.9571825312051753E-2</v>
      </c>
    </row>
    <row r="558" spans="1:19" x14ac:dyDescent="0.25">
      <c r="A558" s="40">
        <f t="shared" si="85"/>
        <v>64.229676878151835</v>
      </c>
      <c r="B558" s="40">
        <f t="shared" si="85"/>
        <v>32.933286051621081</v>
      </c>
      <c r="C558" s="41">
        <f t="shared" si="80"/>
        <v>0.49289226185293716</v>
      </c>
      <c r="D558" s="41">
        <f t="shared" si="81"/>
        <v>0.98069361229543572</v>
      </c>
      <c r="E558" s="39">
        <f>IF(_xlfn.NORM.INV(R558,C558,'Regressão Grupo 2'!$B$7)&lt;=0,0,IF(_xlfn.NORM.INV(R558,C558,'Regressão Grupo 2'!$B$7)&gt;100%,100%,_xlfn.NORM.INV(R558,C558,'Regressão Grupo 2'!$B$7)))</f>
        <v>0.6065676055364686</v>
      </c>
      <c r="F558" s="39">
        <f>IF(_xlfn.NORM.INV(S558,D558,'Regressão Grupo 2'!$B$7)&lt;=0,0,IF(_xlfn.NORM.INV(S558,D558,'Regressão Grupo 2'!$B$7)&gt;100%,100%,_xlfn.NORM.INV(S558,D558,'Regressão Grupo 2'!$B$7)))</f>
        <v>1</v>
      </c>
      <c r="G558" s="41">
        <v>1.479838778246073E-2</v>
      </c>
      <c r="H558" s="41">
        <v>2.8862087286899339E-2</v>
      </c>
      <c r="I558" s="40">
        <f t="shared" si="82"/>
        <v>179.44656262597277</v>
      </c>
      <c r="J558" s="40">
        <f t="shared" si="82"/>
        <v>0</v>
      </c>
      <c r="K558" s="36">
        <v>0.15678746624323592</v>
      </c>
      <c r="L558" s="42">
        <f t="shared" si="88"/>
        <v>19991.322604477216</v>
      </c>
      <c r="M558" s="42">
        <f t="shared" si="88"/>
        <v>0</v>
      </c>
      <c r="N558" s="42">
        <f t="shared" si="83"/>
        <v>3134.3888180071108</v>
      </c>
      <c r="O558" s="36">
        <v>4.9404627590036316</v>
      </c>
      <c r="P558" s="42">
        <f t="shared" si="84"/>
        <v>7504.856856469326</v>
      </c>
      <c r="Q558" s="42"/>
      <c r="R558">
        <v>0.79448835718863486</v>
      </c>
      <c r="S558">
        <v>0.94631794183172091</v>
      </c>
    </row>
    <row r="559" spans="1:19" x14ac:dyDescent="0.25">
      <c r="A559" s="40">
        <f t="shared" si="85"/>
        <v>64.229676878151835</v>
      </c>
      <c r="B559" s="40">
        <f t="shared" si="85"/>
        <v>32.933286051621081</v>
      </c>
      <c r="C559" s="41">
        <f t="shared" si="80"/>
        <v>0.49289226185293716</v>
      </c>
      <c r="D559" s="41">
        <f t="shared" si="81"/>
        <v>0.98069361229543572</v>
      </c>
      <c r="E559" s="39">
        <f>IF(_xlfn.NORM.INV(R559,C559,'Regressão Grupo 2'!$B$7)&lt;=0,0,IF(_xlfn.NORM.INV(R559,C559,'Regressão Grupo 2'!$B$7)&gt;100%,100%,_xlfn.NORM.INV(R559,C559,'Regressão Grupo 2'!$B$7)))</f>
        <v>0.68134601654256244</v>
      </c>
      <c r="F559" s="39">
        <f>IF(_xlfn.NORM.INV(S559,D559,'Regressão Grupo 2'!$B$7)&lt;=0,0,IF(_xlfn.NORM.INV(S559,D559,'Regressão Grupo 2'!$B$7)&gt;100%,100%,_xlfn.NORM.INV(S559,D559,'Regressão Grupo 2'!$B$7)))</f>
        <v>1</v>
      </c>
      <c r="G559" s="41">
        <v>7.4676483491019265E-3</v>
      </c>
      <c r="H559" s="41">
        <v>1.6716587604184877E-2</v>
      </c>
      <c r="I559" s="40">
        <f t="shared" si="82"/>
        <v>101.71689806842687</v>
      </c>
      <c r="J559" s="40">
        <f t="shared" si="82"/>
        <v>0</v>
      </c>
      <c r="K559" s="36">
        <v>0.28457504024202918</v>
      </c>
      <c r="L559" s="42">
        <f t="shared" si="88"/>
        <v>19991.322604477216</v>
      </c>
      <c r="M559" s="42">
        <f t="shared" si="88"/>
        <v>0</v>
      </c>
      <c r="N559" s="42">
        <f t="shared" si="83"/>
        <v>5689.031434660491</v>
      </c>
      <c r="O559" s="36">
        <v>4.8202427144808215</v>
      </c>
      <c r="P559" s="42">
        <f t="shared" si="84"/>
        <v>353.91192446855075</v>
      </c>
      <c r="Q559" s="42"/>
      <c r="R559">
        <v>0.91354106265449997</v>
      </c>
      <c r="S559">
        <v>0.57728812524796291</v>
      </c>
    </row>
    <row r="560" spans="1:19" x14ac:dyDescent="0.25">
      <c r="A560" s="40">
        <f t="shared" si="85"/>
        <v>64.229676878151835</v>
      </c>
      <c r="B560" s="40">
        <f t="shared" si="85"/>
        <v>32.933286051621081</v>
      </c>
      <c r="C560" s="41">
        <f t="shared" si="80"/>
        <v>0.49289226185293716</v>
      </c>
      <c r="D560" s="41">
        <f t="shared" si="81"/>
        <v>0.98069361229543572</v>
      </c>
      <c r="E560" s="39">
        <f>IF(_xlfn.NORM.INV(R560,C560,'Regressão Grupo 2'!$B$7)&lt;=0,0,IF(_xlfn.NORM.INV(R560,C560,'Regressão Grupo 2'!$B$7)&gt;100%,100%,_xlfn.NORM.INV(R560,C560,'Regressão Grupo 2'!$B$7)))</f>
        <v>0.66198410693453313</v>
      </c>
      <c r="F560" s="39">
        <f>IF(_xlfn.NORM.INV(S560,D560,'Regressão Grupo 2'!$B$7)&lt;=0,0,IF(_xlfn.NORM.INV(S560,D560,'Regressão Grupo 2'!$B$7)&gt;100%,100%,_xlfn.NORM.INV(S560,D560,'Regressão Grupo 2'!$B$7)))</f>
        <v>0.99627066653642626</v>
      </c>
      <c r="G560" s="41">
        <v>8.9061556359361551E-3</v>
      </c>
      <c r="H560" s="41">
        <v>1.907112926842236E-2</v>
      </c>
      <c r="I560" s="40">
        <f t="shared" si="82"/>
        <v>117.86351008615792</v>
      </c>
      <c r="J560" s="40">
        <f t="shared" si="82"/>
        <v>0</v>
      </c>
      <c r="K560" s="36">
        <v>0.19563798205446514</v>
      </c>
      <c r="L560" s="42">
        <f t="shared" si="88"/>
        <v>19991.322604477216</v>
      </c>
      <c r="M560" s="42">
        <f t="shared" si="88"/>
        <v>0</v>
      </c>
      <c r="N560" s="42">
        <f t="shared" si="83"/>
        <v>3911.0620129397371</v>
      </c>
      <c r="O560" s="36">
        <v>4.5387690447905786</v>
      </c>
      <c r="P560" s="42">
        <f t="shared" si="84"/>
        <v>3124.3179045295606</v>
      </c>
      <c r="Q560" s="42"/>
      <c r="R560">
        <v>0.88930936613055822</v>
      </c>
      <c r="S560">
        <v>0.54484694967497782</v>
      </c>
    </row>
    <row r="561" spans="1:19" x14ac:dyDescent="0.25">
      <c r="A561" s="40">
        <f t="shared" si="85"/>
        <v>64.229676878151835</v>
      </c>
      <c r="B561" s="40">
        <f t="shared" si="85"/>
        <v>32.933286051621081</v>
      </c>
      <c r="C561" s="41">
        <f t="shared" si="80"/>
        <v>0.49289226185293716</v>
      </c>
      <c r="D561" s="41">
        <f t="shared" si="81"/>
        <v>0.98069361229543572</v>
      </c>
      <c r="E561" s="39">
        <f>IF(_xlfn.NORM.INV(R561,C561,'Regressão Grupo 2'!$B$7)&lt;=0,0,IF(_xlfn.NORM.INV(R561,C561,'Regressão Grupo 2'!$B$7)&gt;100%,100%,_xlfn.NORM.INV(R561,C561,'Regressão Grupo 2'!$B$7)))</f>
        <v>0.60879208345449154</v>
      </c>
      <c r="F561" s="39">
        <f>IF(_xlfn.NORM.INV(S561,D561,'Regressão Grupo 2'!$B$7)&lt;=0,0,IF(_xlfn.NORM.INV(S561,D561,'Regressão Grupo 2'!$B$7)&gt;100%,100%,_xlfn.NORM.INV(S561,D561,'Regressão Grupo 2'!$B$7)))</f>
        <v>1</v>
      </c>
      <c r="G561" s="41">
        <v>2.7704833997359821E-2</v>
      </c>
      <c r="H561" s="41">
        <v>2.804193891564442E-2</v>
      </c>
      <c r="I561" s="40">
        <f t="shared" si="82"/>
        <v>337.18331507089903</v>
      </c>
      <c r="J561" s="40">
        <f t="shared" si="82"/>
        <v>0</v>
      </c>
      <c r="K561" s="36">
        <v>0.31601150420120361</v>
      </c>
      <c r="L561" s="42">
        <f t="shared" si="88"/>
        <v>19991.322604477216</v>
      </c>
      <c r="M561" s="42">
        <f t="shared" si="88"/>
        <v>0</v>
      </c>
      <c r="N561" s="42">
        <f t="shared" si="83"/>
        <v>6317.487927212369</v>
      </c>
      <c r="O561" s="36">
        <v>5.5624025287814209</v>
      </c>
      <c r="P561" s="42">
        <f t="shared" si="84"/>
        <v>13464.13812408227</v>
      </c>
      <c r="Q561" s="42"/>
      <c r="R561">
        <v>0.79903561510055854</v>
      </c>
      <c r="S561">
        <v>0.88711203344828637</v>
      </c>
    </row>
    <row r="562" spans="1:19" x14ac:dyDescent="0.25">
      <c r="A562" s="40">
        <f t="shared" si="85"/>
        <v>64.229676878151835</v>
      </c>
      <c r="B562" s="40">
        <f t="shared" si="85"/>
        <v>32.933286051621081</v>
      </c>
      <c r="C562" s="41">
        <f t="shared" si="80"/>
        <v>0.49289226185293716</v>
      </c>
      <c r="D562" s="41">
        <f t="shared" si="81"/>
        <v>0.98069361229543572</v>
      </c>
      <c r="E562" s="39">
        <f>IF(_xlfn.NORM.INV(R562,C562,'Regressão Grupo 2'!$B$7)&lt;=0,0,IF(_xlfn.NORM.INV(R562,C562,'Regressão Grupo 2'!$B$7)&gt;100%,100%,_xlfn.NORM.INV(R562,C562,'Regressão Grupo 2'!$B$7)))</f>
        <v>0.23562345944771967</v>
      </c>
      <c r="F562" s="39">
        <f>IF(_xlfn.NORM.INV(S562,D562,'Regressão Grupo 2'!$B$7)&lt;=0,0,IF(_xlfn.NORM.INV(S562,D562,'Regressão Grupo 2'!$B$7)&gt;100%,100%,_xlfn.NORM.INV(S562,D562,'Regressão Grupo 2'!$B$7)))</f>
        <v>1</v>
      </c>
      <c r="G562" s="41">
        <v>1.5471409655719057E-2</v>
      </c>
      <c r="H562" s="41">
        <v>2.560362994199878E-2</v>
      </c>
      <c r="I562" s="40">
        <f t="shared" si="82"/>
        <v>72.876908499769769</v>
      </c>
      <c r="J562" s="40">
        <f t="shared" si="82"/>
        <v>0</v>
      </c>
      <c r="K562" s="36">
        <v>0.1179324903769835</v>
      </c>
      <c r="L562" s="42">
        <f t="shared" si="88"/>
        <v>19991.322604477216</v>
      </c>
      <c r="M562" s="42">
        <f t="shared" si="88"/>
        <v>0</v>
      </c>
      <c r="N562" s="42">
        <f t="shared" si="83"/>
        <v>2357.6264606756822</v>
      </c>
      <c r="O562" s="36">
        <v>7.2051371501932531</v>
      </c>
      <c r="P562" s="42">
        <f t="shared" si="84"/>
        <v>1798.1457033202414</v>
      </c>
      <c r="Q562" s="42"/>
      <c r="R562">
        <v>3.1403546250801113E-2</v>
      </c>
      <c r="S562">
        <v>0.99157689138462479</v>
      </c>
    </row>
    <row r="563" spans="1:19" x14ac:dyDescent="0.25">
      <c r="A563" s="40">
        <f t="shared" si="85"/>
        <v>64.229676878151835</v>
      </c>
      <c r="B563" s="40">
        <f t="shared" si="85"/>
        <v>32.933286051621081</v>
      </c>
      <c r="C563" s="41">
        <f t="shared" si="80"/>
        <v>0.49289226185293716</v>
      </c>
      <c r="D563" s="41">
        <f t="shared" si="81"/>
        <v>0.98069361229543572</v>
      </c>
      <c r="E563" s="39">
        <f>IF(_xlfn.NORM.INV(R563,C563,'Regressão Grupo 2'!$B$7)&lt;=0,0,IF(_xlfn.NORM.INV(R563,C563,'Regressão Grupo 2'!$B$7)&gt;100%,100%,_xlfn.NORM.INV(R563,C563,'Regressão Grupo 2'!$B$7)))</f>
        <v>0.51933321826071899</v>
      </c>
      <c r="F563" s="39">
        <f>IF(_xlfn.NORM.INV(S563,D563,'Regressão Grupo 2'!$B$7)&lt;=0,0,IF(_xlfn.NORM.INV(S563,D563,'Regressão Grupo 2'!$B$7)&gt;100%,100%,_xlfn.NORM.INV(S563,D563,'Regressão Grupo 2'!$B$7)))</f>
        <v>1</v>
      </c>
      <c r="G563" s="41">
        <v>1.7770786632671762E-2</v>
      </c>
      <c r="H563" s="41">
        <v>1.844643521800058E-2</v>
      </c>
      <c r="I563" s="40">
        <f t="shared" si="82"/>
        <v>184.49911292483881</v>
      </c>
      <c r="J563" s="40">
        <f t="shared" si="82"/>
        <v>0</v>
      </c>
      <c r="K563" s="36">
        <v>0.37602797725411569</v>
      </c>
      <c r="L563" s="42">
        <f t="shared" si="88"/>
        <v>19991.322604477216</v>
      </c>
      <c r="M563" s="42">
        <f t="shared" si="88"/>
        <v>0</v>
      </c>
      <c r="N563" s="42">
        <f t="shared" si="83"/>
        <v>7517.2966015960474</v>
      </c>
      <c r="O563" s="36">
        <v>3.2625370501756588</v>
      </c>
      <c r="P563" s="42">
        <f t="shared" si="84"/>
        <v>3731.0866142301666</v>
      </c>
      <c r="Q563" s="42"/>
      <c r="R563">
        <v>0.57582323679311498</v>
      </c>
      <c r="S563">
        <v>0.99691763054292426</v>
      </c>
    </row>
    <row r="564" spans="1:19" x14ac:dyDescent="0.25">
      <c r="A564" s="40">
        <f t="shared" si="85"/>
        <v>64.229676878151835</v>
      </c>
      <c r="B564" s="40">
        <f t="shared" si="85"/>
        <v>32.933286051621081</v>
      </c>
      <c r="C564" s="41">
        <f t="shared" si="80"/>
        <v>0.49289226185293716</v>
      </c>
      <c r="D564" s="41">
        <f t="shared" si="81"/>
        <v>0.98069361229543572</v>
      </c>
      <c r="E564" s="39">
        <f>IF(_xlfn.NORM.INV(R564,C564,'Regressão Grupo 2'!$B$7)&lt;=0,0,IF(_xlfn.NORM.INV(R564,C564,'Regressão Grupo 2'!$B$7)&gt;100%,100%,_xlfn.NORM.INV(R564,C564,'Regressão Grupo 2'!$B$7)))</f>
        <v>0.1625914412080478</v>
      </c>
      <c r="F564" s="39">
        <f>IF(_xlfn.NORM.INV(S564,D564,'Regressão Grupo 2'!$B$7)&lt;=0,0,IF(_xlfn.NORM.INV(S564,D564,'Regressão Grupo 2'!$B$7)&gt;100%,100%,_xlfn.NORM.INV(S564,D564,'Regressão Grupo 2'!$B$7)))</f>
        <v>0.89179439366831514</v>
      </c>
      <c r="G564" s="41">
        <v>2.0178201719529679E-2</v>
      </c>
      <c r="H564" s="41">
        <v>1.7420160183525928E-2</v>
      </c>
      <c r="I564" s="40">
        <f t="shared" si="82"/>
        <v>65.587589146917637</v>
      </c>
      <c r="J564" s="40">
        <f t="shared" si="82"/>
        <v>0</v>
      </c>
      <c r="K564" s="36">
        <v>0.18445284043227961</v>
      </c>
      <c r="L564" s="42">
        <f t="shared" si="88"/>
        <v>19991.322604477216</v>
      </c>
      <c r="M564" s="42">
        <f t="shared" si="88"/>
        <v>0</v>
      </c>
      <c r="N564" s="42">
        <f t="shared" si="83"/>
        <v>3687.4562383938605</v>
      </c>
      <c r="O564" s="36">
        <v>5.4654895887349602</v>
      </c>
      <c r="P564" s="42">
        <f t="shared" si="84"/>
        <v>166.74513409693327</v>
      </c>
      <c r="Q564" s="42"/>
      <c r="R564">
        <v>8.4536271248512231E-3</v>
      </c>
      <c r="S564">
        <v>0.26013977477340006</v>
      </c>
    </row>
    <row r="565" spans="1:19" x14ac:dyDescent="0.25">
      <c r="A565" s="40">
        <f t="shared" si="85"/>
        <v>64.229676878151835</v>
      </c>
      <c r="B565" s="40">
        <f t="shared" si="85"/>
        <v>32.933286051621081</v>
      </c>
      <c r="C565" s="41">
        <f t="shared" si="80"/>
        <v>0.49289226185293716</v>
      </c>
      <c r="D565" s="41">
        <f t="shared" si="81"/>
        <v>0.98069361229543572</v>
      </c>
      <c r="E565" s="39">
        <f>IF(_xlfn.NORM.INV(R565,C565,'Regressão Grupo 2'!$B$7)&lt;=0,0,IF(_xlfn.NORM.INV(R565,C565,'Regressão Grupo 2'!$B$7)&gt;100%,100%,_xlfn.NORM.INV(R565,C565,'Regressão Grupo 2'!$B$7)))</f>
        <v>0.61610950184372637</v>
      </c>
      <c r="F565" s="39">
        <f>IF(_xlfn.NORM.INV(S565,D565,'Regressão Grupo 2'!$B$7)&lt;=0,0,IF(_xlfn.NORM.INV(S565,D565,'Regressão Grupo 2'!$B$7)&gt;100%,100%,_xlfn.NORM.INV(S565,D565,'Regressão Grupo 2'!$B$7)))</f>
        <v>0.87645526415978225</v>
      </c>
      <c r="G565" s="41">
        <v>2.109273514757418E-2</v>
      </c>
      <c r="H565" s="41">
        <v>9.7254685855346548E-3</v>
      </c>
      <c r="I565" s="40">
        <f t="shared" si="82"/>
        <v>259.79592436034045</v>
      </c>
      <c r="J565" s="40">
        <f t="shared" si="82"/>
        <v>0</v>
      </c>
      <c r="K565" s="36">
        <v>0.43070131254792365</v>
      </c>
      <c r="L565" s="42">
        <f t="shared" si="88"/>
        <v>19991.322604477216</v>
      </c>
      <c r="M565" s="42">
        <f t="shared" si="88"/>
        <v>0</v>
      </c>
      <c r="N565" s="42">
        <f t="shared" si="83"/>
        <v>8610.2888853173135</v>
      </c>
      <c r="O565" s="36">
        <v>7.5250018949994102</v>
      </c>
      <c r="P565" s="42">
        <f t="shared" si="84"/>
        <v>6121.354567483444</v>
      </c>
      <c r="Q565" s="42"/>
      <c r="R565">
        <v>0.81356242561113312</v>
      </c>
      <c r="S565">
        <v>0.22547074800866726</v>
      </c>
    </row>
    <row r="566" spans="1:19" x14ac:dyDescent="0.25">
      <c r="A566" s="40">
        <f t="shared" si="85"/>
        <v>64.229676878151835</v>
      </c>
      <c r="B566" s="40">
        <f t="shared" si="85"/>
        <v>32.933286051621081</v>
      </c>
      <c r="C566" s="41">
        <f t="shared" si="80"/>
        <v>0.49289226185293716</v>
      </c>
      <c r="D566" s="41">
        <f t="shared" si="81"/>
        <v>0.98069361229543572</v>
      </c>
      <c r="E566" s="39">
        <f>IF(_xlfn.NORM.INV(R566,C566,'Regressão Grupo 2'!$B$7)&lt;=0,0,IF(_xlfn.NORM.INV(R566,C566,'Regressão Grupo 2'!$B$7)&gt;100%,100%,_xlfn.NORM.INV(R566,C566,'Regressão Grupo 2'!$B$7)))</f>
        <v>0.41255325840733359</v>
      </c>
      <c r="F566" s="39">
        <f>IF(_xlfn.NORM.INV(S566,D566,'Regressão Grupo 2'!$B$7)&lt;=0,0,IF(_xlfn.NORM.INV(S566,D566,'Regressão Grupo 2'!$B$7)&gt;100%,100%,_xlfn.NORM.INV(S566,D566,'Regressão Grupo 2'!$B$7)))</f>
        <v>0.87410722716117595</v>
      </c>
      <c r="G566" s="41">
        <v>2.5200201521573828E-2</v>
      </c>
      <c r="H566" s="41">
        <v>2.478131724874915E-2</v>
      </c>
      <c r="I566" s="40">
        <f t="shared" si="82"/>
        <v>207.83829111101514</v>
      </c>
      <c r="J566" s="40">
        <f t="shared" si="82"/>
        <v>0</v>
      </c>
      <c r="K566" s="36">
        <v>0.37047566946585908</v>
      </c>
      <c r="L566" s="42">
        <f t="shared" si="88"/>
        <v>19991.322604477216</v>
      </c>
      <c r="M566" s="42">
        <f t="shared" si="88"/>
        <v>0</v>
      </c>
      <c r="N566" s="42">
        <f t="shared" si="83"/>
        <v>7406.2986254016587</v>
      </c>
      <c r="O566" s="36">
        <v>9.4557875225592483</v>
      </c>
      <c r="P566" s="42">
        <f t="shared" si="84"/>
        <v>3977.8129357685275</v>
      </c>
      <c r="Q566" s="42"/>
      <c r="R566">
        <v>0.2806176946317942</v>
      </c>
      <c r="S566">
        <v>0.22040467543565173</v>
      </c>
    </row>
    <row r="567" spans="1:19" x14ac:dyDescent="0.25">
      <c r="A567" s="40">
        <f t="shared" si="85"/>
        <v>64.229676878151835</v>
      </c>
      <c r="B567" s="40">
        <f t="shared" si="85"/>
        <v>32.933286051621081</v>
      </c>
      <c r="C567" s="41">
        <f t="shared" si="80"/>
        <v>0.49289226185293716</v>
      </c>
      <c r="D567" s="41">
        <f t="shared" si="81"/>
        <v>0.98069361229543572</v>
      </c>
      <c r="E567" s="39">
        <f>IF(_xlfn.NORM.INV(R567,C567,'Regressão Grupo 2'!$B$7)&lt;=0,0,IF(_xlfn.NORM.INV(R567,C567,'Regressão Grupo 2'!$B$7)&gt;100%,100%,_xlfn.NORM.INV(R567,C567,'Regressão Grupo 2'!$B$7)))</f>
        <v>0.54669076210403567</v>
      </c>
      <c r="F567" s="39">
        <f>IF(_xlfn.NORM.INV(S567,D567,'Regressão Grupo 2'!$B$7)&lt;=0,0,IF(_xlfn.NORM.INV(S567,D567,'Regressão Grupo 2'!$B$7)&gt;100%,100%,_xlfn.NORM.INV(S567,D567,'Regressão Grupo 2'!$B$7)))</f>
        <v>0.94917037516698188</v>
      </c>
      <c r="G567" s="41">
        <v>1.9380121784654269E-2</v>
      </c>
      <c r="H567" s="41">
        <v>1.0574780317148482E-2</v>
      </c>
      <c r="I567" s="40">
        <f t="shared" si="82"/>
        <v>211.80673453349866</v>
      </c>
      <c r="J567" s="40">
        <f t="shared" si="82"/>
        <v>0</v>
      </c>
      <c r="K567" s="36">
        <v>0.29419401421009173</v>
      </c>
      <c r="L567" s="42">
        <f t="shared" ref="L567:M582" si="89">L566</f>
        <v>19991.322604477216</v>
      </c>
      <c r="M567" s="42">
        <f t="shared" si="89"/>
        <v>0</v>
      </c>
      <c r="N567" s="42">
        <f t="shared" si="83"/>
        <v>5881.3274463800981</v>
      </c>
      <c r="O567" s="36">
        <v>3.7524011861884206</v>
      </c>
      <c r="P567" s="42">
        <f t="shared" si="84"/>
        <v>6928.1668314168082</v>
      </c>
      <c r="Q567" s="42"/>
      <c r="R567">
        <v>0.6513870662556841</v>
      </c>
      <c r="S567">
        <v>0.4098330637531663</v>
      </c>
    </row>
    <row r="568" spans="1:19" x14ac:dyDescent="0.25">
      <c r="A568" s="40">
        <f t="shared" si="85"/>
        <v>64.229676878151835</v>
      </c>
      <c r="B568" s="40">
        <f t="shared" si="85"/>
        <v>32.933286051621081</v>
      </c>
      <c r="C568" s="41">
        <f t="shared" si="80"/>
        <v>0.49289226185293716</v>
      </c>
      <c r="D568" s="41">
        <f t="shared" si="81"/>
        <v>0.98069361229543572</v>
      </c>
      <c r="E568" s="39">
        <f>IF(_xlfn.NORM.INV(R568,C568,'Regressão Grupo 2'!$B$7)&lt;=0,0,IF(_xlfn.NORM.INV(R568,C568,'Regressão Grupo 2'!$B$7)&gt;100%,100%,_xlfn.NORM.INV(R568,C568,'Regressão Grupo 2'!$B$7)))</f>
        <v>0.29253417687279515</v>
      </c>
      <c r="F568" s="39">
        <f>IF(_xlfn.NORM.INV(S568,D568,'Regressão Grupo 2'!$B$7)&lt;=0,0,IF(_xlfn.NORM.INV(S568,D568,'Regressão Grupo 2'!$B$7)&gt;100%,100%,_xlfn.NORM.INV(S568,D568,'Regressão Grupo 2'!$B$7)))</f>
        <v>0.9753451691221513</v>
      </c>
      <c r="G568" s="41">
        <v>2.1536938920583251E-2</v>
      </c>
      <c r="H568" s="41">
        <v>2.2581853498084579E-2</v>
      </c>
      <c r="I568" s="40">
        <f t="shared" si="82"/>
        <v>125.95114387554172</v>
      </c>
      <c r="J568" s="40">
        <f t="shared" si="82"/>
        <v>0</v>
      </c>
      <c r="K568" s="36">
        <v>0.23946981036385506</v>
      </c>
      <c r="L568" s="42">
        <f t="shared" si="89"/>
        <v>19991.322604477216</v>
      </c>
      <c r="M568" s="42">
        <f t="shared" si="89"/>
        <v>0</v>
      </c>
      <c r="N568" s="42">
        <f t="shared" si="83"/>
        <v>4787.3182330168083</v>
      </c>
      <c r="O568" s="36">
        <v>5.3618740640735547</v>
      </c>
      <c r="P568" s="42">
        <f t="shared" si="84"/>
        <v>2627.1488688561849</v>
      </c>
      <c r="Q568" s="42"/>
      <c r="R568">
        <v>7.3671681875057224E-2</v>
      </c>
      <c r="S568">
        <v>0.48457289345988341</v>
      </c>
    </row>
    <row r="569" spans="1:19" x14ac:dyDescent="0.25">
      <c r="A569" s="40">
        <f t="shared" si="85"/>
        <v>64.229676878151835</v>
      </c>
      <c r="B569" s="40">
        <f t="shared" si="85"/>
        <v>32.933286051621081</v>
      </c>
      <c r="C569" s="41">
        <f t="shared" si="80"/>
        <v>0.49289226185293716</v>
      </c>
      <c r="D569" s="41">
        <f t="shared" si="81"/>
        <v>0.98069361229543572</v>
      </c>
      <c r="E569" s="39">
        <f>IF(_xlfn.NORM.INV(R569,C569,'Regressão Grupo 2'!$B$7)&lt;=0,0,IF(_xlfn.NORM.INV(R569,C569,'Regressão Grupo 2'!$B$7)&gt;100%,100%,_xlfn.NORM.INV(R569,C569,'Regressão Grupo 2'!$B$7)))</f>
        <v>0.6580966725079328</v>
      </c>
      <c r="F569" s="39">
        <f>IF(_xlfn.NORM.INV(S569,D569,'Regressão Grupo 2'!$B$7)&lt;=0,0,IF(_xlfn.NORM.INV(S569,D569,'Regressão Grupo 2'!$B$7)&gt;100%,100%,_xlfn.NORM.INV(S569,D569,'Regressão Grupo 2'!$B$7)))</f>
        <v>1</v>
      </c>
      <c r="G569" s="41">
        <v>1.1942088698183445E-2</v>
      </c>
      <c r="H569" s="41">
        <v>1.6231267475622594E-2</v>
      </c>
      <c r="I569" s="40">
        <f t="shared" si="82"/>
        <v>157.11278062620758</v>
      </c>
      <c r="J569" s="40">
        <f t="shared" si="82"/>
        <v>0</v>
      </c>
      <c r="K569" s="36">
        <v>0.32451703096086348</v>
      </c>
      <c r="L569" s="42">
        <f t="shared" si="89"/>
        <v>19991.322604477216</v>
      </c>
      <c r="M569" s="42">
        <f t="shared" si="89"/>
        <v>0</v>
      </c>
      <c r="N569" s="42">
        <f t="shared" si="83"/>
        <v>6487.5246565857433</v>
      </c>
      <c r="O569" s="36">
        <v>6.6103622216002957</v>
      </c>
      <c r="P569" s="42">
        <f t="shared" si="84"/>
        <v>2565.206086881466</v>
      </c>
      <c r="Q569" s="42"/>
      <c r="R569">
        <v>0.88390758995330665</v>
      </c>
      <c r="S569">
        <v>0.77205725272377701</v>
      </c>
    </row>
    <row r="570" spans="1:19" x14ac:dyDescent="0.25">
      <c r="A570" s="40">
        <f t="shared" si="85"/>
        <v>64.229676878151835</v>
      </c>
      <c r="B570" s="40">
        <f t="shared" si="85"/>
        <v>32.933286051621081</v>
      </c>
      <c r="C570" s="41">
        <f t="shared" si="80"/>
        <v>0.49289226185293716</v>
      </c>
      <c r="D570" s="41">
        <f t="shared" si="81"/>
        <v>0.98069361229543572</v>
      </c>
      <c r="E570" s="39">
        <f>IF(_xlfn.NORM.INV(R570,C570,'Regressão Grupo 2'!$B$7)&lt;=0,0,IF(_xlfn.NORM.INV(R570,C570,'Regressão Grupo 2'!$B$7)&gt;100%,100%,_xlfn.NORM.INV(R570,C570,'Regressão Grupo 2'!$B$7)))</f>
        <v>0.4591174885126002</v>
      </c>
      <c r="F570" s="39">
        <f>IF(_xlfn.NORM.INV(S570,D570,'Regressão Grupo 2'!$B$7)&lt;=0,0,IF(_xlfn.NORM.INV(S570,D570,'Regressão Grupo 2'!$B$7)&gt;100%,100%,_xlfn.NORM.INV(S570,D570,'Regressão Grupo 2'!$B$7)))</f>
        <v>0.96636143134566888</v>
      </c>
      <c r="G570" s="41">
        <v>1.3396046149826176E-2</v>
      </c>
      <c r="H570" s="41">
        <v>5.8243766778607224E-3</v>
      </c>
      <c r="I570" s="40">
        <f t="shared" si="82"/>
        <v>122.95381218793351</v>
      </c>
      <c r="J570" s="40">
        <f t="shared" si="82"/>
        <v>0</v>
      </c>
      <c r="K570" s="36">
        <v>0.47377397814942318</v>
      </c>
      <c r="L570" s="42">
        <f t="shared" si="89"/>
        <v>19991.322604477216</v>
      </c>
      <c r="M570" s="42">
        <f t="shared" si="89"/>
        <v>0</v>
      </c>
      <c r="N570" s="42">
        <f t="shared" si="83"/>
        <v>9471.3684387916583</v>
      </c>
      <c r="O570" s="36">
        <v>4.9066491314394796</v>
      </c>
      <c r="P570" s="42">
        <f t="shared" si="84"/>
        <v>-2177.3760268028191</v>
      </c>
      <c r="Q570" s="42"/>
      <c r="R570">
        <v>0.4035157322916349</v>
      </c>
      <c r="S570">
        <v>0.4587237159337138</v>
      </c>
    </row>
    <row r="571" spans="1:19" x14ac:dyDescent="0.25">
      <c r="A571" s="40">
        <f t="shared" si="85"/>
        <v>64.229676878151835</v>
      </c>
      <c r="B571" s="40">
        <f t="shared" si="85"/>
        <v>32.933286051621081</v>
      </c>
      <c r="C571" s="41">
        <f t="shared" si="80"/>
        <v>0.49289226185293716</v>
      </c>
      <c r="D571" s="41">
        <f t="shared" si="81"/>
        <v>0.98069361229543572</v>
      </c>
      <c r="E571" s="39">
        <f>IF(_xlfn.NORM.INV(R571,C571,'Regressão Grupo 2'!$B$7)&lt;=0,0,IF(_xlfn.NORM.INV(R571,C571,'Regressão Grupo 2'!$B$7)&gt;100%,100%,_xlfn.NORM.INV(R571,C571,'Regressão Grupo 2'!$B$7)))</f>
        <v>0.46922560548813919</v>
      </c>
      <c r="F571" s="39">
        <f>IF(_xlfn.NORM.INV(S571,D571,'Regressão Grupo 2'!$B$7)&lt;=0,0,IF(_xlfn.NORM.INV(S571,D571,'Regressão Grupo 2'!$B$7)&gt;100%,100%,_xlfn.NORM.INV(S571,D571,'Regressão Grupo 2'!$B$7)))</f>
        <v>1</v>
      </c>
      <c r="G571" s="41">
        <v>1.4255052273218601E-2</v>
      </c>
      <c r="H571" s="41">
        <v>1.4659749050568601E-2</v>
      </c>
      <c r="I571" s="40">
        <f t="shared" si="82"/>
        <v>133.71866901180465</v>
      </c>
      <c r="J571" s="40">
        <f t="shared" si="82"/>
        <v>0</v>
      </c>
      <c r="K571" s="36">
        <v>0.16909547182695656</v>
      </c>
      <c r="L571" s="42">
        <f t="shared" si="89"/>
        <v>19991.322604477216</v>
      </c>
      <c r="M571" s="42">
        <f t="shared" si="89"/>
        <v>0</v>
      </c>
      <c r="N571" s="42">
        <f t="shared" si="83"/>
        <v>3380.442128248977</v>
      </c>
      <c r="O571" s="36">
        <v>6.7888014667289616</v>
      </c>
      <c r="P571" s="42">
        <f t="shared" si="84"/>
        <v>4300.4752786393874</v>
      </c>
      <c r="Q571" s="42"/>
      <c r="R571">
        <v>0.43205053865169224</v>
      </c>
      <c r="S571">
        <v>0.6318247016815699</v>
      </c>
    </row>
    <row r="572" spans="1:19" x14ac:dyDescent="0.25">
      <c r="A572" s="40">
        <f t="shared" si="85"/>
        <v>64.229676878151835</v>
      </c>
      <c r="B572" s="40">
        <f t="shared" si="85"/>
        <v>32.933286051621081</v>
      </c>
      <c r="C572" s="41">
        <f t="shared" si="80"/>
        <v>0.49289226185293716</v>
      </c>
      <c r="D572" s="41">
        <f t="shared" si="81"/>
        <v>0.98069361229543572</v>
      </c>
      <c r="E572" s="39">
        <f>IF(_xlfn.NORM.INV(R572,C572,'Regressão Grupo 2'!$B$7)&lt;=0,0,IF(_xlfn.NORM.INV(R572,C572,'Regressão Grupo 2'!$B$7)&gt;100%,100%,_xlfn.NORM.INV(R572,C572,'Regressão Grupo 2'!$B$7)))</f>
        <v>0.51496110671905526</v>
      </c>
      <c r="F572" s="39">
        <f>IF(_xlfn.NORM.INV(S572,D572,'Regressão Grupo 2'!$B$7)&lt;=0,0,IF(_xlfn.NORM.INV(S572,D572,'Regressão Grupo 2'!$B$7)&gt;100%,100%,_xlfn.NORM.INV(S572,D572,'Regressão Grupo 2'!$B$7)))</f>
        <v>0.62877341833043188</v>
      </c>
      <c r="G572" s="41">
        <v>1.6585186230197845E-2</v>
      </c>
      <c r="H572" s="41">
        <v>2.347871781737167E-2</v>
      </c>
      <c r="I572" s="40">
        <f t="shared" si="82"/>
        <v>170.74040586858004</v>
      </c>
      <c r="J572" s="40">
        <f t="shared" si="82"/>
        <v>0</v>
      </c>
      <c r="K572" s="36">
        <v>0.31568473878524705</v>
      </c>
      <c r="L572" s="42">
        <f t="shared" si="89"/>
        <v>19991.322604477216</v>
      </c>
      <c r="M572" s="42">
        <f t="shared" si="89"/>
        <v>0</v>
      </c>
      <c r="N572" s="42">
        <f t="shared" si="83"/>
        <v>6310.9554543659951</v>
      </c>
      <c r="O572" s="36">
        <v>2.4905613876215464</v>
      </c>
      <c r="P572" s="42">
        <f t="shared" si="84"/>
        <v>4230.4061824542832</v>
      </c>
      <c r="Q572" s="42"/>
      <c r="R572">
        <v>0.56340220343638414</v>
      </c>
      <c r="S572">
        <v>5.4628131962034974E-3</v>
      </c>
    </row>
    <row r="573" spans="1:19" x14ac:dyDescent="0.25">
      <c r="A573" s="40">
        <f t="shared" si="85"/>
        <v>64.229676878151835</v>
      </c>
      <c r="B573" s="40">
        <f t="shared" si="85"/>
        <v>32.933286051621081</v>
      </c>
      <c r="C573" s="41">
        <f t="shared" si="80"/>
        <v>0.49289226185293716</v>
      </c>
      <c r="D573" s="41">
        <f t="shared" si="81"/>
        <v>0.98069361229543572</v>
      </c>
      <c r="E573" s="39">
        <f>IF(_xlfn.NORM.INV(R573,C573,'Regressão Grupo 2'!$B$7)&lt;=0,0,IF(_xlfn.NORM.INV(R573,C573,'Regressão Grupo 2'!$B$7)&gt;100%,100%,_xlfn.NORM.INV(R573,C573,'Regressão Grupo 2'!$B$7)))</f>
        <v>0.77673053741624132</v>
      </c>
      <c r="F573" s="39">
        <f>IF(_xlfn.NORM.INV(S573,D573,'Regressão Grupo 2'!$B$7)&lt;=0,0,IF(_xlfn.NORM.INV(S573,D573,'Regressão Grupo 2'!$B$7)&gt;100%,100%,_xlfn.NORM.INV(S573,D573,'Regressão Grupo 2'!$B$7)))</f>
        <v>1</v>
      </c>
      <c r="G573" s="41">
        <v>1.5989248746504637E-2</v>
      </c>
      <c r="H573" s="41">
        <v>2.5630331563281178E-2</v>
      </c>
      <c r="I573" s="40">
        <f t="shared" si="82"/>
        <v>248.27898792911364</v>
      </c>
      <c r="J573" s="40">
        <f t="shared" si="82"/>
        <v>0</v>
      </c>
      <c r="K573" s="36">
        <v>0.44083034487109352</v>
      </c>
      <c r="L573" s="42">
        <f t="shared" si="89"/>
        <v>19991.322604477216</v>
      </c>
      <c r="M573" s="42">
        <f t="shared" si="89"/>
        <v>0</v>
      </c>
      <c r="N573" s="42">
        <f t="shared" si="83"/>
        <v>8812.7816381609791</v>
      </c>
      <c r="O573" s="36">
        <v>6.3766488875208616</v>
      </c>
      <c r="P573" s="42">
        <f t="shared" si="84"/>
        <v>5550.9095999875608</v>
      </c>
      <c r="Q573" s="42"/>
      <c r="R573">
        <v>0.97994933927426986</v>
      </c>
      <c r="S573">
        <v>0.62092959379863888</v>
      </c>
    </row>
    <row r="574" spans="1:19" x14ac:dyDescent="0.25">
      <c r="A574" s="40">
        <f t="shared" si="85"/>
        <v>64.229676878151835</v>
      </c>
      <c r="B574" s="40">
        <f t="shared" si="85"/>
        <v>32.933286051621081</v>
      </c>
      <c r="C574" s="41">
        <f t="shared" si="80"/>
        <v>0.49289226185293716</v>
      </c>
      <c r="D574" s="41">
        <f t="shared" si="81"/>
        <v>0.98069361229543572</v>
      </c>
      <c r="E574" s="39">
        <f>IF(_xlfn.NORM.INV(R574,C574,'Regressão Grupo 2'!$B$7)&lt;=0,0,IF(_xlfn.NORM.INV(R574,C574,'Regressão Grupo 2'!$B$7)&gt;100%,100%,_xlfn.NORM.INV(R574,C574,'Regressão Grupo 2'!$B$7)))</f>
        <v>0.32019065454993734</v>
      </c>
      <c r="F574" s="39">
        <f>IF(_xlfn.NORM.INV(S574,D574,'Regressão Grupo 2'!$B$7)&lt;=0,0,IF(_xlfn.NORM.INV(S574,D574,'Regressão Grupo 2'!$B$7)&gt;100%,100%,_xlfn.NORM.INV(S574,D574,'Regressão Grupo 2'!$B$7)))</f>
        <v>1</v>
      </c>
      <c r="G574" s="41">
        <v>7.5823907545843547E-3</v>
      </c>
      <c r="H574" s="41">
        <v>2.2897169169766363E-2</v>
      </c>
      <c r="I574" s="40">
        <f t="shared" si="82"/>
        <v>48.535146101934636</v>
      </c>
      <c r="J574" s="40">
        <f t="shared" si="82"/>
        <v>0</v>
      </c>
      <c r="K574" s="36">
        <v>0.31723992210862401</v>
      </c>
      <c r="L574" s="42">
        <f t="shared" si="89"/>
        <v>19991.322604477216</v>
      </c>
      <c r="M574" s="42">
        <f t="shared" si="89"/>
        <v>0</v>
      </c>
      <c r="N574" s="42">
        <f t="shared" si="83"/>
        <v>6342.0456258927261</v>
      </c>
      <c r="O574" s="36">
        <v>3.0958145003398707</v>
      </c>
      <c r="P574" s="42">
        <f t="shared" si="84"/>
        <v>-3374.904683610057</v>
      </c>
      <c r="Q574" s="42"/>
      <c r="R574">
        <v>0.10583819086275827</v>
      </c>
      <c r="S574">
        <v>0.62428662984099859</v>
      </c>
    </row>
    <row r="575" spans="1:19" x14ac:dyDescent="0.25">
      <c r="A575" s="40">
        <f t="shared" si="85"/>
        <v>64.229676878151835</v>
      </c>
      <c r="B575" s="40">
        <f t="shared" si="85"/>
        <v>32.933286051621081</v>
      </c>
      <c r="C575" s="41">
        <f t="shared" si="80"/>
        <v>0.49289226185293716</v>
      </c>
      <c r="D575" s="41">
        <f t="shared" si="81"/>
        <v>0.98069361229543572</v>
      </c>
      <c r="E575" s="39">
        <f>IF(_xlfn.NORM.INV(R575,C575,'Regressão Grupo 2'!$B$7)&lt;=0,0,IF(_xlfn.NORM.INV(R575,C575,'Regressão Grupo 2'!$B$7)&gt;100%,100%,_xlfn.NORM.INV(R575,C575,'Regressão Grupo 2'!$B$7)))</f>
        <v>0.27665609402887126</v>
      </c>
      <c r="F575" s="39">
        <f>IF(_xlfn.NORM.INV(S575,D575,'Regressão Grupo 2'!$B$7)&lt;=0,0,IF(_xlfn.NORM.INV(S575,D575,'Regressão Grupo 2'!$B$7)&gt;100%,100%,_xlfn.NORM.INV(S575,D575,'Regressão Grupo 2'!$B$7)))</f>
        <v>1</v>
      </c>
      <c r="G575" s="41">
        <v>1.4250647429766516E-2</v>
      </c>
      <c r="H575" s="41">
        <v>1.774775735361411E-2</v>
      </c>
      <c r="I575" s="40">
        <f t="shared" si="82"/>
        <v>78.816358227269077</v>
      </c>
      <c r="J575" s="40">
        <f t="shared" si="82"/>
        <v>0</v>
      </c>
      <c r="K575" s="36">
        <v>0.22102099786581864</v>
      </c>
      <c r="L575" s="42">
        <f t="shared" si="89"/>
        <v>19991.322604477216</v>
      </c>
      <c r="M575" s="42">
        <f t="shared" si="89"/>
        <v>0</v>
      </c>
      <c r="N575" s="42">
        <f t="shared" si="83"/>
        <v>4418.5020706990508</v>
      </c>
      <c r="O575" s="36">
        <v>5.1459117172891249</v>
      </c>
      <c r="P575" s="42">
        <f t="shared" si="84"/>
        <v>238.26512963534515</v>
      </c>
      <c r="Q575" s="42"/>
      <c r="R575">
        <v>5.8931241798150576E-2</v>
      </c>
      <c r="S575">
        <v>0.55592516861476482</v>
      </c>
    </row>
    <row r="576" spans="1:19" x14ac:dyDescent="0.25">
      <c r="A576" s="40">
        <f t="shared" si="85"/>
        <v>64.229676878151835</v>
      </c>
      <c r="B576" s="40">
        <f t="shared" si="85"/>
        <v>32.933286051621081</v>
      </c>
      <c r="C576" s="41">
        <f t="shared" si="80"/>
        <v>0.49289226185293716</v>
      </c>
      <c r="D576" s="41">
        <f t="shared" si="81"/>
        <v>0.98069361229543572</v>
      </c>
      <c r="E576" s="39">
        <f>IF(_xlfn.NORM.INV(R576,C576,'Regressão Grupo 2'!$B$7)&lt;=0,0,IF(_xlfn.NORM.INV(R576,C576,'Regressão Grupo 2'!$B$7)&gt;100%,100%,_xlfn.NORM.INV(R576,C576,'Regressão Grupo 2'!$B$7)))</f>
        <v>0.63575461662095079</v>
      </c>
      <c r="F576" s="39">
        <f>IF(_xlfn.NORM.INV(S576,D576,'Regressão Grupo 2'!$B$7)&lt;=0,0,IF(_xlfn.NORM.INV(S576,D576,'Regressão Grupo 2'!$B$7)&gt;100%,100%,_xlfn.NORM.INV(S576,D576,'Regressão Grupo 2'!$B$7)))</f>
        <v>1</v>
      </c>
      <c r="G576" s="41">
        <v>2.1841823016266332E-2</v>
      </c>
      <c r="H576" s="41">
        <v>2.3960550594509859E-2</v>
      </c>
      <c r="I576" s="40">
        <f t="shared" si="82"/>
        <v>277.60030170043524</v>
      </c>
      <c r="J576" s="40">
        <f t="shared" si="82"/>
        <v>0</v>
      </c>
      <c r="K576" s="36">
        <v>0.31955415945431365</v>
      </c>
      <c r="L576" s="42">
        <f t="shared" si="89"/>
        <v>19991.322604477216</v>
      </c>
      <c r="M576" s="42">
        <f t="shared" si="89"/>
        <v>0</v>
      </c>
      <c r="N576" s="42">
        <f t="shared" si="83"/>
        <v>6388.310291253737</v>
      </c>
      <c r="O576" s="36">
        <v>7.1841143647902967</v>
      </c>
      <c r="P576" s="42">
        <f t="shared" si="84"/>
        <v>9447.555073126463</v>
      </c>
      <c r="Q576" s="42"/>
      <c r="R576">
        <v>0.84923856318857383</v>
      </c>
      <c r="S576">
        <v>0.55565050202948085</v>
      </c>
    </row>
    <row r="577" spans="1:19" x14ac:dyDescent="0.25">
      <c r="A577" s="40">
        <f t="shared" si="85"/>
        <v>64.229676878151835</v>
      </c>
      <c r="B577" s="40">
        <f t="shared" si="85"/>
        <v>32.933286051621081</v>
      </c>
      <c r="C577" s="41">
        <f t="shared" si="80"/>
        <v>0.49289226185293716</v>
      </c>
      <c r="D577" s="41">
        <f t="shared" si="81"/>
        <v>0.98069361229543572</v>
      </c>
      <c r="E577" s="39">
        <f>IF(_xlfn.NORM.INV(R577,C577,'Regressão Grupo 2'!$B$7)&lt;=0,0,IF(_xlfn.NORM.INV(R577,C577,'Regressão Grupo 2'!$B$7)&gt;100%,100%,_xlfn.NORM.INV(R577,C577,'Regressão Grupo 2'!$B$7)))</f>
        <v>0.44344895961181358</v>
      </c>
      <c r="F577" s="39">
        <f>IF(_xlfn.NORM.INV(S577,D577,'Regressão Grupo 2'!$B$7)&lt;=0,0,IF(_xlfn.NORM.INV(S577,D577,'Regressão Grupo 2'!$B$7)&gt;100%,100%,_xlfn.NORM.INV(S577,D577,'Regressão Grupo 2'!$B$7)))</f>
        <v>1</v>
      </c>
      <c r="G577" s="41">
        <v>2.5038616170460798E-2</v>
      </c>
      <c r="H577" s="41">
        <v>1.994935687039532E-2</v>
      </c>
      <c r="I577" s="40">
        <f t="shared" si="82"/>
        <v>221.97061767346</v>
      </c>
      <c r="J577" s="40">
        <f t="shared" si="82"/>
        <v>0</v>
      </c>
      <c r="K577" s="36">
        <v>0.24647096292766371</v>
      </c>
      <c r="L577" s="42">
        <f t="shared" si="89"/>
        <v>19991.322604477216</v>
      </c>
      <c r="M577" s="42">
        <f t="shared" si="89"/>
        <v>0</v>
      </c>
      <c r="N577" s="42">
        <f t="shared" si="83"/>
        <v>4927.2805325230693</v>
      </c>
      <c r="O577" s="36">
        <v>5.8011339451984512</v>
      </c>
      <c r="P577" s="42">
        <f t="shared" si="84"/>
        <v>8042.1392320648702</v>
      </c>
      <c r="Q577" s="42"/>
      <c r="R577">
        <v>0.36033204138309882</v>
      </c>
      <c r="S577">
        <v>0.62520218512527848</v>
      </c>
    </row>
    <row r="578" spans="1:19" x14ac:dyDescent="0.25">
      <c r="A578" s="40">
        <f t="shared" si="85"/>
        <v>64.229676878151835</v>
      </c>
      <c r="B578" s="40">
        <f t="shared" si="85"/>
        <v>32.933286051621081</v>
      </c>
      <c r="C578" s="41">
        <f t="shared" si="80"/>
        <v>0.49289226185293716</v>
      </c>
      <c r="D578" s="41">
        <f t="shared" si="81"/>
        <v>0.98069361229543572</v>
      </c>
      <c r="E578" s="39">
        <f>IF(_xlfn.NORM.INV(R578,C578,'Regressão Grupo 2'!$B$7)&lt;=0,0,IF(_xlfn.NORM.INV(R578,C578,'Regressão Grupo 2'!$B$7)&gt;100%,100%,_xlfn.NORM.INV(R578,C578,'Regressão Grupo 2'!$B$7)))</f>
        <v>0.70988615538018429</v>
      </c>
      <c r="F578" s="39">
        <f>IF(_xlfn.NORM.INV(S578,D578,'Regressão Grupo 2'!$B$7)&lt;=0,0,IF(_xlfn.NORM.INV(S578,D578,'Regressão Grupo 2'!$B$7)&gt;100%,100%,_xlfn.NORM.INV(S578,D578,'Regressão Grupo 2'!$B$7)))</f>
        <v>1</v>
      </c>
      <c r="G578" s="41">
        <v>1.0997291079663702E-2</v>
      </c>
      <c r="H578" s="41">
        <v>1.9941843235410095E-2</v>
      </c>
      <c r="I578" s="40">
        <f t="shared" si="82"/>
        <v>156.06875077722393</v>
      </c>
      <c r="J578" s="40">
        <f t="shared" si="82"/>
        <v>0</v>
      </c>
      <c r="K578" s="36">
        <v>0.30089381387416247</v>
      </c>
      <c r="L578" s="42">
        <f t="shared" si="89"/>
        <v>19991.322604477216</v>
      </c>
      <c r="M578" s="42">
        <f t="shared" si="89"/>
        <v>0</v>
      </c>
      <c r="N578" s="42">
        <f t="shared" si="83"/>
        <v>6015.2653028499044</v>
      </c>
      <c r="O578" s="36">
        <v>7.9247416953671985</v>
      </c>
      <c r="P578" s="42">
        <f t="shared" si="84"/>
        <v>2772.1755937198577</v>
      </c>
      <c r="Q578" s="42"/>
      <c r="R578">
        <v>0.94170964690084535</v>
      </c>
      <c r="S578">
        <v>0.7151402325510422</v>
      </c>
    </row>
    <row r="579" spans="1:19" x14ac:dyDescent="0.25">
      <c r="A579" s="40">
        <f t="shared" si="85"/>
        <v>64.229676878151835</v>
      </c>
      <c r="B579" s="40">
        <f t="shared" si="85"/>
        <v>32.933286051621081</v>
      </c>
      <c r="C579" s="41">
        <f t="shared" si="80"/>
        <v>0.49289226185293716</v>
      </c>
      <c r="D579" s="41">
        <f t="shared" si="81"/>
        <v>0.98069361229543572</v>
      </c>
      <c r="E579" s="39">
        <f>IF(_xlfn.NORM.INV(R579,C579,'Regressão Grupo 2'!$B$7)&lt;=0,0,IF(_xlfn.NORM.INV(R579,C579,'Regressão Grupo 2'!$B$7)&gt;100%,100%,_xlfn.NORM.INV(R579,C579,'Regressão Grupo 2'!$B$7)))</f>
        <v>0.51293855572521108</v>
      </c>
      <c r="F579" s="39">
        <f>IF(_xlfn.NORM.INV(S579,D579,'Regressão Grupo 2'!$B$7)&lt;=0,0,IF(_xlfn.NORM.INV(S579,D579,'Regressão Grupo 2'!$B$7)&gt;100%,100%,_xlfn.NORM.INV(S579,D579,'Regressão Grupo 2'!$B$7)))</f>
        <v>0.7490836678119891</v>
      </c>
      <c r="G579" s="41">
        <v>2.0122045270920427E-2</v>
      </c>
      <c r="H579" s="41">
        <v>1.6408883019741666E-2</v>
      </c>
      <c r="I579" s="40">
        <f t="shared" si="82"/>
        <v>206.33789415559824</v>
      </c>
      <c r="J579" s="40">
        <f t="shared" si="82"/>
        <v>0</v>
      </c>
      <c r="K579" s="36">
        <v>0.2531795482400423</v>
      </c>
      <c r="L579" s="42">
        <f t="shared" si="89"/>
        <v>19991.322604477216</v>
      </c>
      <c r="M579" s="42">
        <f t="shared" si="89"/>
        <v>0</v>
      </c>
      <c r="N579" s="42">
        <f t="shared" si="83"/>
        <v>5061.3940257224876</v>
      </c>
      <c r="O579" s="36">
        <v>5.2231038172143558</v>
      </c>
      <c r="P579" s="42">
        <f t="shared" si="84"/>
        <v>7113.8980010098039</v>
      </c>
      <c r="Q579" s="42"/>
      <c r="R579">
        <v>0.55763420514542072</v>
      </c>
      <c r="S579">
        <v>4.6967986083559676E-2</v>
      </c>
    </row>
    <row r="580" spans="1:19" x14ac:dyDescent="0.25">
      <c r="A580" s="40">
        <f t="shared" si="85"/>
        <v>64.229676878151835</v>
      </c>
      <c r="B580" s="40">
        <f t="shared" si="85"/>
        <v>32.933286051621081</v>
      </c>
      <c r="C580" s="41">
        <f t="shared" si="80"/>
        <v>0.49289226185293716</v>
      </c>
      <c r="D580" s="41">
        <f t="shared" si="81"/>
        <v>0.98069361229543572</v>
      </c>
      <c r="E580" s="39">
        <f>IF(_xlfn.NORM.INV(R580,C580,'Regressão Grupo 2'!$B$7)&lt;=0,0,IF(_xlfn.NORM.INV(R580,C580,'Regressão Grupo 2'!$B$7)&gt;100%,100%,_xlfn.NORM.INV(R580,C580,'Regressão Grupo 2'!$B$7)))</f>
        <v>0.49718227349378252</v>
      </c>
      <c r="F580" s="39">
        <f>IF(_xlfn.NORM.INV(S580,D580,'Regressão Grupo 2'!$B$7)&lt;=0,0,IF(_xlfn.NORM.INV(S580,D580,'Regressão Grupo 2'!$B$7)&gt;100%,100%,_xlfn.NORM.INV(S580,D580,'Regressão Grupo 2'!$B$7)))</f>
        <v>1</v>
      </c>
      <c r="G580" s="41">
        <v>1.7376010892811936E-2</v>
      </c>
      <c r="H580" s="41">
        <v>2.1387610449204997E-2</v>
      </c>
      <c r="I580" s="40">
        <f t="shared" si="82"/>
        <v>172.70592759188671</v>
      </c>
      <c r="J580" s="40">
        <f t="shared" si="82"/>
        <v>0</v>
      </c>
      <c r="K580" s="36">
        <v>0.30650368347519641</v>
      </c>
      <c r="L580" s="42">
        <f t="shared" si="89"/>
        <v>19991.322604477216</v>
      </c>
      <c r="M580" s="42">
        <f t="shared" si="89"/>
        <v>0</v>
      </c>
      <c r="N580" s="42">
        <f t="shared" si="83"/>
        <v>6127.4140158132241</v>
      </c>
      <c r="O580" s="36">
        <v>8.3065902792122177</v>
      </c>
      <c r="P580" s="42">
        <f t="shared" si="84"/>
        <v>3530.8345290580519</v>
      </c>
      <c r="Q580" s="42"/>
      <c r="R580">
        <v>0.51237525559251684</v>
      </c>
      <c r="S580">
        <v>0.86413159581286048</v>
      </c>
    </row>
    <row r="581" spans="1:19" x14ac:dyDescent="0.25">
      <c r="A581" s="40">
        <f t="shared" si="85"/>
        <v>64.229676878151835</v>
      </c>
      <c r="B581" s="40">
        <f t="shared" si="85"/>
        <v>32.933286051621081</v>
      </c>
      <c r="C581" s="41">
        <f t="shared" si="80"/>
        <v>0.49289226185293716</v>
      </c>
      <c r="D581" s="41">
        <f t="shared" si="81"/>
        <v>0.98069361229543572</v>
      </c>
      <c r="E581" s="39">
        <f>IF(_xlfn.NORM.INV(R581,C581,'Regressão Grupo 2'!$B$7)&lt;=0,0,IF(_xlfn.NORM.INV(R581,C581,'Regressão Grupo 2'!$B$7)&gt;100%,100%,_xlfn.NORM.INV(R581,C581,'Regressão Grupo 2'!$B$7)))</f>
        <v>0.46498465940280742</v>
      </c>
      <c r="F581" s="39">
        <f>IF(_xlfn.NORM.INV(S581,D581,'Regressão Grupo 2'!$B$7)&lt;=0,0,IF(_xlfn.NORM.INV(S581,D581,'Regressão Grupo 2'!$B$7)&gt;100%,100%,_xlfn.NORM.INV(S581,D581,'Regressão Grupo 2'!$B$7)))</f>
        <v>1</v>
      </c>
      <c r="G581" s="41">
        <v>3.4057958457631571E-3</v>
      </c>
      <c r="H581" s="41">
        <v>2.4417766385179483E-2</v>
      </c>
      <c r="I581" s="40">
        <f t="shared" si="82"/>
        <v>31.659114531625999</v>
      </c>
      <c r="J581" s="40">
        <f t="shared" si="82"/>
        <v>0</v>
      </c>
      <c r="K581" s="36">
        <v>0.2101839287796361</v>
      </c>
      <c r="L581" s="42">
        <f t="shared" si="89"/>
        <v>19991.322604477216</v>
      </c>
      <c r="M581" s="42">
        <f t="shared" si="89"/>
        <v>0</v>
      </c>
      <c r="N581" s="42">
        <f t="shared" si="83"/>
        <v>4201.8547265101688</v>
      </c>
      <c r="O581" s="36">
        <v>8.5883477400889507</v>
      </c>
      <c r="P581" s="42">
        <f t="shared" si="84"/>
        <v>-2440.2995146363369</v>
      </c>
      <c r="Q581" s="42"/>
      <c r="R581">
        <v>0.42002624591814935</v>
      </c>
      <c r="S581">
        <v>0.85393841364787748</v>
      </c>
    </row>
    <row r="582" spans="1:19" x14ac:dyDescent="0.25">
      <c r="A582" s="40">
        <f t="shared" si="85"/>
        <v>64.229676878151835</v>
      </c>
      <c r="B582" s="40">
        <f t="shared" si="85"/>
        <v>32.933286051621081</v>
      </c>
      <c r="C582" s="41">
        <f t="shared" ref="C582:C645" si="90">-0.007*A582 + 0.9425</f>
        <v>0.49289226185293716</v>
      </c>
      <c r="D582" s="41">
        <f t="shared" ref="D582:D645" si="91">-0.0059*B582+1.175</f>
        <v>0.98069361229543572</v>
      </c>
      <c r="E582" s="39">
        <f>IF(_xlfn.NORM.INV(R582,C582,'Regressão Grupo 2'!$B$7)&lt;=0,0,IF(_xlfn.NORM.INV(R582,C582,'Regressão Grupo 2'!$B$7)&gt;100%,100%,_xlfn.NORM.INV(R582,C582,'Regressão Grupo 2'!$B$7)))</f>
        <v>0.71057737645644403</v>
      </c>
      <c r="F582" s="39">
        <f>IF(_xlfn.NORM.INV(S582,D582,'Regressão Grupo 2'!$B$7)&lt;=0,0,IF(_xlfn.NORM.INV(S582,D582,'Regressão Grupo 2'!$B$7)&gt;100%,100%,_xlfn.NORM.INV(S582,D582,'Regressão Grupo 2'!$B$7)))</f>
        <v>1</v>
      </c>
      <c r="G582" s="41">
        <v>2.3856381745455828E-2</v>
      </c>
      <c r="H582" s="41">
        <v>2.2391146009919864E-2</v>
      </c>
      <c r="I582" s="40">
        <f t="shared" ref="I582:J645" si="92">IF(E582*G582*L582&gt;0,E582*G582*L582,0)</f>
        <v>338.88900553045534</v>
      </c>
      <c r="J582" s="40">
        <f t="shared" si="92"/>
        <v>0</v>
      </c>
      <c r="K582" s="36">
        <v>0.25478908401463696</v>
      </c>
      <c r="L582" s="42">
        <f t="shared" si="89"/>
        <v>19991.322604477216</v>
      </c>
      <c r="M582" s="42">
        <f t="shared" si="89"/>
        <v>0</v>
      </c>
      <c r="N582" s="42">
        <f t="shared" ref="N582:N645" si="93">(L582+M582)*K582</f>
        <v>5093.5707746358567</v>
      </c>
      <c r="O582" s="36">
        <v>8.7194330375782165</v>
      </c>
      <c r="P582" s="42">
        <f t="shared" ref="P582:P645" si="94">SUMPRODUCT(A582:B582,I582:J582)-SUM(I582:J582)*O582-N582</f>
        <v>13718.240557249221</v>
      </c>
      <c r="Q582" s="42"/>
      <c r="R582">
        <v>0.94228949858088928</v>
      </c>
      <c r="S582">
        <v>0.92275765251625108</v>
      </c>
    </row>
    <row r="583" spans="1:19" x14ac:dyDescent="0.25">
      <c r="A583" s="40">
        <f t="shared" ref="A583:B646" si="95">A582</f>
        <v>64.229676878151835</v>
      </c>
      <c r="B583" s="40">
        <f t="shared" si="95"/>
        <v>32.933286051621081</v>
      </c>
      <c r="C583" s="41">
        <f t="shared" si="90"/>
        <v>0.49289226185293716</v>
      </c>
      <c r="D583" s="41">
        <f t="shared" si="91"/>
        <v>0.98069361229543572</v>
      </c>
      <c r="E583" s="39">
        <f>IF(_xlfn.NORM.INV(R583,C583,'Regressão Grupo 2'!$B$7)&lt;=0,0,IF(_xlfn.NORM.INV(R583,C583,'Regressão Grupo 2'!$B$7)&gt;100%,100%,_xlfn.NORM.INV(R583,C583,'Regressão Grupo 2'!$B$7)))</f>
        <v>0.49224172086922119</v>
      </c>
      <c r="F583" s="39">
        <f>IF(_xlfn.NORM.INV(S583,D583,'Regressão Grupo 2'!$B$7)&lt;=0,0,IF(_xlfn.NORM.INV(S583,D583,'Regressão Grupo 2'!$B$7)&gt;100%,100%,_xlfn.NORM.INV(S583,D583,'Regressão Grupo 2'!$B$7)))</f>
        <v>1</v>
      </c>
      <c r="G583" s="41">
        <v>1.9291973649858216E-2</v>
      </c>
      <c r="H583" s="41">
        <v>2.060947559175718E-2</v>
      </c>
      <c r="I583" s="40">
        <f t="shared" si="92"/>
        <v>189.84388289213518</v>
      </c>
      <c r="J583" s="40">
        <f t="shared" si="92"/>
        <v>0</v>
      </c>
      <c r="K583" s="36">
        <v>0.34316065733771295</v>
      </c>
      <c r="L583" s="42">
        <f t="shared" ref="L583:M598" si="96">L582</f>
        <v>19991.322604477216</v>
      </c>
      <c r="M583" s="42">
        <f t="shared" si="96"/>
        <v>0</v>
      </c>
      <c r="N583" s="42">
        <f t="shared" si="93"/>
        <v>6860.235406002681</v>
      </c>
      <c r="O583" s="36">
        <v>4.7085993795058574</v>
      </c>
      <c r="P583" s="42">
        <f t="shared" si="94"/>
        <v>4439.4770602639692</v>
      </c>
      <c r="Q583" s="42"/>
      <c r="R583">
        <v>0.49812311166722617</v>
      </c>
      <c r="S583">
        <v>0.96124149296548356</v>
      </c>
    </row>
    <row r="584" spans="1:19" x14ac:dyDescent="0.25">
      <c r="A584" s="40">
        <f t="shared" si="95"/>
        <v>64.229676878151835</v>
      </c>
      <c r="B584" s="40">
        <f t="shared" si="95"/>
        <v>32.933286051621081</v>
      </c>
      <c r="C584" s="41">
        <f t="shared" si="90"/>
        <v>0.49289226185293716</v>
      </c>
      <c r="D584" s="41">
        <f t="shared" si="91"/>
        <v>0.98069361229543572</v>
      </c>
      <c r="E584" s="39">
        <f>IF(_xlfn.NORM.INV(R584,C584,'Regressão Grupo 2'!$B$7)&lt;=0,0,IF(_xlfn.NORM.INV(R584,C584,'Regressão Grupo 2'!$B$7)&gt;100%,100%,_xlfn.NORM.INV(R584,C584,'Regressão Grupo 2'!$B$7)))</f>
        <v>0.4143622190967941</v>
      </c>
      <c r="F584" s="39">
        <f>IF(_xlfn.NORM.INV(S584,D584,'Regressão Grupo 2'!$B$7)&lt;=0,0,IF(_xlfn.NORM.INV(S584,D584,'Regressão Grupo 2'!$B$7)&gt;100%,100%,_xlfn.NORM.INV(S584,D584,'Regressão Grupo 2'!$B$7)))</f>
        <v>1</v>
      </c>
      <c r="G584" s="41">
        <v>2.8811398665521439E-2</v>
      </c>
      <c r="H584" s="41">
        <v>7.7894274474022487E-3</v>
      </c>
      <c r="I584" s="40">
        <f t="shared" si="92"/>
        <v>238.66350789758201</v>
      </c>
      <c r="J584" s="40">
        <f t="shared" si="92"/>
        <v>0</v>
      </c>
      <c r="K584" s="36">
        <v>0.37312164160752576</v>
      </c>
      <c r="L584" s="42">
        <f t="shared" si="96"/>
        <v>19991.322604477216</v>
      </c>
      <c r="M584" s="42">
        <f t="shared" si="96"/>
        <v>0</v>
      </c>
      <c r="N584" s="42">
        <f t="shared" si="93"/>
        <v>7459.1951080881763</v>
      </c>
      <c r="O584" s="36">
        <v>4.2256796843471944</v>
      </c>
      <c r="P584" s="42">
        <f t="shared" si="94"/>
        <v>6861.5693500619063</v>
      </c>
      <c r="Q584" s="42"/>
      <c r="R584">
        <v>0.28504287850581378</v>
      </c>
      <c r="S584">
        <v>0.83196508682515946</v>
      </c>
    </row>
    <row r="585" spans="1:19" x14ac:dyDescent="0.25">
      <c r="A585" s="40">
        <f t="shared" si="95"/>
        <v>64.229676878151835</v>
      </c>
      <c r="B585" s="40">
        <f t="shared" si="95"/>
        <v>32.933286051621081</v>
      </c>
      <c r="C585" s="41">
        <f t="shared" si="90"/>
        <v>0.49289226185293716</v>
      </c>
      <c r="D585" s="41">
        <f t="shared" si="91"/>
        <v>0.98069361229543572</v>
      </c>
      <c r="E585" s="39">
        <f>IF(_xlfn.NORM.INV(R585,C585,'Regressão Grupo 2'!$B$7)&lt;=0,0,IF(_xlfn.NORM.INV(R585,C585,'Regressão Grupo 2'!$B$7)&gt;100%,100%,_xlfn.NORM.INV(R585,C585,'Regressão Grupo 2'!$B$7)))</f>
        <v>0.3570775040894742</v>
      </c>
      <c r="F585" s="39">
        <f>IF(_xlfn.NORM.INV(S585,D585,'Regressão Grupo 2'!$B$7)&lt;=0,0,IF(_xlfn.NORM.INV(S585,D585,'Regressão Grupo 2'!$B$7)&gt;100%,100%,_xlfn.NORM.INV(S585,D585,'Regressão Grupo 2'!$B$7)))</f>
        <v>0.85095091258404532</v>
      </c>
      <c r="G585" s="41">
        <v>4.6565790764160515E-3</v>
      </c>
      <c r="H585" s="41">
        <v>1.8419586466580162E-2</v>
      </c>
      <c r="I585" s="40">
        <f t="shared" si="92"/>
        <v>33.240764261032965</v>
      </c>
      <c r="J585" s="40">
        <f t="shared" si="92"/>
        <v>0</v>
      </c>
      <c r="K585" s="36">
        <v>0.31921112577776944</v>
      </c>
      <c r="L585" s="42">
        <f t="shared" si="96"/>
        <v>19991.322604477216</v>
      </c>
      <c r="M585" s="42">
        <f t="shared" si="96"/>
        <v>0</v>
      </c>
      <c r="N585" s="42">
        <f t="shared" si="93"/>
        <v>6381.4525943617418</v>
      </c>
      <c r="O585" s="36">
        <v>5.6832089083431656</v>
      </c>
      <c r="P585" s="42">
        <f t="shared" si="94"/>
        <v>-4435.323254261215</v>
      </c>
      <c r="Q585" s="42"/>
      <c r="R585">
        <v>0.16299935911130101</v>
      </c>
      <c r="S585">
        <v>0.17404705954161198</v>
      </c>
    </row>
    <row r="586" spans="1:19" x14ac:dyDescent="0.25">
      <c r="A586" s="40">
        <f t="shared" si="95"/>
        <v>64.229676878151835</v>
      </c>
      <c r="B586" s="40">
        <f t="shared" si="95"/>
        <v>32.933286051621081</v>
      </c>
      <c r="C586" s="41">
        <f t="shared" si="90"/>
        <v>0.49289226185293716</v>
      </c>
      <c r="D586" s="41">
        <f t="shared" si="91"/>
        <v>0.98069361229543572</v>
      </c>
      <c r="E586" s="39">
        <f>IF(_xlfn.NORM.INV(R586,C586,'Regressão Grupo 2'!$B$7)&lt;=0,0,IF(_xlfn.NORM.INV(R586,C586,'Regressão Grupo 2'!$B$7)&gt;100%,100%,_xlfn.NORM.INV(R586,C586,'Regressão Grupo 2'!$B$7)))</f>
        <v>0.64857875022048761</v>
      </c>
      <c r="F586" s="39">
        <f>IF(_xlfn.NORM.INV(S586,D586,'Regressão Grupo 2'!$B$7)&lt;=0,0,IF(_xlfn.NORM.INV(S586,D586,'Regressão Grupo 2'!$B$7)&gt;100%,100%,_xlfn.NORM.INV(S586,D586,'Regressão Grupo 2'!$B$7)))</f>
        <v>1</v>
      </c>
      <c r="G586" s="41">
        <v>2.5490423934248264E-2</v>
      </c>
      <c r="H586" s="41">
        <v>5.1879394528952186E-3</v>
      </c>
      <c r="I586" s="40">
        <f t="shared" si="92"/>
        <v>330.50748650540015</v>
      </c>
      <c r="J586" s="40">
        <f t="shared" si="92"/>
        <v>0</v>
      </c>
      <c r="K586" s="36">
        <v>0.22807722363929087</v>
      </c>
      <c r="L586" s="42">
        <f t="shared" si="96"/>
        <v>19991.322604477216</v>
      </c>
      <c r="M586" s="42">
        <f t="shared" si="96"/>
        <v>0</v>
      </c>
      <c r="N586" s="42">
        <f t="shared" si="93"/>
        <v>4559.5653565065604</v>
      </c>
      <c r="O586" s="36">
        <v>7.1804650752833705</v>
      </c>
      <c r="P586" s="42">
        <f t="shared" si="94"/>
        <v>14295.626243573703</v>
      </c>
      <c r="Q586" s="42"/>
      <c r="R586">
        <v>0.869899594103824</v>
      </c>
      <c r="S586">
        <v>0.87038789025543994</v>
      </c>
    </row>
    <row r="587" spans="1:19" x14ac:dyDescent="0.25">
      <c r="A587" s="40">
        <f t="shared" si="95"/>
        <v>64.229676878151835</v>
      </c>
      <c r="B587" s="40">
        <f t="shared" si="95"/>
        <v>32.933286051621081</v>
      </c>
      <c r="C587" s="41">
        <f t="shared" si="90"/>
        <v>0.49289226185293716</v>
      </c>
      <c r="D587" s="41">
        <f t="shared" si="91"/>
        <v>0.98069361229543572</v>
      </c>
      <c r="E587" s="39">
        <f>IF(_xlfn.NORM.INV(R587,C587,'Regressão Grupo 2'!$B$7)&lt;=0,0,IF(_xlfn.NORM.INV(R587,C587,'Regressão Grupo 2'!$B$7)&gt;100%,100%,_xlfn.NORM.INV(R587,C587,'Regressão Grupo 2'!$B$7)))</f>
        <v>0.41240293771792402</v>
      </c>
      <c r="F587" s="39">
        <f>IF(_xlfn.NORM.INV(S587,D587,'Regressão Grupo 2'!$B$7)&lt;=0,0,IF(_xlfn.NORM.INV(S587,D587,'Regressão Grupo 2'!$B$7)&gt;100%,100%,_xlfn.NORM.INV(S587,D587,'Regressão Grupo 2'!$B$7)))</f>
        <v>0.90445225025138909</v>
      </c>
      <c r="G587" s="41">
        <v>2.0084570327408027E-2</v>
      </c>
      <c r="H587" s="41">
        <v>7.4918726754497197E-3</v>
      </c>
      <c r="I587" s="40">
        <f t="shared" si="92"/>
        <v>165.58684180642939</v>
      </c>
      <c r="J587" s="40">
        <f t="shared" si="92"/>
        <v>0</v>
      </c>
      <c r="K587" s="36">
        <v>0.24198720049594363</v>
      </c>
      <c r="L587" s="42">
        <f t="shared" si="96"/>
        <v>19991.322604477216</v>
      </c>
      <c r="M587" s="42">
        <f t="shared" si="96"/>
        <v>0</v>
      </c>
      <c r="N587" s="42">
        <f t="shared" si="93"/>
        <v>4837.6441912687178</v>
      </c>
      <c r="O587" s="36">
        <v>5.1725110459892649</v>
      </c>
      <c r="P587" s="42">
        <f t="shared" si="94"/>
        <v>4941.4453849176525</v>
      </c>
      <c r="Q587" s="42"/>
      <c r="R587">
        <v>0.28025147251808219</v>
      </c>
      <c r="S587">
        <v>0.29068880275887327</v>
      </c>
    </row>
    <row r="588" spans="1:19" x14ac:dyDescent="0.25">
      <c r="A588" s="40">
        <f t="shared" si="95"/>
        <v>64.229676878151835</v>
      </c>
      <c r="B588" s="40">
        <f t="shared" si="95"/>
        <v>32.933286051621081</v>
      </c>
      <c r="C588" s="41">
        <f t="shared" si="90"/>
        <v>0.49289226185293716</v>
      </c>
      <c r="D588" s="41">
        <f t="shared" si="91"/>
        <v>0.98069361229543572</v>
      </c>
      <c r="E588" s="39">
        <f>IF(_xlfn.NORM.INV(R588,C588,'Regressão Grupo 2'!$B$7)&lt;=0,0,IF(_xlfn.NORM.INV(R588,C588,'Regressão Grupo 2'!$B$7)&gt;100%,100%,_xlfn.NORM.INV(R588,C588,'Regressão Grupo 2'!$B$7)))</f>
        <v>0.5339976664457724</v>
      </c>
      <c r="F588" s="39">
        <f>IF(_xlfn.NORM.INV(S588,D588,'Regressão Grupo 2'!$B$7)&lt;=0,0,IF(_xlfn.NORM.INV(S588,D588,'Regressão Grupo 2'!$B$7)&gt;100%,100%,_xlfn.NORM.INV(S588,D588,'Regressão Grupo 2'!$B$7)))</f>
        <v>1</v>
      </c>
      <c r="G588" s="41">
        <v>1.9729521274568812E-2</v>
      </c>
      <c r="H588" s="41">
        <v>1.8275152314330214E-2</v>
      </c>
      <c r="I588" s="40">
        <f t="shared" si="92"/>
        <v>210.61894555473299</v>
      </c>
      <c r="J588" s="40">
        <f t="shared" si="92"/>
        <v>0</v>
      </c>
      <c r="K588" s="36">
        <v>0.34567310480428398</v>
      </c>
      <c r="L588" s="42">
        <f t="shared" si="96"/>
        <v>19991.322604477216</v>
      </c>
      <c r="M588" s="42">
        <f t="shared" si="96"/>
        <v>0</v>
      </c>
      <c r="N588" s="42">
        <f t="shared" si="93"/>
        <v>6910.4625538337041</v>
      </c>
      <c r="O588" s="36">
        <v>9.0539791983023523</v>
      </c>
      <c r="P588" s="42">
        <f t="shared" si="94"/>
        <v>4710.5847117429221</v>
      </c>
      <c r="Q588" s="42"/>
      <c r="R588">
        <v>0.61687063203833126</v>
      </c>
      <c r="S588">
        <v>0.83288064210943935</v>
      </c>
    </row>
    <row r="589" spans="1:19" x14ac:dyDescent="0.25">
      <c r="A589" s="40">
        <f t="shared" si="95"/>
        <v>64.229676878151835</v>
      </c>
      <c r="B589" s="40">
        <f t="shared" si="95"/>
        <v>32.933286051621081</v>
      </c>
      <c r="C589" s="41">
        <f t="shared" si="90"/>
        <v>0.49289226185293716</v>
      </c>
      <c r="D589" s="41">
        <f t="shared" si="91"/>
        <v>0.98069361229543572</v>
      </c>
      <c r="E589" s="39">
        <f>IF(_xlfn.NORM.INV(R589,C589,'Regressão Grupo 2'!$B$7)&lt;=0,0,IF(_xlfn.NORM.INV(R589,C589,'Regressão Grupo 2'!$B$7)&gt;100%,100%,_xlfn.NORM.INV(R589,C589,'Regressão Grupo 2'!$B$7)))</f>
        <v>0.4203308434526522</v>
      </c>
      <c r="F589" s="39">
        <f>IF(_xlfn.NORM.INV(S589,D589,'Regressão Grupo 2'!$B$7)&lt;=0,0,IF(_xlfn.NORM.INV(S589,D589,'Regressão Grupo 2'!$B$7)&gt;100%,100%,_xlfn.NORM.INV(S589,D589,'Regressão Grupo 2'!$B$7)))</f>
        <v>1</v>
      </c>
      <c r="G589" s="41">
        <v>1.0494127402411756E-2</v>
      </c>
      <c r="H589" s="41">
        <v>2.3822985024961787E-2</v>
      </c>
      <c r="I589" s="40">
        <f t="shared" si="92"/>
        <v>88.181832408403551</v>
      </c>
      <c r="J589" s="40">
        <f t="shared" si="92"/>
        <v>0</v>
      </c>
      <c r="K589" s="36">
        <v>0.25806026837578722</v>
      </c>
      <c r="L589" s="42">
        <f t="shared" si="96"/>
        <v>19991.322604477216</v>
      </c>
      <c r="M589" s="42">
        <f t="shared" si="96"/>
        <v>0</v>
      </c>
      <c r="N589" s="42">
        <f t="shared" si="93"/>
        <v>5158.9660764983319</v>
      </c>
      <c r="O589" s="36">
        <v>6.5700269518653842</v>
      </c>
      <c r="P589" s="42">
        <f t="shared" si="94"/>
        <v>-74.432489971321957</v>
      </c>
      <c r="Q589" s="42"/>
      <c r="R589">
        <v>0.29987487411114844</v>
      </c>
      <c r="S589">
        <v>0.95760979033783988</v>
      </c>
    </row>
    <row r="590" spans="1:19" x14ac:dyDescent="0.25">
      <c r="A590" s="40">
        <f t="shared" si="95"/>
        <v>64.229676878151835</v>
      </c>
      <c r="B590" s="40">
        <f t="shared" si="95"/>
        <v>32.933286051621081</v>
      </c>
      <c r="C590" s="41">
        <f t="shared" si="90"/>
        <v>0.49289226185293716</v>
      </c>
      <c r="D590" s="41">
        <f t="shared" si="91"/>
        <v>0.98069361229543572</v>
      </c>
      <c r="E590" s="39">
        <f>IF(_xlfn.NORM.INV(R590,C590,'Regressão Grupo 2'!$B$7)&lt;=0,0,IF(_xlfn.NORM.INV(R590,C590,'Regressão Grupo 2'!$B$7)&gt;100%,100%,_xlfn.NORM.INV(R590,C590,'Regressão Grupo 2'!$B$7)))</f>
        <v>0.31313774905386638</v>
      </c>
      <c r="F590" s="39">
        <f>IF(_xlfn.NORM.INV(S590,D590,'Regressão Grupo 2'!$B$7)&lt;=0,0,IF(_xlfn.NORM.INV(S590,D590,'Regressão Grupo 2'!$B$7)&gt;100%,100%,_xlfn.NORM.INV(S590,D590,'Regressão Grupo 2'!$B$7)))</f>
        <v>1</v>
      </c>
      <c r="G590" s="41">
        <v>1.5841870348786664E-2</v>
      </c>
      <c r="H590" s="41">
        <v>1.5932818454473089E-2</v>
      </c>
      <c r="I590" s="40">
        <f t="shared" si="92"/>
        <v>99.170706587885363</v>
      </c>
      <c r="J590" s="40">
        <f t="shared" si="92"/>
        <v>0</v>
      </c>
      <c r="K590" s="36">
        <v>0.17675113406259885</v>
      </c>
      <c r="L590" s="42">
        <f t="shared" si="96"/>
        <v>19991.322604477216</v>
      </c>
      <c r="M590" s="42">
        <f t="shared" si="96"/>
        <v>0</v>
      </c>
      <c r="N590" s="42">
        <f t="shared" si="93"/>
        <v>3533.4889417526151</v>
      </c>
      <c r="O590" s="36">
        <v>7.8033749541060882</v>
      </c>
      <c r="P590" s="42">
        <f t="shared" si="94"/>
        <v>2062.3472901963564</v>
      </c>
      <c r="Q590" s="42"/>
      <c r="R590">
        <v>9.680471205786309E-2</v>
      </c>
      <c r="S590">
        <v>0.97631763664662619</v>
      </c>
    </row>
    <row r="591" spans="1:19" x14ac:dyDescent="0.25">
      <c r="A591" s="40">
        <f t="shared" si="95"/>
        <v>64.229676878151835</v>
      </c>
      <c r="B591" s="40">
        <f t="shared" si="95"/>
        <v>32.933286051621081</v>
      </c>
      <c r="C591" s="41">
        <f t="shared" si="90"/>
        <v>0.49289226185293716</v>
      </c>
      <c r="D591" s="41">
        <f t="shared" si="91"/>
        <v>0.98069361229543572</v>
      </c>
      <c r="E591" s="39">
        <f>IF(_xlfn.NORM.INV(R591,C591,'Regressão Grupo 2'!$B$7)&lt;=0,0,IF(_xlfn.NORM.INV(R591,C591,'Regressão Grupo 2'!$B$7)&gt;100%,100%,_xlfn.NORM.INV(R591,C591,'Regressão Grupo 2'!$B$7)))</f>
        <v>0.25640856622418684</v>
      </c>
      <c r="F591" s="39">
        <f>IF(_xlfn.NORM.INV(S591,D591,'Regressão Grupo 2'!$B$7)&lt;=0,0,IF(_xlfn.NORM.INV(S591,D591,'Regressão Grupo 2'!$B$7)&gt;100%,100%,_xlfn.NORM.INV(S591,D591,'Regressão Grupo 2'!$B$7)))</f>
        <v>0.95729526002697263</v>
      </c>
      <c r="G591" s="41">
        <v>6.2275502415808396E-3</v>
      </c>
      <c r="H591" s="41">
        <v>1.6087308168490189E-2</v>
      </c>
      <c r="I591" s="40">
        <f t="shared" si="92"/>
        <v>31.922088529534964</v>
      </c>
      <c r="J591" s="40">
        <f t="shared" si="92"/>
        <v>0</v>
      </c>
      <c r="K591" s="36">
        <v>0.18917844486582239</v>
      </c>
      <c r="L591" s="42">
        <f t="shared" si="96"/>
        <v>19991.322604477216</v>
      </c>
      <c r="M591" s="42">
        <f t="shared" si="96"/>
        <v>0</v>
      </c>
      <c r="N591" s="42">
        <f t="shared" si="93"/>
        <v>3781.927321125962</v>
      </c>
      <c r="O591" s="36">
        <v>8.0670753358188652</v>
      </c>
      <c r="P591" s="42">
        <f t="shared" si="94"/>
        <v>-1989.0997826426121</v>
      </c>
      <c r="Q591" s="42"/>
      <c r="R591">
        <v>4.361095004119999E-2</v>
      </c>
      <c r="S591">
        <v>0.4328135013885922</v>
      </c>
    </row>
    <row r="592" spans="1:19" x14ac:dyDescent="0.25">
      <c r="A592" s="40">
        <f t="shared" si="95"/>
        <v>64.229676878151835</v>
      </c>
      <c r="B592" s="40">
        <f t="shared" si="95"/>
        <v>32.933286051621081</v>
      </c>
      <c r="C592" s="41">
        <f t="shared" si="90"/>
        <v>0.49289226185293716</v>
      </c>
      <c r="D592" s="41">
        <f t="shared" si="91"/>
        <v>0.98069361229543572</v>
      </c>
      <c r="E592" s="39">
        <f>IF(_xlfn.NORM.INV(R592,C592,'Regressão Grupo 2'!$B$7)&lt;=0,0,IF(_xlfn.NORM.INV(R592,C592,'Regressão Grupo 2'!$B$7)&gt;100%,100%,_xlfn.NORM.INV(R592,C592,'Regressão Grupo 2'!$B$7)))</f>
        <v>0.64624825368467187</v>
      </c>
      <c r="F592" s="39">
        <f>IF(_xlfn.NORM.INV(S592,D592,'Regressão Grupo 2'!$B$7)&lt;=0,0,IF(_xlfn.NORM.INV(S592,D592,'Regressão Grupo 2'!$B$7)&gt;100%,100%,_xlfn.NORM.INV(S592,D592,'Regressão Grupo 2'!$B$7)))</f>
        <v>0.83086805855468482</v>
      </c>
      <c r="G592" s="41">
        <v>2.6950444153778716E-2</v>
      </c>
      <c r="H592" s="41">
        <v>1.4513919709622616E-2</v>
      </c>
      <c r="I592" s="40">
        <f t="shared" si="92"/>
        <v>348.18241800901188</v>
      </c>
      <c r="J592" s="40">
        <f t="shared" si="92"/>
        <v>0</v>
      </c>
      <c r="K592" s="36">
        <v>0.34783015860798017</v>
      </c>
      <c r="L592" s="42">
        <f t="shared" si="96"/>
        <v>19991.322604477216</v>
      </c>
      <c r="M592" s="42">
        <f t="shared" si="96"/>
        <v>0</v>
      </c>
      <c r="N592" s="42">
        <f t="shared" si="93"/>
        <v>6953.5849122986092</v>
      </c>
      <c r="O592" s="36">
        <v>6.5784296201349761</v>
      </c>
      <c r="P592" s="42">
        <f t="shared" si="94"/>
        <v>13119.565759233117</v>
      </c>
      <c r="Q592" s="42"/>
      <c r="R592">
        <v>0.86629840998565633</v>
      </c>
      <c r="S592">
        <v>0.1392864772484512</v>
      </c>
    </row>
    <row r="593" spans="1:19" x14ac:dyDescent="0.25">
      <c r="A593" s="40">
        <f t="shared" si="95"/>
        <v>64.229676878151835</v>
      </c>
      <c r="B593" s="40">
        <f t="shared" si="95"/>
        <v>32.933286051621081</v>
      </c>
      <c r="C593" s="41">
        <f t="shared" si="90"/>
        <v>0.49289226185293716</v>
      </c>
      <c r="D593" s="41">
        <f t="shared" si="91"/>
        <v>0.98069361229543572</v>
      </c>
      <c r="E593" s="39">
        <f>IF(_xlfn.NORM.INV(R593,C593,'Regressão Grupo 2'!$B$7)&lt;=0,0,IF(_xlfn.NORM.INV(R593,C593,'Regressão Grupo 2'!$B$7)&gt;100%,100%,_xlfn.NORM.INV(R593,C593,'Regressão Grupo 2'!$B$7)))</f>
        <v>0.75427435537808152</v>
      </c>
      <c r="F593" s="39">
        <f>IF(_xlfn.NORM.INV(S593,D593,'Regressão Grupo 2'!$B$7)&lt;=0,0,IF(_xlfn.NORM.INV(S593,D593,'Regressão Grupo 2'!$B$7)&gt;100%,100%,_xlfn.NORM.INV(S593,D593,'Regressão Grupo 2'!$B$7)))</f>
        <v>1</v>
      </c>
      <c r="G593" s="41">
        <v>2.2093337088650657E-2</v>
      </c>
      <c r="H593" s="41">
        <v>1.1342103949046084E-2</v>
      </c>
      <c r="I593" s="40">
        <f t="shared" si="92"/>
        <v>333.14414789771348</v>
      </c>
      <c r="J593" s="40">
        <f t="shared" si="92"/>
        <v>0</v>
      </c>
      <c r="K593" s="36">
        <v>0.31952107776064076</v>
      </c>
      <c r="L593" s="42">
        <f t="shared" si="96"/>
        <v>19991.322604477216</v>
      </c>
      <c r="M593" s="42">
        <f t="shared" si="96"/>
        <v>0</v>
      </c>
      <c r="N593" s="42">
        <f t="shared" si="93"/>
        <v>6387.64894444322</v>
      </c>
      <c r="O593" s="36">
        <v>4.5118894860124481</v>
      </c>
      <c r="P593" s="42">
        <f t="shared" si="94"/>
        <v>13506.982450647873</v>
      </c>
      <c r="Q593" s="42"/>
      <c r="R593">
        <v>0.97064119388409065</v>
      </c>
      <c r="S593">
        <v>0.91363261818292796</v>
      </c>
    </row>
    <row r="594" spans="1:19" x14ac:dyDescent="0.25">
      <c r="A594" s="40">
        <f t="shared" si="95"/>
        <v>64.229676878151835</v>
      </c>
      <c r="B594" s="40">
        <f t="shared" si="95"/>
        <v>32.933286051621081</v>
      </c>
      <c r="C594" s="41">
        <f t="shared" si="90"/>
        <v>0.49289226185293716</v>
      </c>
      <c r="D594" s="41">
        <f t="shared" si="91"/>
        <v>0.98069361229543572</v>
      </c>
      <c r="E594" s="39">
        <f>IF(_xlfn.NORM.INV(R594,C594,'Regressão Grupo 2'!$B$7)&lt;=0,0,IF(_xlfn.NORM.INV(R594,C594,'Regressão Grupo 2'!$B$7)&gt;100%,100%,_xlfn.NORM.INV(R594,C594,'Regressão Grupo 2'!$B$7)))</f>
        <v>0.3227454341317576</v>
      </c>
      <c r="F594" s="39">
        <f>IF(_xlfn.NORM.INV(S594,D594,'Regressão Grupo 2'!$B$7)&lt;=0,0,IF(_xlfn.NORM.INV(S594,D594,'Regressão Grupo 2'!$B$7)&gt;100%,100%,_xlfn.NORM.INV(S594,D594,'Regressão Grupo 2'!$B$7)))</f>
        <v>1</v>
      </c>
      <c r="G594" s="41">
        <v>2.1325485012739565E-2</v>
      </c>
      <c r="H594" s="41">
        <v>2.4336845733849553E-2</v>
      </c>
      <c r="I594" s="40">
        <f t="shared" si="92"/>
        <v>137.59433443464872</v>
      </c>
      <c r="J594" s="40">
        <f t="shared" si="92"/>
        <v>0</v>
      </c>
      <c r="K594" s="36">
        <v>0.32560539055064608</v>
      </c>
      <c r="L594" s="42">
        <f t="shared" si="96"/>
        <v>19991.322604477216</v>
      </c>
      <c r="M594" s="42">
        <f t="shared" si="96"/>
        <v>0</v>
      </c>
      <c r="N594" s="42">
        <f t="shared" si="93"/>
        <v>6509.2824042547636</v>
      </c>
      <c r="O594" s="36">
        <v>6.9259254576180789</v>
      </c>
      <c r="P594" s="42">
        <f t="shared" si="94"/>
        <v>1375.3891330621345</v>
      </c>
      <c r="Q594" s="42"/>
      <c r="R594">
        <v>0.10925626392406995</v>
      </c>
      <c r="S594">
        <v>0.9421674245429853</v>
      </c>
    </row>
    <row r="595" spans="1:19" x14ac:dyDescent="0.25">
      <c r="A595" s="40">
        <f t="shared" si="95"/>
        <v>64.229676878151835</v>
      </c>
      <c r="B595" s="40">
        <f t="shared" si="95"/>
        <v>32.933286051621081</v>
      </c>
      <c r="C595" s="41">
        <f t="shared" si="90"/>
        <v>0.49289226185293716</v>
      </c>
      <c r="D595" s="41">
        <f t="shared" si="91"/>
        <v>0.98069361229543572</v>
      </c>
      <c r="E595" s="39">
        <f>IF(_xlfn.NORM.INV(R595,C595,'Regressão Grupo 2'!$B$7)&lt;=0,0,IF(_xlfn.NORM.INV(R595,C595,'Regressão Grupo 2'!$B$7)&gt;100%,100%,_xlfn.NORM.INV(R595,C595,'Regressão Grupo 2'!$B$7)))</f>
        <v>0.37796650659492653</v>
      </c>
      <c r="F595" s="39">
        <f>IF(_xlfn.NORM.INV(S595,D595,'Regressão Grupo 2'!$B$7)&lt;=0,0,IF(_xlfn.NORM.INV(S595,D595,'Regressão Grupo 2'!$B$7)&gt;100%,100%,_xlfn.NORM.INV(S595,D595,'Regressão Grupo 2'!$B$7)))</f>
        <v>1</v>
      </c>
      <c r="G595" s="41">
        <v>2.1199806649533207E-2</v>
      </c>
      <c r="H595" s="41">
        <v>1.0436390640786027E-2</v>
      </c>
      <c r="I595" s="40">
        <f t="shared" si="92"/>
        <v>160.186806815095</v>
      </c>
      <c r="J595" s="40">
        <f t="shared" si="92"/>
        <v>0</v>
      </c>
      <c r="K595" s="36">
        <v>0.4390727516385689</v>
      </c>
      <c r="L595" s="42">
        <f t="shared" si="96"/>
        <v>19991.322604477216</v>
      </c>
      <c r="M595" s="42">
        <f t="shared" si="96"/>
        <v>0</v>
      </c>
      <c r="N595" s="42">
        <f t="shared" si="93"/>
        <v>8777.6450248421334</v>
      </c>
      <c r="O595" s="36">
        <v>8.06262154526258</v>
      </c>
      <c r="P595" s="42">
        <f t="shared" si="94"/>
        <v>219.57621714014931</v>
      </c>
      <c r="Q595" s="42"/>
      <c r="R595">
        <v>0.20294808801538133</v>
      </c>
      <c r="S595">
        <v>0.58500930814539021</v>
      </c>
    </row>
    <row r="596" spans="1:19" x14ac:dyDescent="0.25">
      <c r="A596" s="40">
        <f t="shared" si="95"/>
        <v>64.229676878151835</v>
      </c>
      <c r="B596" s="40">
        <f t="shared" si="95"/>
        <v>32.933286051621081</v>
      </c>
      <c r="C596" s="41">
        <f t="shared" si="90"/>
        <v>0.49289226185293716</v>
      </c>
      <c r="D596" s="41">
        <f t="shared" si="91"/>
        <v>0.98069361229543572</v>
      </c>
      <c r="E596" s="39">
        <f>IF(_xlfn.NORM.INV(R596,C596,'Regressão Grupo 2'!$B$7)&lt;=0,0,IF(_xlfn.NORM.INV(R596,C596,'Regressão Grupo 2'!$B$7)&gt;100%,100%,_xlfn.NORM.INV(R596,C596,'Regressão Grupo 2'!$B$7)))</f>
        <v>0.32826946287872516</v>
      </c>
      <c r="F596" s="39">
        <f>IF(_xlfn.NORM.INV(S596,D596,'Regressão Grupo 2'!$B$7)&lt;=0,0,IF(_xlfn.NORM.INV(S596,D596,'Regressão Grupo 2'!$B$7)&gt;100%,100%,_xlfn.NORM.INV(S596,D596,'Regressão Grupo 2'!$B$7)))</f>
        <v>0.9712985350466703</v>
      </c>
      <c r="G596" s="41">
        <v>2.0335737534219592E-2</v>
      </c>
      <c r="H596" s="41">
        <v>2.5604270589770297E-2</v>
      </c>
      <c r="I596" s="40">
        <f t="shared" si="92"/>
        <v>133.4541059162579</v>
      </c>
      <c r="J596" s="40">
        <f t="shared" si="92"/>
        <v>0</v>
      </c>
      <c r="K596" s="36">
        <v>0.46495677891874093</v>
      </c>
      <c r="L596" s="42">
        <f t="shared" si="96"/>
        <v>19991.322604477216</v>
      </c>
      <c r="M596" s="42">
        <f t="shared" si="96"/>
        <v>0</v>
      </c>
      <c r="N596" s="42">
        <f t="shared" si="93"/>
        <v>9295.1009645031409</v>
      </c>
      <c r="O596" s="36">
        <v>9.366116669541908</v>
      </c>
      <c r="P596" s="42">
        <f t="shared" si="94"/>
        <v>-1973.3335894803186</v>
      </c>
      <c r="Q596" s="42"/>
      <c r="R596">
        <v>0.11691640980254524</v>
      </c>
      <c r="S596">
        <v>0.47291482284005248</v>
      </c>
    </row>
    <row r="597" spans="1:19" x14ac:dyDescent="0.25">
      <c r="A597" s="40">
        <f t="shared" si="95"/>
        <v>64.229676878151835</v>
      </c>
      <c r="B597" s="40">
        <f t="shared" si="95"/>
        <v>32.933286051621081</v>
      </c>
      <c r="C597" s="41">
        <f t="shared" si="90"/>
        <v>0.49289226185293716</v>
      </c>
      <c r="D597" s="41">
        <f t="shared" si="91"/>
        <v>0.98069361229543572</v>
      </c>
      <c r="E597" s="39">
        <f>IF(_xlfn.NORM.INV(R597,C597,'Regressão Grupo 2'!$B$7)&lt;=0,0,IF(_xlfn.NORM.INV(R597,C597,'Regressão Grupo 2'!$B$7)&gt;100%,100%,_xlfn.NORM.INV(R597,C597,'Regressão Grupo 2'!$B$7)))</f>
        <v>0.30932693827837876</v>
      </c>
      <c r="F597" s="39">
        <f>IF(_xlfn.NORM.INV(S597,D597,'Regressão Grupo 2'!$B$7)&lt;=0,0,IF(_xlfn.NORM.INV(S597,D597,'Regressão Grupo 2'!$B$7)&gt;100%,100%,_xlfn.NORM.INV(S597,D597,'Regressão Grupo 2'!$B$7)))</f>
        <v>0.74650577147102937</v>
      </c>
      <c r="G597" s="41">
        <v>1.4602348147299717E-2</v>
      </c>
      <c r="H597" s="41">
        <v>6.1633347926628957E-3</v>
      </c>
      <c r="I597" s="40">
        <f t="shared" si="92"/>
        <v>90.298797956835159</v>
      </c>
      <c r="J597" s="40">
        <f t="shared" si="92"/>
        <v>0</v>
      </c>
      <c r="K597" s="36">
        <v>0.26477261857175682</v>
      </c>
      <c r="L597" s="42">
        <f t="shared" si="96"/>
        <v>19991.322604477216</v>
      </c>
      <c r="M597" s="42">
        <f t="shared" si="96"/>
        <v>0</v>
      </c>
      <c r="N597" s="42">
        <f t="shared" si="93"/>
        <v>5293.1548347001863</v>
      </c>
      <c r="O597" s="36">
        <v>3.3650532221636249</v>
      </c>
      <c r="P597" s="42">
        <f t="shared" si="94"/>
        <v>202.84751953070281</v>
      </c>
      <c r="Q597" s="42"/>
      <c r="R597">
        <v>9.2165898617511524E-2</v>
      </c>
      <c r="S597">
        <v>4.5167394024475845E-2</v>
      </c>
    </row>
    <row r="598" spans="1:19" x14ac:dyDescent="0.25">
      <c r="A598" s="40">
        <f t="shared" si="95"/>
        <v>64.229676878151835</v>
      </c>
      <c r="B598" s="40">
        <f t="shared" si="95"/>
        <v>32.933286051621081</v>
      </c>
      <c r="C598" s="41">
        <f t="shared" si="90"/>
        <v>0.49289226185293716</v>
      </c>
      <c r="D598" s="41">
        <f t="shared" si="91"/>
        <v>0.98069361229543572</v>
      </c>
      <c r="E598" s="39">
        <f>IF(_xlfn.NORM.INV(R598,C598,'Regressão Grupo 2'!$B$7)&lt;=0,0,IF(_xlfn.NORM.INV(R598,C598,'Regressão Grupo 2'!$B$7)&gt;100%,100%,_xlfn.NORM.INV(R598,C598,'Regressão Grupo 2'!$B$7)))</f>
        <v>0.54105219360643508</v>
      </c>
      <c r="F598" s="39">
        <f>IF(_xlfn.NORM.INV(S598,D598,'Regressão Grupo 2'!$B$7)&lt;=0,0,IF(_xlfn.NORM.INV(S598,D598,'Regressão Grupo 2'!$B$7)&gt;100%,100%,_xlfn.NORM.INV(S598,D598,'Regressão Grupo 2'!$B$7)))</f>
        <v>0.93339817028545347</v>
      </c>
      <c r="G598" s="41">
        <v>2.0616490411409335E-2</v>
      </c>
      <c r="H598" s="41">
        <v>2.566350167267184E-2</v>
      </c>
      <c r="I598" s="40">
        <f t="shared" si="92"/>
        <v>222.99515437797746</v>
      </c>
      <c r="J598" s="40">
        <f t="shared" si="92"/>
        <v>0</v>
      </c>
      <c r="K598" s="36">
        <v>0.40130984320903973</v>
      </c>
      <c r="L598" s="42">
        <f t="shared" si="96"/>
        <v>19991.322604477216</v>
      </c>
      <c r="M598" s="42">
        <f t="shared" si="96"/>
        <v>0</v>
      </c>
      <c r="N598" s="42">
        <f t="shared" si="93"/>
        <v>8022.7145399440833</v>
      </c>
      <c r="O598" s="36">
        <v>2.606299341297877</v>
      </c>
      <c r="P598" s="42">
        <f t="shared" si="94"/>
        <v>5719.0000471790536</v>
      </c>
      <c r="Q598" s="42"/>
      <c r="R598">
        <v>0.63618884853663749</v>
      </c>
      <c r="S598">
        <v>0.36616107669301429</v>
      </c>
    </row>
    <row r="599" spans="1:19" x14ac:dyDescent="0.25">
      <c r="A599" s="40">
        <f t="shared" si="95"/>
        <v>64.229676878151835</v>
      </c>
      <c r="B599" s="40">
        <f t="shared" si="95"/>
        <v>32.933286051621081</v>
      </c>
      <c r="C599" s="41">
        <f t="shared" si="90"/>
        <v>0.49289226185293716</v>
      </c>
      <c r="D599" s="41">
        <f t="shared" si="91"/>
        <v>0.98069361229543572</v>
      </c>
      <c r="E599" s="39">
        <f>IF(_xlfn.NORM.INV(R599,C599,'Regressão Grupo 2'!$B$7)&lt;=0,0,IF(_xlfn.NORM.INV(R599,C599,'Regressão Grupo 2'!$B$7)&gt;100%,100%,_xlfn.NORM.INV(R599,C599,'Regressão Grupo 2'!$B$7)))</f>
        <v>0.53082418657965369</v>
      </c>
      <c r="F599" s="39">
        <f>IF(_xlfn.NORM.INV(S599,D599,'Regressão Grupo 2'!$B$7)&lt;=0,0,IF(_xlfn.NORM.INV(S599,D599,'Regressão Grupo 2'!$B$7)&gt;100%,100%,_xlfn.NORM.INV(S599,D599,'Regressão Grupo 2'!$B$7)))</f>
        <v>0.89345282811911586</v>
      </c>
      <c r="G599" s="41">
        <v>7.0624612452701207E-4</v>
      </c>
      <c r="H599" s="41">
        <v>8.2214760556316886E-3</v>
      </c>
      <c r="I599" s="40">
        <f t="shared" si="92"/>
        <v>7.4945974008273897</v>
      </c>
      <c r="J599" s="40">
        <f t="shared" si="92"/>
        <v>0</v>
      </c>
      <c r="K599" s="36">
        <v>0.21051762601685031</v>
      </c>
      <c r="L599" s="42">
        <f t="shared" ref="L599:M614" si="97">L598</f>
        <v>19991.322604477216</v>
      </c>
      <c r="M599" s="42">
        <f t="shared" si="97"/>
        <v>0</v>
      </c>
      <c r="N599" s="42">
        <f t="shared" si="93"/>
        <v>4208.5257756315405</v>
      </c>
      <c r="O599" s="36">
        <v>6.7649059272774625</v>
      </c>
      <c r="P599" s="42">
        <f t="shared" si="94"/>
        <v>-3777.8504526239763</v>
      </c>
      <c r="Q599" s="42"/>
      <c r="R599">
        <v>0.60808130130924409</v>
      </c>
      <c r="S599">
        <v>0.2640461439863277</v>
      </c>
    </row>
    <row r="600" spans="1:19" x14ac:dyDescent="0.25">
      <c r="A600" s="40">
        <f t="shared" si="95"/>
        <v>64.229676878151835</v>
      </c>
      <c r="B600" s="40">
        <f t="shared" si="95"/>
        <v>32.933286051621081</v>
      </c>
      <c r="C600" s="41">
        <f t="shared" si="90"/>
        <v>0.49289226185293716</v>
      </c>
      <c r="D600" s="41">
        <f t="shared" si="91"/>
        <v>0.98069361229543572</v>
      </c>
      <c r="E600" s="39">
        <f>IF(_xlfn.NORM.INV(R600,C600,'Regressão Grupo 2'!$B$7)&lt;=0,0,IF(_xlfn.NORM.INV(R600,C600,'Regressão Grupo 2'!$B$7)&gt;100%,100%,_xlfn.NORM.INV(R600,C600,'Regressão Grupo 2'!$B$7)))</f>
        <v>0.53479436527354873</v>
      </c>
      <c r="F600" s="39">
        <f>IF(_xlfn.NORM.INV(S600,D600,'Regressão Grupo 2'!$B$7)&lt;=0,0,IF(_xlfn.NORM.INV(S600,D600,'Regressão Grupo 2'!$B$7)&gt;100%,100%,_xlfn.NORM.INV(S600,D600,'Regressão Grupo 2'!$B$7)))</f>
        <v>1</v>
      </c>
      <c r="G600" s="41">
        <v>2.1686799846105831E-2</v>
      </c>
      <c r="H600" s="41">
        <v>1.9053438565660122E-2</v>
      </c>
      <c r="I600" s="40">
        <f t="shared" si="92"/>
        <v>231.85892692477174</v>
      </c>
      <c r="J600" s="40">
        <f t="shared" si="92"/>
        <v>0</v>
      </c>
      <c r="K600" s="36">
        <v>0.28124715868597305</v>
      </c>
      <c r="L600" s="42">
        <f t="shared" si="97"/>
        <v>19991.322604477216</v>
      </c>
      <c r="M600" s="42">
        <f t="shared" si="97"/>
        <v>0</v>
      </c>
      <c r="N600" s="42">
        <f t="shared" si="93"/>
        <v>5622.5026808838838</v>
      </c>
      <c r="O600" s="36">
        <v>4.079134272958175</v>
      </c>
      <c r="P600" s="42">
        <f t="shared" si="94"/>
        <v>8323.9375814990817</v>
      </c>
      <c r="Q600" s="42"/>
      <c r="R600">
        <v>0.61906796472060299</v>
      </c>
      <c r="S600">
        <v>0.68053224280526137</v>
      </c>
    </row>
    <row r="601" spans="1:19" x14ac:dyDescent="0.25">
      <c r="A601" s="40">
        <f t="shared" si="95"/>
        <v>64.229676878151835</v>
      </c>
      <c r="B601" s="40">
        <f t="shared" si="95"/>
        <v>32.933286051621081</v>
      </c>
      <c r="C601" s="41">
        <f t="shared" si="90"/>
        <v>0.49289226185293716</v>
      </c>
      <c r="D601" s="41">
        <f t="shared" si="91"/>
        <v>0.98069361229543572</v>
      </c>
      <c r="E601" s="39">
        <f>IF(_xlfn.NORM.INV(R601,C601,'Regressão Grupo 2'!$B$7)&lt;=0,0,IF(_xlfn.NORM.INV(R601,C601,'Regressão Grupo 2'!$B$7)&gt;100%,100%,_xlfn.NORM.INV(R601,C601,'Regressão Grupo 2'!$B$7)))</f>
        <v>0.43248105821032784</v>
      </c>
      <c r="F601" s="39">
        <f>IF(_xlfn.NORM.INV(S601,D601,'Regressão Grupo 2'!$B$7)&lt;=0,0,IF(_xlfn.NORM.INV(S601,D601,'Regressão Grupo 2'!$B$7)&gt;100%,100%,_xlfn.NORM.INV(S601,D601,'Regressão Grupo 2'!$B$7)))</f>
        <v>1</v>
      </c>
      <c r="G601" s="41">
        <v>1.4376067660944675E-2</v>
      </c>
      <c r="H601" s="41">
        <v>1.4455234682915362E-2</v>
      </c>
      <c r="I601" s="40">
        <f t="shared" si="92"/>
        <v>124.29358845922053</v>
      </c>
      <c r="J601" s="40">
        <f t="shared" si="92"/>
        <v>0</v>
      </c>
      <c r="K601" s="36">
        <v>0.43371107705018003</v>
      </c>
      <c r="L601" s="42">
        <f t="shared" si="97"/>
        <v>19991.322604477216</v>
      </c>
      <c r="M601" s="42">
        <f t="shared" si="97"/>
        <v>0</v>
      </c>
      <c r="N601" s="42">
        <f t="shared" si="93"/>
        <v>8670.4580584454234</v>
      </c>
      <c r="O601" s="36">
        <v>3.874924753586563</v>
      </c>
      <c r="P601" s="42">
        <f t="shared" si="94"/>
        <v>-1168.7493363164413</v>
      </c>
      <c r="Q601" s="42"/>
      <c r="R601">
        <v>0.33109530930509357</v>
      </c>
      <c r="S601">
        <v>0.73149815363017667</v>
      </c>
    </row>
    <row r="602" spans="1:19" x14ac:dyDescent="0.25">
      <c r="A602" s="40">
        <f t="shared" si="95"/>
        <v>64.229676878151835</v>
      </c>
      <c r="B602" s="40">
        <f t="shared" si="95"/>
        <v>32.933286051621081</v>
      </c>
      <c r="C602" s="41">
        <f t="shared" si="90"/>
        <v>0.49289226185293716</v>
      </c>
      <c r="D602" s="41">
        <f t="shared" si="91"/>
        <v>0.98069361229543572</v>
      </c>
      <c r="E602" s="39">
        <f>IF(_xlfn.NORM.INV(R602,C602,'Regressão Grupo 2'!$B$7)&lt;=0,0,IF(_xlfn.NORM.INV(R602,C602,'Regressão Grupo 2'!$B$7)&gt;100%,100%,_xlfn.NORM.INV(R602,C602,'Regressão Grupo 2'!$B$7)))</f>
        <v>0.45903029648546734</v>
      </c>
      <c r="F602" s="39">
        <f>IF(_xlfn.NORM.INV(S602,D602,'Regressão Grupo 2'!$B$7)&lt;=0,0,IF(_xlfn.NORM.INV(S602,D602,'Regressão Grupo 2'!$B$7)&gt;100%,100%,_xlfn.NORM.INV(S602,D602,'Regressão Grupo 2'!$B$7)))</f>
        <v>0.97424406691685583</v>
      </c>
      <c r="G602" s="41">
        <v>1.0463189313597581E-2</v>
      </c>
      <c r="H602" s="41">
        <v>1.7794829186533179E-2</v>
      </c>
      <c r="I602" s="40">
        <f t="shared" si="92"/>
        <v>96.016741011833915</v>
      </c>
      <c r="J602" s="40">
        <f t="shared" si="92"/>
        <v>0</v>
      </c>
      <c r="K602" s="36">
        <v>0.28182037319683412</v>
      </c>
      <c r="L602" s="42">
        <f t="shared" si="97"/>
        <v>19991.322604477216</v>
      </c>
      <c r="M602" s="42">
        <f t="shared" si="97"/>
        <v>0</v>
      </c>
      <c r="N602" s="42">
        <f t="shared" si="93"/>
        <v>5633.9619970920749</v>
      </c>
      <c r="O602" s="36">
        <v>4.5816328286682237</v>
      </c>
      <c r="P602" s="42">
        <f t="shared" si="94"/>
        <v>93.248800269654566</v>
      </c>
      <c r="Q602" s="42"/>
      <c r="R602">
        <v>0.40327158421582687</v>
      </c>
      <c r="S602">
        <v>0.48139896847437968</v>
      </c>
    </row>
    <row r="603" spans="1:19" x14ac:dyDescent="0.25">
      <c r="A603" s="40">
        <f t="shared" si="95"/>
        <v>64.229676878151835</v>
      </c>
      <c r="B603" s="40">
        <f t="shared" si="95"/>
        <v>32.933286051621081</v>
      </c>
      <c r="C603" s="41">
        <f t="shared" si="90"/>
        <v>0.49289226185293716</v>
      </c>
      <c r="D603" s="41">
        <f t="shared" si="91"/>
        <v>0.98069361229543572</v>
      </c>
      <c r="E603" s="39">
        <f>IF(_xlfn.NORM.INV(R603,C603,'Regressão Grupo 2'!$B$7)&lt;=0,0,IF(_xlfn.NORM.INV(R603,C603,'Regressão Grupo 2'!$B$7)&gt;100%,100%,_xlfn.NORM.INV(R603,C603,'Regressão Grupo 2'!$B$7)))</f>
        <v>0.43175872971585483</v>
      </c>
      <c r="F603" s="39">
        <f>IF(_xlfn.NORM.INV(S603,D603,'Regressão Grupo 2'!$B$7)&lt;=0,0,IF(_xlfn.NORM.INV(S603,D603,'Regressão Grupo 2'!$B$7)&gt;100%,100%,_xlfn.NORM.INV(S603,D603,'Regressão Grupo 2'!$B$7)))</f>
        <v>1</v>
      </c>
      <c r="G603" s="41">
        <v>2.2304152299157408E-2</v>
      </c>
      <c r="H603" s="41">
        <v>1.4336909539220899E-2</v>
      </c>
      <c r="I603" s="40">
        <f t="shared" si="92"/>
        <v>192.5166858544232</v>
      </c>
      <c r="J603" s="40">
        <f t="shared" si="92"/>
        <v>0</v>
      </c>
      <c r="K603" s="36">
        <v>0.42080680220944511</v>
      </c>
      <c r="L603" s="42">
        <f t="shared" si="97"/>
        <v>19991.322604477216</v>
      </c>
      <c r="M603" s="42">
        <f t="shared" si="97"/>
        <v>0</v>
      </c>
      <c r="N603" s="42">
        <f t="shared" si="93"/>
        <v>8412.4845371274532</v>
      </c>
      <c r="O603" s="36">
        <v>6.4852993997249158</v>
      </c>
      <c r="P603" s="42">
        <f t="shared" si="94"/>
        <v>2704.2716417460924</v>
      </c>
      <c r="Q603" s="42"/>
      <c r="R603">
        <v>0.32920316171758174</v>
      </c>
      <c r="S603">
        <v>0.95083468123416848</v>
      </c>
    </row>
    <row r="604" spans="1:19" x14ac:dyDescent="0.25">
      <c r="A604" s="40">
        <f t="shared" si="95"/>
        <v>64.229676878151835</v>
      </c>
      <c r="B604" s="40">
        <f t="shared" si="95"/>
        <v>32.933286051621081</v>
      </c>
      <c r="C604" s="41">
        <f t="shared" si="90"/>
        <v>0.49289226185293716</v>
      </c>
      <c r="D604" s="41">
        <f t="shared" si="91"/>
        <v>0.98069361229543572</v>
      </c>
      <c r="E604" s="39">
        <f>IF(_xlfn.NORM.INV(R604,C604,'Regressão Grupo 2'!$B$7)&lt;=0,0,IF(_xlfn.NORM.INV(R604,C604,'Regressão Grupo 2'!$B$7)&gt;100%,100%,_xlfn.NORM.INV(R604,C604,'Regressão Grupo 2'!$B$7)))</f>
        <v>0.63983940241167003</v>
      </c>
      <c r="F604" s="39">
        <f>IF(_xlfn.NORM.INV(S604,D604,'Regressão Grupo 2'!$B$7)&lt;=0,0,IF(_xlfn.NORM.INV(S604,D604,'Regressão Grupo 2'!$B$7)&gt;100%,100%,_xlfn.NORM.INV(S604,D604,'Regressão Grupo 2'!$B$7)))</f>
        <v>0.99279424807988992</v>
      </c>
      <c r="G604" s="41">
        <v>1.6443988447733211E-2</v>
      </c>
      <c r="H604" s="41">
        <v>1.4395311766624121E-2</v>
      </c>
      <c r="I604" s="40">
        <f t="shared" si="92"/>
        <v>210.33893551436046</v>
      </c>
      <c r="J604" s="40">
        <f t="shared" si="92"/>
        <v>0</v>
      </c>
      <c r="K604" s="36">
        <v>0.23729605722232663</v>
      </c>
      <c r="L604" s="42">
        <f t="shared" si="97"/>
        <v>19991.322604477216</v>
      </c>
      <c r="M604" s="42">
        <f t="shared" si="97"/>
        <v>0</v>
      </c>
      <c r="N604" s="42">
        <f t="shared" si="93"/>
        <v>4743.8620327020171</v>
      </c>
      <c r="O604" s="36">
        <v>3.8857783941806274</v>
      </c>
      <c r="P604" s="42">
        <f t="shared" si="94"/>
        <v>7948.809339203116</v>
      </c>
      <c r="Q604" s="42"/>
      <c r="R604">
        <v>0.85604419080172123</v>
      </c>
      <c r="S604">
        <v>0.5348673970763268</v>
      </c>
    </row>
    <row r="605" spans="1:19" x14ac:dyDescent="0.25">
      <c r="A605" s="40">
        <f t="shared" si="95"/>
        <v>64.229676878151835</v>
      </c>
      <c r="B605" s="40">
        <f t="shared" si="95"/>
        <v>32.933286051621081</v>
      </c>
      <c r="C605" s="41">
        <f t="shared" si="90"/>
        <v>0.49289226185293716</v>
      </c>
      <c r="D605" s="41">
        <f t="shared" si="91"/>
        <v>0.98069361229543572</v>
      </c>
      <c r="E605" s="39">
        <f>IF(_xlfn.NORM.INV(R605,C605,'Regressão Grupo 2'!$B$7)&lt;=0,0,IF(_xlfn.NORM.INV(R605,C605,'Regressão Grupo 2'!$B$7)&gt;100%,100%,_xlfn.NORM.INV(R605,C605,'Regressão Grupo 2'!$B$7)))</f>
        <v>0.56589105947887475</v>
      </c>
      <c r="F605" s="39">
        <f>IF(_xlfn.NORM.INV(S605,D605,'Regressão Grupo 2'!$B$7)&lt;=0,0,IF(_xlfn.NORM.INV(S605,D605,'Regressão Grupo 2'!$B$7)&gt;100%,100%,_xlfn.NORM.INV(S605,D605,'Regressão Grupo 2'!$B$7)))</f>
        <v>1</v>
      </c>
      <c r="G605" s="41">
        <v>1.9400836576534138E-2</v>
      </c>
      <c r="H605" s="41">
        <v>8.7381193702788205E-3</v>
      </c>
      <c r="I605" s="40">
        <f t="shared" si="92"/>
        <v>219.47993225886154</v>
      </c>
      <c r="J605" s="40">
        <f t="shared" si="92"/>
        <v>0</v>
      </c>
      <c r="K605" s="36">
        <v>0.17898383528075057</v>
      </c>
      <c r="L605" s="42">
        <f t="shared" si="97"/>
        <v>19991.322604477216</v>
      </c>
      <c r="M605" s="42">
        <f t="shared" si="97"/>
        <v>0</v>
      </c>
      <c r="N605" s="42">
        <f t="shared" si="93"/>
        <v>3578.1235920840954</v>
      </c>
      <c r="O605" s="36">
        <v>5.9254367231727834</v>
      </c>
      <c r="P605" s="42">
        <f t="shared" si="94"/>
        <v>9218.4870875351007</v>
      </c>
      <c r="Q605" s="42"/>
      <c r="R605">
        <v>0.70122379222998754</v>
      </c>
      <c r="S605">
        <v>0.93487350077822196</v>
      </c>
    </row>
    <row r="606" spans="1:19" x14ac:dyDescent="0.25">
      <c r="A606" s="40">
        <f t="shared" si="95"/>
        <v>64.229676878151835</v>
      </c>
      <c r="B606" s="40">
        <f t="shared" si="95"/>
        <v>32.933286051621081</v>
      </c>
      <c r="C606" s="41">
        <f t="shared" si="90"/>
        <v>0.49289226185293716</v>
      </c>
      <c r="D606" s="41">
        <f t="shared" si="91"/>
        <v>0.98069361229543572</v>
      </c>
      <c r="E606" s="39">
        <f>IF(_xlfn.NORM.INV(R606,C606,'Regressão Grupo 2'!$B$7)&lt;=0,0,IF(_xlfn.NORM.INV(R606,C606,'Regressão Grupo 2'!$B$7)&gt;100%,100%,_xlfn.NORM.INV(R606,C606,'Regressão Grupo 2'!$B$7)))</f>
        <v>0.49699178430918822</v>
      </c>
      <c r="F606" s="39">
        <f>IF(_xlfn.NORM.INV(S606,D606,'Regressão Grupo 2'!$B$7)&lt;=0,0,IF(_xlfn.NORM.INV(S606,D606,'Regressão Grupo 2'!$B$7)&gt;100%,100%,_xlfn.NORM.INV(S606,D606,'Regressão Grupo 2'!$B$7)))</f>
        <v>0.69437494539457811</v>
      </c>
      <c r="G606" s="41">
        <v>6.3490063918696339E-3</v>
      </c>
      <c r="H606" s="41">
        <v>2.4830145799851731E-3</v>
      </c>
      <c r="I606" s="40">
        <f t="shared" si="92"/>
        <v>63.080699617039791</v>
      </c>
      <c r="J606" s="40">
        <f t="shared" si="92"/>
        <v>0</v>
      </c>
      <c r="K606" s="36">
        <v>0.12744948515973784</v>
      </c>
      <c r="L606" s="42">
        <f t="shared" si="97"/>
        <v>19991.322604477216</v>
      </c>
      <c r="M606" s="42">
        <f t="shared" si="97"/>
        <v>0</v>
      </c>
      <c r="N606" s="42">
        <f t="shared" si="93"/>
        <v>2547.8837736028504</v>
      </c>
      <c r="O606" s="36">
        <v>6.0927697207336839</v>
      </c>
      <c r="P606" s="42">
        <f t="shared" si="94"/>
        <v>1119.4330034579748</v>
      </c>
      <c r="Q606" s="42"/>
      <c r="R606">
        <v>0.51182592242194891</v>
      </c>
      <c r="S606">
        <v>1.9196142460402233E-2</v>
      </c>
    </row>
    <row r="607" spans="1:19" x14ac:dyDescent="0.25">
      <c r="A607" s="40">
        <f t="shared" si="95"/>
        <v>64.229676878151835</v>
      </c>
      <c r="B607" s="40">
        <f t="shared" si="95"/>
        <v>32.933286051621081</v>
      </c>
      <c r="C607" s="41">
        <f t="shared" si="90"/>
        <v>0.49289226185293716</v>
      </c>
      <c r="D607" s="41">
        <f t="shared" si="91"/>
        <v>0.98069361229543572</v>
      </c>
      <c r="E607" s="39">
        <f>IF(_xlfn.NORM.INV(R607,C607,'Regressão Grupo 2'!$B$7)&lt;=0,0,IF(_xlfn.NORM.INV(R607,C607,'Regressão Grupo 2'!$B$7)&gt;100%,100%,_xlfn.NORM.INV(R607,C607,'Regressão Grupo 2'!$B$7)))</f>
        <v>0.28570474002992774</v>
      </c>
      <c r="F607" s="39">
        <f>IF(_xlfn.NORM.INV(S607,D607,'Regressão Grupo 2'!$B$7)&lt;=0,0,IF(_xlfn.NORM.INV(S607,D607,'Regressão Grupo 2'!$B$7)&gt;100%,100%,_xlfn.NORM.INV(S607,D607,'Regressão Grupo 2'!$B$7)))</f>
        <v>1</v>
      </c>
      <c r="G607" s="41">
        <v>1.050678687780453E-3</v>
      </c>
      <c r="H607" s="41">
        <v>2.4180268694306048E-2</v>
      </c>
      <c r="I607" s="40">
        <f t="shared" si="92"/>
        <v>6.0010728126779833</v>
      </c>
      <c r="J607" s="40">
        <f t="shared" si="92"/>
        <v>0</v>
      </c>
      <c r="K607" s="36">
        <v>0.2615319689120108</v>
      </c>
      <c r="L607" s="42">
        <f t="shared" si="97"/>
        <v>19991.322604477216</v>
      </c>
      <c r="M607" s="42">
        <f t="shared" si="97"/>
        <v>0</v>
      </c>
      <c r="N607" s="42">
        <f t="shared" si="93"/>
        <v>5228.3699619041145</v>
      </c>
      <c r="O607" s="36">
        <v>5.2124624059921798</v>
      </c>
      <c r="P607" s="42">
        <f t="shared" si="94"/>
        <v>-4874.2033606552513</v>
      </c>
      <c r="Q607" s="42"/>
      <c r="R607">
        <v>6.7018646809289831E-2</v>
      </c>
      <c r="S607">
        <v>0.8596453749198889</v>
      </c>
    </row>
    <row r="608" spans="1:19" x14ac:dyDescent="0.25">
      <c r="A608" s="40">
        <f t="shared" si="95"/>
        <v>64.229676878151835</v>
      </c>
      <c r="B608" s="40">
        <f t="shared" si="95"/>
        <v>32.933286051621081</v>
      </c>
      <c r="C608" s="41">
        <f t="shared" si="90"/>
        <v>0.49289226185293716</v>
      </c>
      <c r="D608" s="41">
        <f t="shared" si="91"/>
        <v>0.98069361229543572</v>
      </c>
      <c r="E608" s="39">
        <f>IF(_xlfn.NORM.INV(R608,C608,'Regressão Grupo 2'!$B$7)&lt;=0,0,IF(_xlfn.NORM.INV(R608,C608,'Regressão Grupo 2'!$B$7)&gt;100%,100%,_xlfn.NORM.INV(R608,C608,'Regressão Grupo 2'!$B$7)))</f>
        <v>0.39324861187796917</v>
      </c>
      <c r="F608" s="39">
        <f>IF(_xlfn.NORM.INV(S608,D608,'Regressão Grupo 2'!$B$7)&lt;=0,0,IF(_xlfn.NORM.INV(S608,D608,'Regressão Grupo 2'!$B$7)&gt;100%,100%,_xlfn.NORM.INV(S608,D608,'Regressão Grupo 2'!$B$7)))</f>
        <v>1</v>
      </c>
      <c r="G608" s="41">
        <v>2.0819465513954097E-2</v>
      </c>
      <c r="H608" s="41">
        <v>1.4939794116842159E-2</v>
      </c>
      <c r="I608" s="40">
        <f t="shared" si="92"/>
        <v>163.67347447058899</v>
      </c>
      <c r="J608" s="40">
        <f t="shared" si="92"/>
        <v>0</v>
      </c>
      <c r="K608" s="36">
        <v>0.2871179120817956</v>
      </c>
      <c r="L608" s="42">
        <f t="shared" si="97"/>
        <v>19991.322604477216</v>
      </c>
      <c r="M608" s="42">
        <f t="shared" si="97"/>
        <v>0</v>
      </c>
      <c r="N608" s="42">
        <f t="shared" si="93"/>
        <v>5739.8668059511028</v>
      </c>
      <c r="O608" s="36">
        <v>6.0636805364261086</v>
      </c>
      <c r="P608" s="42">
        <f t="shared" si="94"/>
        <v>3780.3639113427153</v>
      </c>
      <c r="Q608" s="42"/>
      <c r="R608">
        <v>0.23557237464522232</v>
      </c>
      <c r="S608">
        <v>0.66032898953215124</v>
      </c>
    </row>
    <row r="609" spans="1:19" x14ac:dyDescent="0.25">
      <c r="A609" s="40">
        <f t="shared" si="95"/>
        <v>64.229676878151835</v>
      </c>
      <c r="B609" s="40">
        <f t="shared" si="95"/>
        <v>32.933286051621081</v>
      </c>
      <c r="C609" s="41">
        <f t="shared" si="90"/>
        <v>0.49289226185293716</v>
      </c>
      <c r="D609" s="41">
        <f t="shared" si="91"/>
        <v>0.98069361229543572</v>
      </c>
      <c r="E609" s="39">
        <f>IF(_xlfn.NORM.INV(R609,C609,'Regressão Grupo 2'!$B$7)&lt;=0,0,IF(_xlfn.NORM.INV(R609,C609,'Regressão Grupo 2'!$B$7)&gt;100%,100%,_xlfn.NORM.INV(R609,C609,'Regressão Grupo 2'!$B$7)))</f>
        <v>0.60269673602414797</v>
      </c>
      <c r="F609" s="39">
        <f>IF(_xlfn.NORM.INV(S609,D609,'Regressão Grupo 2'!$B$7)&lt;=0,0,IF(_xlfn.NORM.INV(S609,D609,'Regressão Grupo 2'!$B$7)&gt;100%,100%,_xlfn.NORM.INV(S609,D609,'Regressão Grupo 2'!$B$7)))</f>
        <v>0.99208296927481288</v>
      </c>
      <c r="G609" s="41">
        <v>8.6333517190990295E-3</v>
      </c>
      <c r="H609" s="41">
        <v>6.2634989872509322E-3</v>
      </c>
      <c r="I609" s="40">
        <f t="shared" si="92"/>
        <v>104.02070701045706</v>
      </c>
      <c r="J609" s="40">
        <f t="shared" si="92"/>
        <v>0</v>
      </c>
      <c r="K609" s="36">
        <v>0.26828237662473964</v>
      </c>
      <c r="L609" s="42">
        <f t="shared" si="97"/>
        <v>19991.322604477216</v>
      </c>
      <c r="M609" s="42">
        <f t="shared" si="97"/>
        <v>0</v>
      </c>
      <c r="N609" s="42">
        <f t="shared" si="93"/>
        <v>5363.3195402010278</v>
      </c>
      <c r="O609" s="36">
        <v>7.7894051727708717</v>
      </c>
      <c r="P609" s="42">
        <f t="shared" si="94"/>
        <v>507.63742645499497</v>
      </c>
      <c r="Q609" s="42"/>
      <c r="R609">
        <v>0.78643147068697161</v>
      </c>
      <c r="S609">
        <v>0.53282265694143494</v>
      </c>
    </row>
    <row r="610" spans="1:19" x14ac:dyDescent="0.25">
      <c r="A610" s="40">
        <f t="shared" si="95"/>
        <v>64.229676878151835</v>
      </c>
      <c r="B610" s="40">
        <f t="shared" si="95"/>
        <v>32.933286051621081</v>
      </c>
      <c r="C610" s="41">
        <f t="shared" si="90"/>
        <v>0.49289226185293716</v>
      </c>
      <c r="D610" s="41">
        <f t="shared" si="91"/>
        <v>0.98069361229543572</v>
      </c>
      <c r="E610" s="39">
        <f>IF(_xlfn.NORM.INV(R610,C610,'Regressão Grupo 2'!$B$7)&lt;=0,0,IF(_xlfn.NORM.INV(R610,C610,'Regressão Grupo 2'!$B$7)&gt;100%,100%,_xlfn.NORM.INV(R610,C610,'Regressão Grupo 2'!$B$7)))</f>
        <v>0.47293148102318094</v>
      </c>
      <c r="F610" s="39">
        <f>IF(_xlfn.NORM.INV(S610,D610,'Regressão Grupo 2'!$B$7)&lt;=0,0,IF(_xlfn.NORM.INV(S610,D610,'Regressão Grupo 2'!$B$7)&gt;100%,100%,_xlfn.NORM.INV(S610,D610,'Regressão Grupo 2'!$B$7)))</f>
        <v>0.86294982885219862</v>
      </c>
      <c r="G610" s="41">
        <v>1.7092765166036496E-2</v>
      </c>
      <c r="H610" s="41">
        <v>2.1485777104166937E-2</v>
      </c>
      <c r="I610" s="40">
        <f t="shared" si="92"/>
        <v>161.60398937438714</v>
      </c>
      <c r="J610" s="40">
        <f t="shared" si="92"/>
        <v>0</v>
      </c>
      <c r="K610" s="36">
        <v>0.22507114293222302</v>
      </c>
      <c r="L610" s="42">
        <f t="shared" si="97"/>
        <v>19991.322604477216</v>
      </c>
      <c r="M610" s="42">
        <f t="shared" si="97"/>
        <v>0</v>
      </c>
      <c r="N610" s="42">
        <f t="shared" si="93"/>
        <v>4499.4698273164722</v>
      </c>
      <c r="O610" s="36">
        <v>3.1653126653546853</v>
      </c>
      <c r="P610" s="42">
        <f t="shared" si="94"/>
        <v>5368.7750380821053</v>
      </c>
      <c r="Q610" s="42"/>
      <c r="R610">
        <v>0.4426099429303873</v>
      </c>
      <c r="S610">
        <v>0.19724112674336985</v>
      </c>
    </row>
    <row r="611" spans="1:19" x14ac:dyDescent="0.25">
      <c r="A611" s="40">
        <f t="shared" si="95"/>
        <v>64.229676878151835</v>
      </c>
      <c r="B611" s="40">
        <f t="shared" si="95"/>
        <v>32.933286051621081</v>
      </c>
      <c r="C611" s="41">
        <f t="shared" si="90"/>
        <v>0.49289226185293716</v>
      </c>
      <c r="D611" s="41">
        <f t="shared" si="91"/>
        <v>0.98069361229543572</v>
      </c>
      <c r="E611" s="39">
        <f>IF(_xlfn.NORM.INV(R611,C611,'Regressão Grupo 2'!$B$7)&lt;=0,0,IF(_xlfn.NORM.INV(R611,C611,'Regressão Grupo 2'!$B$7)&gt;100%,100%,_xlfn.NORM.INV(R611,C611,'Regressão Grupo 2'!$B$7)))</f>
        <v>0.37039708463721305</v>
      </c>
      <c r="F611" s="39">
        <f>IF(_xlfn.NORM.INV(S611,D611,'Regressão Grupo 2'!$B$7)&lt;=0,0,IF(_xlfn.NORM.INV(S611,D611,'Regressão Grupo 2'!$B$7)&gt;100%,100%,_xlfn.NORM.INV(S611,D611,'Regressão Grupo 2'!$B$7)))</f>
        <v>1</v>
      </c>
      <c r="G611" s="41">
        <v>7.0248816578627376E-3</v>
      </c>
      <c r="H611" s="41">
        <v>1.1749243164037134E-2</v>
      </c>
      <c r="I611" s="40">
        <f t="shared" si="92"/>
        <v>52.017335174159847</v>
      </c>
      <c r="J611" s="40">
        <f t="shared" si="92"/>
        <v>0</v>
      </c>
      <c r="K611" s="36">
        <v>0.44686548654805058</v>
      </c>
      <c r="L611" s="42">
        <f t="shared" si="97"/>
        <v>19991.322604477216</v>
      </c>
      <c r="M611" s="42">
        <f t="shared" si="97"/>
        <v>0</v>
      </c>
      <c r="N611" s="42">
        <f t="shared" si="93"/>
        <v>8933.4321023887533</v>
      </c>
      <c r="O611" s="36">
        <v>9.0979682191200659</v>
      </c>
      <c r="P611" s="42">
        <f t="shared" si="94"/>
        <v>-6065.6275343477664</v>
      </c>
      <c r="Q611" s="42"/>
      <c r="R611">
        <v>0.18784142582476271</v>
      </c>
      <c r="S611">
        <v>0.83291116061891535</v>
      </c>
    </row>
    <row r="612" spans="1:19" x14ac:dyDescent="0.25">
      <c r="A612" s="40">
        <f t="shared" si="95"/>
        <v>64.229676878151835</v>
      </c>
      <c r="B612" s="40">
        <f t="shared" si="95"/>
        <v>32.933286051621081</v>
      </c>
      <c r="C612" s="41">
        <f t="shared" si="90"/>
        <v>0.49289226185293716</v>
      </c>
      <c r="D612" s="41">
        <f t="shared" si="91"/>
        <v>0.98069361229543572</v>
      </c>
      <c r="E612" s="39">
        <f>IF(_xlfn.NORM.INV(R612,C612,'Regressão Grupo 2'!$B$7)&lt;=0,0,IF(_xlfn.NORM.INV(R612,C612,'Regressão Grupo 2'!$B$7)&gt;100%,100%,_xlfn.NORM.INV(R612,C612,'Regressão Grupo 2'!$B$7)))</f>
        <v>0.4601083621842067</v>
      </c>
      <c r="F612" s="39">
        <f>IF(_xlfn.NORM.INV(S612,D612,'Regressão Grupo 2'!$B$7)&lt;=0,0,IF(_xlfn.NORM.INV(S612,D612,'Regressão Grupo 2'!$B$7)&gt;100%,100%,_xlfn.NORM.INV(S612,D612,'Regressão Grupo 2'!$B$7)))</f>
        <v>1</v>
      </c>
      <c r="G612" s="41">
        <v>7.2362268108735056E-3</v>
      </c>
      <c r="H612" s="41">
        <v>6.8694222104839281E-3</v>
      </c>
      <c r="I612" s="40">
        <f t="shared" si="92"/>
        <v>66.56007838567389</v>
      </c>
      <c r="J612" s="40">
        <f t="shared" si="92"/>
        <v>0</v>
      </c>
      <c r="K612" s="36">
        <v>0.28042929742427797</v>
      </c>
      <c r="L612" s="42">
        <f t="shared" si="97"/>
        <v>19991.322604477216</v>
      </c>
      <c r="M612" s="42">
        <f t="shared" si="97"/>
        <v>0</v>
      </c>
      <c r="N612" s="42">
        <f t="shared" si="93"/>
        <v>5606.1525525556326</v>
      </c>
      <c r="O612" s="36">
        <v>8.420705263033847</v>
      </c>
      <c r="P612" s="42">
        <f t="shared" si="94"/>
        <v>-1891.5030272295298</v>
      </c>
      <c r="Q612" s="42"/>
      <c r="R612">
        <v>0.40629291665395062</v>
      </c>
      <c r="S612">
        <v>0.58381908627582624</v>
      </c>
    </row>
    <row r="613" spans="1:19" x14ac:dyDescent="0.25">
      <c r="A613" s="40">
        <f t="shared" si="95"/>
        <v>64.229676878151835</v>
      </c>
      <c r="B613" s="40">
        <f t="shared" si="95"/>
        <v>32.933286051621081</v>
      </c>
      <c r="C613" s="41">
        <f t="shared" si="90"/>
        <v>0.49289226185293716</v>
      </c>
      <c r="D613" s="41">
        <f t="shared" si="91"/>
        <v>0.98069361229543572</v>
      </c>
      <c r="E613" s="39">
        <f>IF(_xlfn.NORM.INV(R613,C613,'Regressão Grupo 2'!$B$7)&lt;=0,0,IF(_xlfn.NORM.INV(R613,C613,'Regressão Grupo 2'!$B$7)&gt;100%,100%,_xlfn.NORM.INV(R613,C613,'Regressão Grupo 2'!$B$7)))</f>
        <v>0.52365602676571466</v>
      </c>
      <c r="F613" s="39">
        <f>IF(_xlfn.NORM.INV(S613,D613,'Regressão Grupo 2'!$B$7)&lt;=0,0,IF(_xlfn.NORM.INV(S613,D613,'Regressão Grupo 2'!$B$7)&gt;100%,100%,_xlfn.NORM.INV(S613,D613,'Regressão Grupo 2'!$B$7)))</f>
        <v>1</v>
      </c>
      <c r="G613" s="41">
        <v>1.3177163145203062E-2</v>
      </c>
      <c r="H613" s="41">
        <v>1.3896329105498956E-2</v>
      </c>
      <c r="I613" s="40">
        <f t="shared" si="92"/>
        <v>137.94614129310631</v>
      </c>
      <c r="J613" s="40">
        <f t="shared" si="92"/>
        <v>0</v>
      </c>
      <c r="K613" s="36">
        <v>0.35627267435853627</v>
      </c>
      <c r="L613" s="42">
        <f t="shared" si="97"/>
        <v>19991.322604477216</v>
      </c>
      <c r="M613" s="42">
        <f t="shared" si="97"/>
        <v>0</v>
      </c>
      <c r="N613" s="42">
        <f t="shared" si="93"/>
        <v>7122.3619682613562</v>
      </c>
      <c r="O613" s="36">
        <v>7.2792089277434027</v>
      </c>
      <c r="P613" s="42">
        <f t="shared" si="94"/>
        <v>733.73533033420699</v>
      </c>
      <c r="Q613" s="42"/>
      <c r="R613">
        <v>0.58803064058351395</v>
      </c>
      <c r="S613">
        <v>0.77504806665242465</v>
      </c>
    </row>
    <row r="614" spans="1:19" x14ac:dyDescent="0.25">
      <c r="A614" s="40">
        <f t="shared" si="95"/>
        <v>64.229676878151835</v>
      </c>
      <c r="B614" s="40">
        <f t="shared" si="95"/>
        <v>32.933286051621081</v>
      </c>
      <c r="C614" s="41">
        <f t="shared" si="90"/>
        <v>0.49289226185293716</v>
      </c>
      <c r="D614" s="41">
        <f t="shared" si="91"/>
        <v>0.98069361229543572</v>
      </c>
      <c r="E614" s="39">
        <f>IF(_xlfn.NORM.INV(R614,C614,'Regressão Grupo 2'!$B$7)&lt;=0,0,IF(_xlfn.NORM.INV(R614,C614,'Regressão Grupo 2'!$B$7)&gt;100%,100%,_xlfn.NORM.INV(R614,C614,'Regressão Grupo 2'!$B$7)))</f>
        <v>0.55947474962592814</v>
      </c>
      <c r="F614" s="39">
        <f>IF(_xlfn.NORM.INV(S614,D614,'Regressão Grupo 2'!$B$7)&lt;=0,0,IF(_xlfn.NORM.INV(S614,D614,'Regressão Grupo 2'!$B$7)&gt;100%,100%,_xlfn.NORM.INV(S614,D614,'Regressão Grupo 2'!$B$7)))</f>
        <v>1</v>
      </c>
      <c r="G614" s="41">
        <v>1.7694970942352402E-2</v>
      </c>
      <c r="H614" s="41">
        <v>2.0360222505945082E-2</v>
      </c>
      <c r="I614" s="40">
        <f t="shared" si="92"/>
        <v>197.9118834959317</v>
      </c>
      <c r="J614" s="40">
        <f t="shared" si="92"/>
        <v>0</v>
      </c>
      <c r="K614" s="36">
        <v>0.31553646855382567</v>
      </c>
      <c r="L614" s="42">
        <f t="shared" si="97"/>
        <v>19991.322604477216</v>
      </c>
      <c r="M614" s="42">
        <f t="shared" si="97"/>
        <v>0</v>
      </c>
      <c r="N614" s="42">
        <f t="shared" si="93"/>
        <v>6307.9913363370097</v>
      </c>
      <c r="O614" s="36">
        <v>4.9149031564286796</v>
      </c>
      <c r="P614" s="42">
        <f t="shared" si="94"/>
        <v>5431.107250064214</v>
      </c>
      <c r="Q614" s="42"/>
      <c r="R614">
        <v>0.68492690816980495</v>
      </c>
      <c r="S614">
        <v>0.83306375316629533</v>
      </c>
    </row>
    <row r="615" spans="1:19" x14ac:dyDescent="0.25">
      <c r="A615" s="40">
        <f t="shared" si="95"/>
        <v>64.229676878151835</v>
      </c>
      <c r="B615" s="40">
        <f t="shared" si="95"/>
        <v>32.933286051621081</v>
      </c>
      <c r="C615" s="41">
        <f t="shared" si="90"/>
        <v>0.49289226185293716</v>
      </c>
      <c r="D615" s="41">
        <f t="shared" si="91"/>
        <v>0.98069361229543572</v>
      </c>
      <c r="E615" s="39">
        <f>IF(_xlfn.NORM.INV(R615,C615,'Regressão Grupo 2'!$B$7)&lt;=0,0,IF(_xlfn.NORM.INV(R615,C615,'Regressão Grupo 2'!$B$7)&gt;100%,100%,_xlfn.NORM.INV(R615,C615,'Regressão Grupo 2'!$B$7)))</f>
        <v>0.45204106970388319</v>
      </c>
      <c r="F615" s="39">
        <f>IF(_xlfn.NORM.INV(S615,D615,'Regressão Grupo 2'!$B$7)&lt;=0,0,IF(_xlfn.NORM.INV(S615,D615,'Regressão Grupo 2'!$B$7)&gt;100%,100%,_xlfn.NORM.INV(S615,D615,'Regressão Grupo 2'!$B$7)))</f>
        <v>0.93134050894020193</v>
      </c>
      <c r="G615" s="41">
        <v>1.921284561640571E-2</v>
      </c>
      <c r="H615" s="41">
        <v>2.4094299341953472E-2</v>
      </c>
      <c r="I615" s="40">
        <f t="shared" si="92"/>
        <v>173.62454255071492</v>
      </c>
      <c r="J615" s="40">
        <f t="shared" si="92"/>
        <v>0</v>
      </c>
      <c r="K615" s="36">
        <v>0.27494440558058814</v>
      </c>
      <c r="L615" s="42">
        <f t="shared" ref="L615:M630" si="98">L614</f>
        <v>19991.322604477216</v>
      </c>
      <c r="M615" s="42">
        <f t="shared" si="98"/>
        <v>0</v>
      </c>
      <c r="N615" s="42">
        <f t="shared" si="93"/>
        <v>5496.5023102577634</v>
      </c>
      <c r="O615" s="36">
        <v>8.7829034545714748</v>
      </c>
      <c r="P615" s="42">
        <f t="shared" si="94"/>
        <v>4130.4183613245132</v>
      </c>
      <c r="Q615" s="42"/>
      <c r="R615">
        <v>0.38383129367961671</v>
      </c>
      <c r="S615">
        <v>0.36057618945890685</v>
      </c>
    </row>
    <row r="616" spans="1:19" x14ac:dyDescent="0.25">
      <c r="A616" s="40">
        <f t="shared" si="95"/>
        <v>64.229676878151835</v>
      </c>
      <c r="B616" s="40">
        <f t="shared" si="95"/>
        <v>32.933286051621081</v>
      </c>
      <c r="C616" s="41">
        <f t="shared" si="90"/>
        <v>0.49289226185293716</v>
      </c>
      <c r="D616" s="41">
        <f t="shared" si="91"/>
        <v>0.98069361229543572</v>
      </c>
      <c r="E616" s="39">
        <f>IF(_xlfn.NORM.INV(R616,C616,'Regressão Grupo 2'!$B$7)&lt;=0,0,IF(_xlfn.NORM.INV(R616,C616,'Regressão Grupo 2'!$B$7)&gt;100%,100%,_xlfn.NORM.INV(R616,C616,'Regressão Grupo 2'!$B$7)))</f>
        <v>0.37602770735605046</v>
      </c>
      <c r="F616" s="39">
        <f>IF(_xlfn.NORM.INV(S616,D616,'Regressão Grupo 2'!$B$7)&lt;=0,0,IF(_xlfn.NORM.INV(S616,D616,'Regressão Grupo 2'!$B$7)&gt;100%,100%,_xlfn.NORM.INV(S616,D616,'Regressão Grupo 2'!$B$7)))</f>
        <v>1</v>
      </c>
      <c r="G616" s="41">
        <v>1.9904928741442514E-2</v>
      </c>
      <c r="H616" s="41">
        <v>1.4798306823868838E-2</v>
      </c>
      <c r="I616" s="40">
        <f t="shared" si="92"/>
        <v>149.63114578363977</v>
      </c>
      <c r="J616" s="40">
        <f t="shared" si="92"/>
        <v>0</v>
      </c>
      <c r="K616" s="36">
        <v>0.37722259479347164</v>
      </c>
      <c r="L616" s="42">
        <f t="shared" si="98"/>
        <v>19991.322604477216</v>
      </c>
      <c r="M616" s="42">
        <f t="shared" si="98"/>
        <v>0</v>
      </c>
      <c r="N616" s="42">
        <f t="shared" si="93"/>
        <v>7541.1785862142788</v>
      </c>
      <c r="O616" s="36">
        <v>5.8359997474624672</v>
      </c>
      <c r="P616" s="42">
        <f t="shared" si="94"/>
        <v>1196.3342293706937</v>
      </c>
      <c r="Q616" s="42"/>
      <c r="R616">
        <v>0.1990112002929777</v>
      </c>
      <c r="S616">
        <v>0.91045869319742423</v>
      </c>
    </row>
    <row r="617" spans="1:19" x14ac:dyDescent="0.25">
      <c r="A617" s="40">
        <f t="shared" si="95"/>
        <v>64.229676878151835</v>
      </c>
      <c r="B617" s="40">
        <f t="shared" si="95"/>
        <v>32.933286051621081</v>
      </c>
      <c r="C617" s="41">
        <f t="shared" si="90"/>
        <v>0.49289226185293716</v>
      </c>
      <c r="D617" s="41">
        <f t="shared" si="91"/>
        <v>0.98069361229543572</v>
      </c>
      <c r="E617" s="39">
        <f>IF(_xlfn.NORM.INV(R617,C617,'Regressão Grupo 2'!$B$7)&lt;=0,0,IF(_xlfn.NORM.INV(R617,C617,'Regressão Grupo 2'!$B$7)&gt;100%,100%,_xlfn.NORM.INV(R617,C617,'Regressão Grupo 2'!$B$7)))</f>
        <v>0.88614137969568352</v>
      </c>
      <c r="F617" s="39">
        <f>IF(_xlfn.NORM.INV(S617,D617,'Regressão Grupo 2'!$B$7)&lt;=0,0,IF(_xlfn.NORM.INV(S617,D617,'Regressão Grupo 2'!$B$7)&gt;100%,100%,_xlfn.NORM.INV(S617,D617,'Regressão Grupo 2'!$B$7)))</f>
        <v>1</v>
      </c>
      <c r="G617" s="41">
        <v>1.2414529896046222E-2</v>
      </c>
      <c r="H617" s="41">
        <v>2.4315177814275106E-2</v>
      </c>
      <c r="I617" s="40">
        <f t="shared" si="92"/>
        <v>219.9251127303576</v>
      </c>
      <c r="J617" s="40">
        <f t="shared" si="92"/>
        <v>0</v>
      </c>
      <c r="K617" s="36">
        <v>0.29985135037880023</v>
      </c>
      <c r="L617" s="42">
        <f t="shared" si="98"/>
        <v>19991.322604477216</v>
      </c>
      <c r="M617" s="42">
        <f t="shared" si="98"/>
        <v>0</v>
      </c>
      <c r="N617" s="42">
        <f t="shared" si="93"/>
        <v>5994.4250788107265</v>
      </c>
      <c r="O617" s="36">
        <v>4.3937993012174443</v>
      </c>
      <c r="P617" s="42">
        <f t="shared" si="94"/>
        <v>7164.9870426164462</v>
      </c>
      <c r="Q617" s="42"/>
      <c r="R617">
        <v>0.99777214880825216</v>
      </c>
      <c r="S617">
        <v>0.86544389172032843</v>
      </c>
    </row>
    <row r="618" spans="1:19" x14ac:dyDescent="0.25">
      <c r="A618" s="40">
        <f t="shared" si="95"/>
        <v>64.229676878151835</v>
      </c>
      <c r="B618" s="40">
        <f t="shared" si="95"/>
        <v>32.933286051621081</v>
      </c>
      <c r="C618" s="41">
        <f t="shared" si="90"/>
        <v>0.49289226185293716</v>
      </c>
      <c r="D618" s="41">
        <f t="shared" si="91"/>
        <v>0.98069361229543572</v>
      </c>
      <c r="E618" s="39">
        <f>IF(_xlfn.NORM.INV(R618,C618,'Regressão Grupo 2'!$B$7)&lt;=0,0,IF(_xlfn.NORM.INV(R618,C618,'Regressão Grupo 2'!$B$7)&gt;100%,100%,_xlfn.NORM.INV(R618,C618,'Regressão Grupo 2'!$B$7)))</f>
        <v>0.81595765785772023</v>
      </c>
      <c r="F618" s="39">
        <f>IF(_xlfn.NORM.INV(S618,D618,'Regressão Grupo 2'!$B$7)&lt;=0,0,IF(_xlfn.NORM.INV(S618,D618,'Regressão Grupo 2'!$B$7)&gt;100%,100%,_xlfn.NORM.INV(S618,D618,'Regressão Grupo 2'!$B$7)))</f>
        <v>1</v>
      </c>
      <c r="G618" s="41">
        <v>1.3890978968501054E-2</v>
      </c>
      <c r="H618" s="41">
        <v>2.8554807100862809E-2</v>
      </c>
      <c r="I618" s="40">
        <f t="shared" si="92"/>
        <v>226.59065977833015</v>
      </c>
      <c r="J618" s="40">
        <f t="shared" si="92"/>
        <v>0</v>
      </c>
      <c r="K618" s="36">
        <v>0.38507160010795588</v>
      </c>
      <c r="L618" s="42">
        <f t="shared" si="98"/>
        <v>19991.322604477216</v>
      </c>
      <c r="M618" s="42">
        <f t="shared" si="98"/>
        <v>0</v>
      </c>
      <c r="N618" s="42">
        <f t="shared" si="93"/>
        <v>7698.0905835803896</v>
      </c>
      <c r="O618" s="36">
        <v>7.6501678451908868</v>
      </c>
      <c r="P618" s="42">
        <f t="shared" si="94"/>
        <v>5122.2976981322208</v>
      </c>
      <c r="Q618" s="42"/>
      <c r="R618">
        <v>0.99026459547715695</v>
      </c>
      <c r="S618">
        <v>0.58207953123569445</v>
      </c>
    </row>
    <row r="619" spans="1:19" x14ac:dyDescent="0.25">
      <c r="A619" s="40">
        <f t="shared" si="95"/>
        <v>64.229676878151835</v>
      </c>
      <c r="B619" s="40">
        <f t="shared" si="95"/>
        <v>32.933286051621081</v>
      </c>
      <c r="C619" s="41">
        <f t="shared" si="90"/>
        <v>0.49289226185293716</v>
      </c>
      <c r="D619" s="41">
        <f t="shared" si="91"/>
        <v>0.98069361229543572</v>
      </c>
      <c r="E619" s="39">
        <f>IF(_xlfn.NORM.INV(R619,C619,'Regressão Grupo 2'!$B$7)&lt;=0,0,IF(_xlfn.NORM.INV(R619,C619,'Regressão Grupo 2'!$B$7)&gt;100%,100%,_xlfn.NORM.INV(R619,C619,'Regressão Grupo 2'!$B$7)))</f>
        <v>0.73197437075737093</v>
      </c>
      <c r="F619" s="39">
        <f>IF(_xlfn.NORM.INV(S619,D619,'Regressão Grupo 2'!$B$7)&lt;=0,0,IF(_xlfn.NORM.INV(S619,D619,'Regressão Grupo 2'!$B$7)&gt;100%,100%,_xlfn.NORM.INV(S619,D619,'Regressão Grupo 2'!$B$7)))</f>
        <v>1</v>
      </c>
      <c r="G619" s="41">
        <v>1.8771737849225239E-2</v>
      </c>
      <c r="H619" s="41">
        <v>2.2034430296989926E-2</v>
      </c>
      <c r="I619" s="40">
        <f t="shared" si="92"/>
        <v>274.68938884973704</v>
      </c>
      <c r="J619" s="40">
        <f t="shared" si="92"/>
        <v>0</v>
      </c>
      <c r="K619" s="36">
        <v>0.1840155681079958</v>
      </c>
      <c r="L619" s="42">
        <f t="shared" si="98"/>
        <v>19991.322604477216</v>
      </c>
      <c r="M619" s="42">
        <f t="shared" si="98"/>
        <v>0</v>
      </c>
      <c r="N619" s="42">
        <f t="shared" si="93"/>
        <v>3678.7145862930934</v>
      </c>
      <c r="O619" s="36">
        <v>9.5763934272486964</v>
      </c>
      <c r="P619" s="42">
        <f t="shared" si="94"/>
        <v>11333.962443466939</v>
      </c>
      <c r="Q619" s="42"/>
      <c r="R619">
        <v>0.95809808648945582</v>
      </c>
      <c r="S619">
        <v>0.72475356303598137</v>
      </c>
    </row>
    <row r="620" spans="1:19" x14ac:dyDescent="0.25">
      <c r="A620" s="40">
        <f t="shared" si="95"/>
        <v>64.229676878151835</v>
      </c>
      <c r="B620" s="40">
        <f t="shared" si="95"/>
        <v>32.933286051621081</v>
      </c>
      <c r="C620" s="41">
        <f t="shared" si="90"/>
        <v>0.49289226185293716</v>
      </c>
      <c r="D620" s="41">
        <f t="shared" si="91"/>
        <v>0.98069361229543572</v>
      </c>
      <c r="E620" s="39">
        <f>IF(_xlfn.NORM.INV(R620,C620,'Regressão Grupo 2'!$B$7)&lt;=0,0,IF(_xlfn.NORM.INV(R620,C620,'Regressão Grupo 2'!$B$7)&gt;100%,100%,_xlfn.NORM.INV(R620,C620,'Regressão Grupo 2'!$B$7)))</f>
        <v>0.37314488198796947</v>
      </c>
      <c r="F620" s="39">
        <f>IF(_xlfn.NORM.INV(S620,D620,'Regressão Grupo 2'!$B$7)&lt;=0,0,IF(_xlfn.NORM.INV(S620,D620,'Regressão Grupo 2'!$B$7)&gt;100%,100%,_xlfn.NORM.INV(S620,D620,'Regressão Grupo 2'!$B$7)))</f>
        <v>1</v>
      </c>
      <c r="G620" s="41">
        <v>1.6491287011699423E-2</v>
      </c>
      <c r="H620" s="41">
        <v>1.8360789467723938E-2</v>
      </c>
      <c r="I620" s="40">
        <f t="shared" si="92"/>
        <v>123.01938935369814</v>
      </c>
      <c r="J620" s="40">
        <f t="shared" si="92"/>
        <v>0</v>
      </c>
      <c r="K620" s="36">
        <v>0.26042833987613473</v>
      </c>
      <c r="L620" s="42">
        <f t="shared" si="98"/>
        <v>19991.322604477216</v>
      </c>
      <c r="M620" s="42">
        <f t="shared" si="98"/>
        <v>0</v>
      </c>
      <c r="N620" s="42">
        <f t="shared" si="93"/>
        <v>5206.3069578122477</v>
      </c>
      <c r="O620" s="36">
        <v>5.2349170846607338</v>
      </c>
      <c r="P620" s="42">
        <f t="shared" si="94"/>
        <v>2051.1923670511305</v>
      </c>
      <c r="Q620" s="42"/>
      <c r="R620">
        <v>0.19324320200201422</v>
      </c>
      <c r="S620">
        <v>0.62434766685995058</v>
      </c>
    </row>
    <row r="621" spans="1:19" x14ac:dyDescent="0.25">
      <c r="A621" s="40">
        <f t="shared" si="95"/>
        <v>64.229676878151835</v>
      </c>
      <c r="B621" s="40">
        <f t="shared" si="95"/>
        <v>32.933286051621081</v>
      </c>
      <c r="C621" s="41">
        <f t="shared" si="90"/>
        <v>0.49289226185293716</v>
      </c>
      <c r="D621" s="41">
        <f t="shared" si="91"/>
        <v>0.98069361229543572</v>
      </c>
      <c r="E621" s="39">
        <f>IF(_xlfn.NORM.INV(R621,C621,'Regressão Grupo 2'!$B$7)&lt;=0,0,IF(_xlfn.NORM.INV(R621,C621,'Regressão Grupo 2'!$B$7)&gt;100%,100%,_xlfn.NORM.INV(R621,C621,'Regressão Grupo 2'!$B$7)))</f>
        <v>0.66635796008343906</v>
      </c>
      <c r="F621" s="39">
        <f>IF(_xlfn.NORM.INV(S621,D621,'Regressão Grupo 2'!$B$7)&lt;=0,0,IF(_xlfn.NORM.INV(S621,D621,'Regressão Grupo 2'!$B$7)&gt;100%,100%,_xlfn.NORM.INV(S621,D621,'Regressão Grupo 2'!$B$7)))</f>
        <v>1</v>
      </c>
      <c r="G621" s="41">
        <v>1.874655501189066E-2</v>
      </c>
      <c r="H621" s="41">
        <v>3.7912059895331487E-3</v>
      </c>
      <c r="I621" s="40">
        <f t="shared" si="92"/>
        <v>249.72992582898283</v>
      </c>
      <c r="J621" s="40">
        <f t="shared" si="92"/>
        <v>0</v>
      </c>
      <c r="K621" s="36">
        <v>0.27996991064986071</v>
      </c>
      <c r="L621" s="42">
        <f t="shared" si="98"/>
        <v>19991.322604477216</v>
      </c>
      <c r="M621" s="42">
        <f t="shared" si="98"/>
        <v>0</v>
      </c>
      <c r="N621" s="42">
        <f t="shared" si="93"/>
        <v>5596.968803348027</v>
      </c>
      <c r="O621" s="36">
        <v>3.9224249355359855</v>
      </c>
      <c r="P621" s="42">
        <f t="shared" si="94"/>
        <v>9463.5567512312082</v>
      </c>
      <c r="Q621" s="42"/>
      <c r="R621">
        <v>0.89516891994994963</v>
      </c>
      <c r="S621">
        <v>0.6691488387707144</v>
      </c>
    </row>
    <row r="622" spans="1:19" x14ac:dyDescent="0.25">
      <c r="A622" s="40">
        <f t="shared" si="95"/>
        <v>64.229676878151835</v>
      </c>
      <c r="B622" s="40">
        <f t="shared" si="95"/>
        <v>32.933286051621081</v>
      </c>
      <c r="C622" s="41">
        <f t="shared" si="90"/>
        <v>0.49289226185293716</v>
      </c>
      <c r="D622" s="41">
        <f t="shared" si="91"/>
        <v>0.98069361229543572</v>
      </c>
      <c r="E622" s="39">
        <f>IF(_xlfn.NORM.INV(R622,C622,'Regressão Grupo 2'!$B$7)&lt;=0,0,IF(_xlfn.NORM.INV(R622,C622,'Regressão Grupo 2'!$B$7)&gt;100%,100%,_xlfn.NORM.INV(R622,C622,'Regressão Grupo 2'!$B$7)))</f>
        <v>0.40025347834916541</v>
      </c>
      <c r="F622" s="39">
        <f>IF(_xlfn.NORM.INV(S622,D622,'Regressão Grupo 2'!$B$7)&lt;=0,0,IF(_xlfn.NORM.INV(S622,D622,'Regressão Grupo 2'!$B$7)&gt;100%,100%,_xlfn.NORM.INV(S622,D622,'Regressão Grupo 2'!$B$7)))</f>
        <v>0.90860520369325759</v>
      </c>
      <c r="G622" s="41">
        <v>2.3127483469683564E-2</v>
      </c>
      <c r="H622" s="41">
        <v>1.9711699372398798E-2</v>
      </c>
      <c r="I622" s="40">
        <f t="shared" si="92"/>
        <v>185.0567886858307</v>
      </c>
      <c r="J622" s="40">
        <f t="shared" si="92"/>
        <v>0</v>
      </c>
      <c r="K622" s="36">
        <v>0.33554312014845544</v>
      </c>
      <c r="L622" s="42">
        <f t="shared" si="98"/>
        <v>19991.322604477216</v>
      </c>
      <c r="M622" s="42">
        <f t="shared" si="98"/>
        <v>0</v>
      </c>
      <c r="N622" s="42">
        <f t="shared" si="93"/>
        <v>6707.9507626006316</v>
      </c>
      <c r="O622" s="36">
        <v>7.0847492765272992</v>
      </c>
      <c r="P622" s="42">
        <f t="shared" si="94"/>
        <v>3867.1060290402938</v>
      </c>
      <c r="Q622" s="42"/>
      <c r="R622">
        <v>0.25144199957274088</v>
      </c>
      <c r="S622">
        <v>0.30106509598071229</v>
      </c>
    </row>
    <row r="623" spans="1:19" x14ac:dyDescent="0.25">
      <c r="A623" s="40">
        <f t="shared" si="95"/>
        <v>64.229676878151835</v>
      </c>
      <c r="B623" s="40">
        <f t="shared" si="95"/>
        <v>32.933286051621081</v>
      </c>
      <c r="C623" s="41">
        <f t="shared" si="90"/>
        <v>0.49289226185293716</v>
      </c>
      <c r="D623" s="41">
        <f t="shared" si="91"/>
        <v>0.98069361229543572</v>
      </c>
      <c r="E623" s="39">
        <f>IF(_xlfn.NORM.INV(R623,C623,'Regressão Grupo 2'!$B$7)&lt;=0,0,IF(_xlfn.NORM.INV(R623,C623,'Regressão Grupo 2'!$B$7)&gt;100%,100%,_xlfn.NORM.INV(R623,C623,'Regressão Grupo 2'!$B$7)))</f>
        <v>0.5796559941041578</v>
      </c>
      <c r="F623" s="39">
        <f>IF(_xlfn.NORM.INV(S623,D623,'Regressão Grupo 2'!$B$7)&lt;=0,0,IF(_xlfn.NORM.INV(S623,D623,'Regressão Grupo 2'!$B$7)&gt;100%,100%,_xlfn.NORM.INV(S623,D623,'Regressão Grupo 2'!$B$7)))</f>
        <v>0.89562346891338607</v>
      </c>
      <c r="G623" s="41">
        <v>2.4687625101103883E-2</v>
      </c>
      <c r="H623" s="41">
        <v>2.7752789318982497E-2</v>
      </c>
      <c r="I623" s="40">
        <f t="shared" si="92"/>
        <v>286.08242100867869</v>
      </c>
      <c r="J623" s="40">
        <f t="shared" si="92"/>
        <v>0</v>
      </c>
      <c r="K623" s="36">
        <v>0.36420804503819593</v>
      </c>
      <c r="L623" s="42">
        <f t="shared" si="98"/>
        <v>19991.322604477216</v>
      </c>
      <c r="M623" s="42">
        <f t="shared" si="98"/>
        <v>0</v>
      </c>
      <c r="N623" s="42">
        <f t="shared" si="93"/>
        <v>7281.0005235045419</v>
      </c>
      <c r="O623" s="36">
        <v>7.3084062896371238</v>
      </c>
      <c r="P623" s="42">
        <f t="shared" si="94"/>
        <v>9003.1743733478434</v>
      </c>
      <c r="Q623" s="42"/>
      <c r="R623">
        <v>0.73482467116306038</v>
      </c>
      <c r="S623">
        <v>0.26920377208777124</v>
      </c>
    </row>
    <row r="624" spans="1:19" x14ac:dyDescent="0.25">
      <c r="A624" s="40">
        <f t="shared" si="95"/>
        <v>64.229676878151835</v>
      </c>
      <c r="B624" s="40">
        <f t="shared" si="95"/>
        <v>32.933286051621081</v>
      </c>
      <c r="C624" s="41">
        <f t="shared" si="90"/>
        <v>0.49289226185293716</v>
      </c>
      <c r="D624" s="41">
        <f t="shared" si="91"/>
        <v>0.98069361229543572</v>
      </c>
      <c r="E624" s="39">
        <f>IF(_xlfn.NORM.INV(R624,C624,'Regressão Grupo 2'!$B$7)&lt;=0,0,IF(_xlfn.NORM.INV(R624,C624,'Regressão Grupo 2'!$B$7)&gt;100%,100%,_xlfn.NORM.INV(R624,C624,'Regressão Grupo 2'!$B$7)))</f>
        <v>0.67707216830124595</v>
      </c>
      <c r="F624" s="39">
        <f>IF(_xlfn.NORM.INV(S624,D624,'Regressão Grupo 2'!$B$7)&lt;=0,0,IF(_xlfn.NORM.INV(S624,D624,'Regressão Grupo 2'!$B$7)&gt;100%,100%,_xlfn.NORM.INV(S624,D624,'Regressão Grupo 2'!$B$7)))</f>
        <v>0.98571391107353146</v>
      </c>
      <c r="G624" s="41">
        <v>2.4729396309910945E-2</v>
      </c>
      <c r="H624" s="41">
        <v>1.5932388607984328E-2</v>
      </c>
      <c r="I624" s="40">
        <f t="shared" si="92"/>
        <v>334.72642888862362</v>
      </c>
      <c r="J624" s="40">
        <f t="shared" si="92"/>
        <v>0</v>
      </c>
      <c r="K624" s="36">
        <v>0.34584946244216297</v>
      </c>
      <c r="L624" s="42">
        <f t="shared" si="98"/>
        <v>19991.322604477216</v>
      </c>
      <c r="M624" s="42">
        <f t="shared" si="98"/>
        <v>0</v>
      </c>
      <c r="N624" s="42">
        <f t="shared" si="93"/>
        <v>6913.9881762663063</v>
      </c>
      <c r="O624" s="36">
        <v>5.6610662179442297</v>
      </c>
      <c r="P624" s="42">
        <f t="shared" si="94"/>
        <v>12690.473714993157</v>
      </c>
      <c r="Q624" s="42"/>
      <c r="R624">
        <v>0.90856654560991246</v>
      </c>
      <c r="S624">
        <v>0.5144810327463607</v>
      </c>
    </row>
    <row r="625" spans="1:19" x14ac:dyDescent="0.25">
      <c r="A625" s="40">
        <f t="shared" si="95"/>
        <v>64.229676878151835</v>
      </c>
      <c r="B625" s="40">
        <f t="shared" si="95"/>
        <v>32.933286051621081</v>
      </c>
      <c r="C625" s="41">
        <f t="shared" si="90"/>
        <v>0.49289226185293716</v>
      </c>
      <c r="D625" s="41">
        <f t="shared" si="91"/>
        <v>0.98069361229543572</v>
      </c>
      <c r="E625" s="39">
        <f>IF(_xlfn.NORM.INV(R625,C625,'Regressão Grupo 2'!$B$7)&lt;=0,0,IF(_xlfn.NORM.INV(R625,C625,'Regressão Grupo 2'!$B$7)&gt;100%,100%,_xlfn.NORM.INV(R625,C625,'Regressão Grupo 2'!$B$7)))</f>
        <v>0.6489181583873832</v>
      </c>
      <c r="F625" s="39">
        <f>IF(_xlfn.NORM.INV(S625,D625,'Regressão Grupo 2'!$B$7)&lt;=0,0,IF(_xlfn.NORM.INV(S625,D625,'Regressão Grupo 2'!$B$7)&gt;100%,100%,_xlfn.NORM.INV(S625,D625,'Regressão Grupo 2'!$B$7)))</f>
        <v>0.99619615242169623</v>
      </c>
      <c r="G625" s="41">
        <v>1.5375726915248666E-2</v>
      </c>
      <c r="H625" s="41">
        <v>1.5134442558192926E-2</v>
      </c>
      <c r="I625" s="40">
        <f t="shared" si="92"/>
        <v>199.46518839335394</v>
      </c>
      <c r="J625" s="40">
        <f t="shared" si="92"/>
        <v>0</v>
      </c>
      <c r="K625" s="36">
        <v>0.27083349770638848</v>
      </c>
      <c r="L625" s="42">
        <f t="shared" si="98"/>
        <v>19991.322604477216</v>
      </c>
      <c r="M625" s="42">
        <f t="shared" si="98"/>
        <v>0</v>
      </c>
      <c r="N625" s="42">
        <f t="shared" si="93"/>
        <v>5414.319824747352</v>
      </c>
      <c r="O625" s="36">
        <v>6.3155969932329645</v>
      </c>
      <c r="P625" s="42">
        <f t="shared" si="94"/>
        <v>6137.5230301257416</v>
      </c>
      <c r="Q625" s="42"/>
      <c r="R625">
        <v>0.87041840876491594</v>
      </c>
      <c r="S625">
        <v>0.54463332010864585</v>
      </c>
    </row>
    <row r="626" spans="1:19" x14ac:dyDescent="0.25">
      <c r="A626" s="40">
        <f t="shared" si="95"/>
        <v>64.229676878151835</v>
      </c>
      <c r="B626" s="40">
        <f t="shared" si="95"/>
        <v>32.933286051621081</v>
      </c>
      <c r="C626" s="41">
        <f t="shared" si="90"/>
        <v>0.49289226185293716</v>
      </c>
      <c r="D626" s="41">
        <f t="shared" si="91"/>
        <v>0.98069361229543572</v>
      </c>
      <c r="E626" s="39">
        <f>IF(_xlfn.NORM.INV(R626,C626,'Regressão Grupo 2'!$B$7)&lt;=0,0,IF(_xlfn.NORM.INV(R626,C626,'Regressão Grupo 2'!$B$7)&gt;100%,100%,_xlfn.NORM.INV(R626,C626,'Regressão Grupo 2'!$B$7)))</f>
        <v>0.14875366312947402</v>
      </c>
      <c r="F626" s="39">
        <f>IF(_xlfn.NORM.INV(S626,D626,'Regressão Grupo 2'!$B$7)&lt;=0,0,IF(_xlfn.NORM.INV(S626,D626,'Regressão Grupo 2'!$B$7)&gt;100%,100%,_xlfn.NORM.INV(S626,D626,'Regressão Grupo 2'!$B$7)))</f>
        <v>0.99331463877362758</v>
      </c>
      <c r="G626" s="41">
        <v>2.0485637804962278E-2</v>
      </c>
      <c r="H626" s="41">
        <v>1.8941128298214222E-2</v>
      </c>
      <c r="I626" s="40">
        <f t="shared" si="92"/>
        <v>60.919830554682065</v>
      </c>
      <c r="J626" s="40">
        <f t="shared" si="92"/>
        <v>0</v>
      </c>
      <c r="K626" s="36">
        <v>0.2983948068423643</v>
      </c>
      <c r="L626" s="42">
        <f t="shared" si="98"/>
        <v>19991.322604477216</v>
      </c>
      <c r="M626" s="42">
        <f t="shared" si="98"/>
        <v>0</v>
      </c>
      <c r="N626" s="42">
        <f t="shared" si="93"/>
        <v>5965.30684708637</v>
      </c>
      <c r="O626" s="36">
        <v>6.7952931484297743</v>
      </c>
      <c r="P626" s="42">
        <f t="shared" si="94"/>
        <v>-2466.4139222591134</v>
      </c>
      <c r="Q626" s="42"/>
      <c r="R626">
        <v>6.4088869899594104E-3</v>
      </c>
      <c r="S626">
        <v>0.53636280404065062</v>
      </c>
    </row>
    <row r="627" spans="1:19" x14ac:dyDescent="0.25">
      <c r="A627" s="40">
        <f t="shared" si="95"/>
        <v>64.229676878151835</v>
      </c>
      <c r="B627" s="40">
        <f t="shared" si="95"/>
        <v>32.933286051621081</v>
      </c>
      <c r="C627" s="41">
        <f t="shared" si="90"/>
        <v>0.49289226185293716</v>
      </c>
      <c r="D627" s="41">
        <f t="shared" si="91"/>
        <v>0.98069361229543572</v>
      </c>
      <c r="E627" s="39">
        <f>IF(_xlfn.NORM.INV(R627,C627,'Regressão Grupo 2'!$B$7)&lt;=0,0,IF(_xlfn.NORM.INV(R627,C627,'Regressão Grupo 2'!$B$7)&gt;100%,100%,_xlfn.NORM.INV(R627,C627,'Regressão Grupo 2'!$B$7)))</f>
        <v>0.52598086410115386</v>
      </c>
      <c r="F627" s="39">
        <f>IF(_xlfn.NORM.INV(S627,D627,'Regressão Grupo 2'!$B$7)&lt;=0,0,IF(_xlfn.NORM.INV(S627,D627,'Regressão Grupo 2'!$B$7)&gt;100%,100%,_xlfn.NORM.INV(S627,D627,'Regressão Grupo 2'!$B$7)))</f>
        <v>1</v>
      </c>
      <c r="G627" s="41">
        <v>1.3808045113332921E-2</v>
      </c>
      <c r="H627" s="41">
        <v>1.1628978971203328E-2</v>
      </c>
      <c r="I627" s="40">
        <f t="shared" si="92"/>
        <v>145.19232809898153</v>
      </c>
      <c r="J627" s="40">
        <f t="shared" si="92"/>
        <v>0</v>
      </c>
      <c r="K627" s="36">
        <v>0.13415470627265427</v>
      </c>
      <c r="L627" s="42">
        <f t="shared" si="98"/>
        <v>19991.322604477216</v>
      </c>
      <c r="M627" s="42">
        <f t="shared" si="98"/>
        <v>0</v>
      </c>
      <c r="N627" s="42">
        <f t="shared" si="93"/>
        <v>2681.930012005515</v>
      </c>
      <c r="O627" s="36">
        <v>3.2605252836522047</v>
      </c>
      <c r="P627" s="42">
        <f t="shared" si="94"/>
        <v>6170.3230502196175</v>
      </c>
      <c r="Q627" s="42"/>
      <c r="R627">
        <v>0.59456160161137728</v>
      </c>
      <c r="S627">
        <v>0.79384746848963894</v>
      </c>
    </row>
    <row r="628" spans="1:19" x14ac:dyDescent="0.25">
      <c r="A628" s="40">
        <f t="shared" si="95"/>
        <v>64.229676878151835</v>
      </c>
      <c r="B628" s="40">
        <f t="shared" si="95"/>
        <v>32.933286051621081</v>
      </c>
      <c r="C628" s="41">
        <f t="shared" si="90"/>
        <v>0.49289226185293716</v>
      </c>
      <c r="D628" s="41">
        <f t="shared" si="91"/>
        <v>0.98069361229543572</v>
      </c>
      <c r="E628" s="39">
        <f>IF(_xlfn.NORM.INV(R628,C628,'Regressão Grupo 2'!$B$7)&lt;=0,0,IF(_xlfn.NORM.INV(R628,C628,'Regressão Grupo 2'!$B$7)&gt;100%,100%,_xlfn.NORM.INV(R628,C628,'Regressão Grupo 2'!$B$7)))</f>
        <v>0.53549261875283949</v>
      </c>
      <c r="F628" s="39">
        <f>IF(_xlfn.NORM.INV(S628,D628,'Regressão Grupo 2'!$B$7)&lt;=0,0,IF(_xlfn.NORM.INV(S628,D628,'Regressão Grupo 2'!$B$7)&gt;100%,100%,_xlfn.NORM.INV(S628,D628,'Regressão Grupo 2'!$B$7)))</f>
        <v>1</v>
      </c>
      <c r="G628" s="41">
        <v>9.517562293171215E-3</v>
      </c>
      <c r="H628" s="41">
        <v>2.4581693322916005E-2</v>
      </c>
      <c r="I628" s="40">
        <f t="shared" si="92"/>
        <v>101.88746205199399</v>
      </c>
      <c r="J628" s="40">
        <f t="shared" si="92"/>
        <v>0</v>
      </c>
      <c r="K628" s="36">
        <v>0.34479444536140524</v>
      </c>
      <c r="L628" s="42">
        <f t="shared" si="98"/>
        <v>19991.322604477216</v>
      </c>
      <c r="M628" s="42">
        <f t="shared" si="98"/>
        <v>0</v>
      </c>
      <c r="N628" s="42">
        <f t="shared" si="93"/>
        <v>6892.8969894516449</v>
      </c>
      <c r="O628" s="36">
        <v>6.1972618521898717</v>
      </c>
      <c r="P628" s="42">
        <f t="shared" si="94"/>
        <v>-980.12150570837912</v>
      </c>
      <c r="Q628" s="42"/>
      <c r="R628">
        <v>0.62099063081759087</v>
      </c>
      <c r="S628">
        <v>0.72542497024445329</v>
      </c>
    </row>
    <row r="629" spans="1:19" x14ac:dyDescent="0.25">
      <c r="A629" s="40">
        <f t="shared" si="95"/>
        <v>64.229676878151835</v>
      </c>
      <c r="B629" s="40">
        <f t="shared" si="95"/>
        <v>32.933286051621081</v>
      </c>
      <c r="C629" s="41">
        <f t="shared" si="90"/>
        <v>0.49289226185293716</v>
      </c>
      <c r="D629" s="41">
        <f t="shared" si="91"/>
        <v>0.98069361229543572</v>
      </c>
      <c r="E629" s="39">
        <f>IF(_xlfn.NORM.INV(R629,C629,'Regressão Grupo 2'!$B$7)&lt;=0,0,IF(_xlfn.NORM.INV(R629,C629,'Regressão Grupo 2'!$B$7)&gt;100%,100%,_xlfn.NORM.INV(R629,C629,'Regressão Grupo 2'!$B$7)))</f>
        <v>0.51794480760225714</v>
      </c>
      <c r="F629" s="39">
        <f>IF(_xlfn.NORM.INV(S629,D629,'Regressão Grupo 2'!$B$7)&lt;=0,0,IF(_xlfn.NORM.INV(S629,D629,'Regressão Grupo 2'!$B$7)&gt;100%,100%,_xlfn.NORM.INV(S629,D629,'Regressão Grupo 2'!$B$7)))</f>
        <v>0.90843550263284856</v>
      </c>
      <c r="G629" s="41">
        <v>1.5581714947278499E-2</v>
      </c>
      <c r="H629" s="41">
        <v>1.5277872051564665E-2</v>
      </c>
      <c r="I629" s="40">
        <f t="shared" si="92"/>
        <v>161.33933636369628</v>
      </c>
      <c r="J629" s="40">
        <f t="shared" si="92"/>
        <v>0</v>
      </c>
      <c r="K629" s="36">
        <v>0.24928882810744035</v>
      </c>
      <c r="L629" s="42">
        <f t="shared" si="98"/>
        <v>19991.322604477216</v>
      </c>
      <c r="M629" s="42">
        <f t="shared" si="98"/>
        <v>0</v>
      </c>
      <c r="N629" s="42">
        <f t="shared" si="93"/>
        <v>4983.6133843879079</v>
      </c>
      <c r="O629" s="36">
        <v>6.7171728714055385</v>
      </c>
      <c r="P629" s="42">
        <f t="shared" si="94"/>
        <v>4295.4158446749634</v>
      </c>
      <c r="Q629" s="42"/>
      <c r="R629">
        <v>0.57188634907071134</v>
      </c>
      <c r="S629">
        <v>0.30063783684804835</v>
      </c>
    </row>
    <row r="630" spans="1:19" x14ac:dyDescent="0.25">
      <c r="A630" s="40">
        <f t="shared" si="95"/>
        <v>64.229676878151835</v>
      </c>
      <c r="B630" s="40">
        <f t="shared" si="95"/>
        <v>32.933286051621081</v>
      </c>
      <c r="C630" s="41">
        <f t="shared" si="90"/>
        <v>0.49289226185293716</v>
      </c>
      <c r="D630" s="41">
        <f t="shared" si="91"/>
        <v>0.98069361229543572</v>
      </c>
      <c r="E630" s="39">
        <f>IF(_xlfn.NORM.INV(R630,C630,'Regressão Grupo 2'!$B$7)&lt;=0,0,IF(_xlfn.NORM.INV(R630,C630,'Regressão Grupo 2'!$B$7)&gt;100%,100%,_xlfn.NORM.INV(R630,C630,'Regressão Grupo 2'!$B$7)))</f>
        <v>0.5162906141214002</v>
      </c>
      <c r="F630" s="39">
        <f>IF(_xlfn.NORM.INV(S630,D630,'Regressão Grupo 2'!$B$7)&lt;=0,0,IF(_xlfn.NORM.INV(S630,D630,'Regressão Grupo 2'!$B$7)&gt;100%,100%,_xlfn.NORM.INV(S630,D630,'Regressão Grupo 2'!$B$7)))</f>
        <v>0.82956769952611076</v>
      </c>
      <c r="G630" s="41">
        <v>2.2538739356203364E-2</v>
      </c>
      <c r="H630" s="41">
        <v>1.98858532332278E-2</v>
      </c>
      <c r="I630" s="40">
        <f t="shared" si="92"/>
        <v>232.62981681824354</v>
      </c>
      <c r="J630" s="40">
        <f t="shared" si="92"/>
        <v>0</v>
      </c>
      <c r="K630" s="36">
        <v>0.34768949431236773</v>
      </c>
      <c r="L630" s="42">
        <f t="shared" si="98"/>
        <v>19991.322604477216</v>
      </c>
      <c r="M630" s="42">
        <f t="shared" si="98"/>
        <v>0</v>
      </c>
      <c r="N630" s="42">
        <f t="shared" si="93"/>
        <v>6950.7728469860895</v>
      </c>
      <c r="O630" s="36">
        <v>3.333185070953939</v>
      </c>
      <c r="P630" s="42">
        <f t="shared" si="94"/>
        <v>7215.5668869960255</v>
      </c>
      <c r="Q630" s="42"/>
      <c r="R630">
        <v>0.5671864986114078</v>
      </c>
      <c r="S630">
        <v>0.13721121860408339</v>
      </c>
    </row>
    <row r="631" spans="1:19" x14ac:dyDescent="0.25">
      <c r="A631" s="40">
        <f t="shared" si="95"/>
        <v>64.229676878151835</v>
      </c>
      <c r="B631" s="40">
        <f t="shared" si="95"/>
        <v>32.933286051621081</v>
      </c>
      <c r="C631" s="41">
        <f t="shared" si="90"/>
        <v>0.49289226185293716</v>
      </c>
      <c r="D631" s="41">
        <f t="shared" si="91"/>
        <v>0.98069361229543572</v>
      </c>
      <c r="E631" s="39">
        <f>IF(_xlfn.NORM.INV(R631,C631,'Regressão Grupo 2'!$B$7)&lt;=0,0,IF(_xlfn.NORM.INV(R631,C631,'Regressão Grupo 2'!$B$7)&gt;100%,100%,_xlfn.NORM.INV(R631,C631,'Regressão Grupo 2'!$B$7)))</f>
        <v>0.54032230714182772</v>
      </c>
      <c r="F631" s="39">
        <f>IF(_xlfn.NORM.INV(S631,D631,'Regressão Grupo 2'!$B$7)&lt;=0,0,IF(_xlfn.NORM.INV(S631,D631,'Regressão Grupo 2'!$B$7)&gt;100%,100%,_xlfn.NORM.INV(S631,D631,'Regressão Grupo 2'!$B$7)))</f>
        <v>0.78087796046798674</v>
      </c>
      <c r="G631" s="41">
        <v>1.2272793078486948E-2</v>
      </c>
      <c r="H631" s="41">
        <v>9.0414684525897005E-3</v>
      </c>
      <c r="I631" s="40">
        <f t="shared" si="92"/>
        <v>132.56773532541973</v>
      </c>
      <c r="J631" s="40">
        <f t="shared" si="92"/>
        <v>0</v>
      </c>
      <c r="K631" s="36">
        <v>0.28787575264359283</v>
      </c>
      <c r="L631" s="42">
        <f t="shared" ref="L631:M646" si="99">L630</f>
        <v>19991.322604477216</v>
      </c>
      <c r="M631" s="42">
        <f t="shared" si="99"/>
        <v>0</v>
      </c>
      <c r="N631" s="42">
        <f t="shared" si="93"/>
        <v>5755.0170411047493</v>
      </c>
      <c r="O631" s="36">
        <v>9.1704485662871438</v>
      </c>
      <c r="P631" s="42">
        <f t="shared" si="94"/>
        <v>1544.060164964385</v>
      </c>
      <c r="Q631" s="42"/>
      <c r="R631">
        <v>0.63420514542069761</v>
      </c>
      <c r="S631">
        <v>7.4221015045625172E-2</v>
      </c>
    </row>
    <row r="632" spans="1:19" x14ac:dyDescent="0.25">
      <c r="A632" s="40">
        <f t="shared" si="95"/>
        <v>64.229676878151835</v>
      </c>
      <c r="B632" s="40">
        <f t="shared" si="95"/>
        <v>32.933286051621081</v>
      </c>
      <c r="C632" s="41">
        <f t="shared" si="90"/>
        <v>0.49289226185293716</v>
      </c>
      <c r="D632" s="41">
        <f t="shared" si="91"/>
        <v>0.98069361229543572</v>
      </c>
      <c r="E632" s="39">
        <f>IF(_xlfn.NORM.INV(R632,C632,'Regressão Grupo 2'!$B$7)&lt;=0,0,IF(_xlfn.NORM.INV(R632,C632,'Regressão Grupo 2'!$B$7)&gt;100%,100%,_xlfn.NORM.INV(R632,C632,'Regressão Grupo 2'!$B$7)))</f>
        <v>0.61147421699079796</v>
      </c>
      <c r="F632" s="39">
        <f>IF(_xlfn.NORM.INV(S632,D632,'Regressão Grupo 2'!$B$7)&lt;=0,0,IF(_xlfn.NORM.INV(S632,D632,'Regressão Grupo 2'!$B$7)&gt;100%,100%,_xlfn.NORM.INV(S632,D632,'Regressão Grupo 2'!$B$7)))</f>
        <v>0.95738109868716403</v>
      </c>
      <c r="G632" s="41">
        <v>1.53204391295293E-2</v>
      </c>
      <c r="H632" s="41">
        <v>2.0250434041514439E-2</v>
      </c>
      <c r="I632" s="40">
        <f t="shared" si="92"/>
        <v>187.27978010800464</v>
      </c>
      <c r="J632" s="40">
        <f t="shared" si="92"/>
        <v>0</v>
      </c>
      <c r="K632" s="36">
        <v>0.38717697742114809</v>
      </c>
      <c r="L632" s="42">
        <f t="shared" si="99"/>
        <v>19991.322604477216</v>
      </c>
      <c r="M632" s="42">
        <f t="shared" si="99"/>
        <v>0</v>
      </c>
      <c r="N632" s="42">
        <f t="shared" si="93"/>
        <v>7740.1798606525626</v>
      </c>
      <c r="O632" s="36">
        <v>8.7897874113206491</v>
      </c>
      <c r="P632" s="42">
        <f t="shared" si="94"/>
        <v>2642.5904479076635</v>
      </c>
      <c r="Q632" s="42"/>
      <c r="R632">
        <v>0.80443739127781</v>
      </c>
      <c r="S632">
        <v>0.43305764946440017</v>
      </c>
    </row>
    <row r="633" spans="1:19" x14ac:dyDescent="0.25">
      <c r="A633" s="40">
        <f t="shared" si="95"/>
        <v>64.229676878151835</v>
      </c>
      <c r="B633" s="40">
        <f t="shared" si="95"/>
        <v>32.933286051621081</v>
      </c>
      <c r="C633" s="41">
        <f t="shared" si="90"/>
        <v>0.49289226185293716</v>
      </c>
      <c r="D633" s="41">
        <f t="shared" si="91"/>
        <v>0.98069361229543572</v>
      </c>
      <c r="E633" s="39">
        <f>IF(_xlfn.NORM.INV(R633,C633,'Regressão Grupo 2'!$B$7)&lt;=0,0,IF(_xlfn.NORM.INV(R633,C633,'Regressão Grupo 2'!$B$7)&gt;100%,100%,_xlfn.NORM.INV(R633,C633,'Regressão Grupo 2'!$B$7)))</f>
        <v>0.55712057341869003</v>
      </c>
      <c r="F633" s="39">
        <f>IF(_xlfn.NORM.INV(S633,D633,'Regressão Grupo 2'!$B$7)&lt;=0,0,IF(_xlfn.NORM.INV(S633,D633,'Regressão Grupo 2'!$B$7)&gt;100%,100%,_xlfn.NORM.INV(S633,D633,'Regressão Grupo 2'!$B$7)))</f>
        <v>0.89941353597260587</v>
      </c>
      <c r="G633" s="41">
        <v>5.2065734433088375E-3</v>
      </c>
      <c r="H633" s="41">
        <v>8.6751323458995177E-3</v>
      </c>
      <c r="I633" s="40">
        <f t="shared" si="92"/>
        <v>57.98861321833153</v>
      </c>
      <c r="J633" s="40">
        <f t="shared" si="92"/>
        <v>0</v>
      </c>
      <c r="K633" s="36">
        <v>0.29002667942456772</v>
      </c>
      <c r="L633" s="42">
        <f t="shared" si="99"/>
        <v>19991.322604477216</v>
      </c>
      <c r="M633" s="42">
        <f t="shared" si="99"/>
        <v>0</v>
      </c>
      <c r="N633" s="42">
        <f t="shared" si="93"/>
        <v>5798.0169122818279</v>
      </c>
      <c r="O633" s="36">
        <v>5.0620030360147714</v>
      </c>
      <c r="P633" s="42">
        <f t="shared" si="94"/>
        <v>-2366.9655588217502</v>
      </c>
      <c r="Q633" s="42"/>
      <c r="R633">
        <v>0.67885372478408157</v>
      </c>
      <c r="S633">
        <v>0.27832880642109442</v>
      </c>
    </row>
    <row r="634" spans="1:19" x14ac:dyDescent="0.25">
      <c r="A634" s="40">
        <f t="shared" si="95"/>
        <v>64.229676878151835</v>
      </c>
      <c r="B634" s="40">
        <f t="shared" si="95"/>
        <v>32.933286051621081</v>
      </c>
      <c r="C634" s="41">
        <f t="shared" si="90"/>
        <v>0.49289226185293716</v>
      </c>
      <c r="D634" s="41">
        <f t="shared" si="91"/>
        <v>0.98069361229543572</v>
      </c>
      <c r="E634" s="39">
        <f>IF(_xlfn.NORM.INV(R634,C634,'Regressão Grupo 2'!$B$7)&lt;=0,0,IF(_xlfn.NORM.INV(R634,C634,'Regressão Grupo 2'!$B$7)&gt;100%,100%,_xlfn.NORM.INV(R634,C634,'Regressão Grupo 2'!$B$7)))</f>
        <v>0.59672349612509779</v>
      </c>
      <c r="F634" s="39">
        <f>IF(_xlfn.NORM.INV(S634,D634,'Regressão Grupo 2'!$B$7)&lt;=0,0,IF(_xlfn.NORM.INV(S634,D634,'Regressão Grupo 2'!$B$7)&gt;100%,100%,_xlfn.NORM.INV(S634,D634,'Regressão Grupo 2'!$B$7)))</f>
        <v>1</v>
      </c>
      <c r="G634" s="41">
        <v>1.9619226602657396E-2</v>
      </c>
      <c r="H634" s="41">
        <v>1.7434625450204778E-2</v>
      </c>
      <c r="I634" s="40">
        <f t="shared" si="92"/>
        <v>234.04348132315008</v>
      </c>
      <c r="J634" s="40">
        <f t="shared" si="92"/>
        <v>0</v>
      </c>
      <c r="K634" s="36">
        <v>0.33170296037345726</v>
      </c>
      <c r="L634" s="42">
        <f t="shared" si="99"/>
        <v>19991.322604477216</v>
      </c>
      <c r="M634" s="42">
        <f t="shared" si="99"/>
        <v>0</v>
      </c>
      <c r="N634" s="42">
        <f t="shared" si="93"/>
        <v>6631.1808896859065</v>
      </c>
      <c r="O634" s="36">
        <v>6.3919674387458025</v>
      </c>
      <c r="P634" s="42">
        <f t="shared" si="94"/>
        <v>6905.3579792695009</v>
      </c>
      <c r="Q634" s="42"/>
      <c r="R634">
        <v>0.77364421521652882</v>
      </c>
      <c r="S634">
        <v>0.99392681661427651</v>
      </c>
    </row>
    <row r="635" spans="1:19" x14ac:dyDescent="0.25">
      <c r="A635" s="40">
        <f t="shared" si="95"/>
        <v>64.229676878151835</v>
      </c>
      <c r="B635" s="40">
        <f t="shared" si="95"/>
        <v>32.933286051621081</v>
      </c>
      <c r="C635" s="41">
        <f t="shared" si="90"/>
        <v>0.49289226185293716</v>
      </c>
      <c r="D635" s="41">
        <f t="shared" si="91"/>
        <v>0.98069361229543572</v>
      </c>
      <c r="E635" s="39">
        <f>IF(_xlfn.NORM.INV(R635,C635,'Regressão Grupo 2'!$B$7)&lt;=0,0,IF(_xlfn.NORM.INV(R635,C635,'Regressão Grupo 2'!$B$7)&gt;100%,100%,_xlfn.NORM.INV(R635,C635,'Regressão Grupo 2'!$B$7)))</f>
        <v>0.72343375175149882</v>
      </c>
      <c r="F635" s="39">
        <f>IF(_xlfn.NORM.INV(S635,D635,'Regressão Grupo 2'!$B$7)&lt;=0,0,IF(_xlfn.NORM.INV(S635,D635,'Regressão Grupo 2'!$B$7)&gt;100%,100%,_xlfn.NORM.INV(S635,D635,'Regressão Grupo 2'!$B$7)))</f>
        <v>0.98287803189194123</v>
      </c>
      <c r="G635" s="41">
        <v>4.8844687132530897E-3</v>
      </c>
      <c r="H635" s="41">
        <v>1.2401163360413022E-2</v>
      </c>
      <c r="I635" s="40">
        <f t="shared" si="92"/>
        <v>70.641128176893005</v>
      </c>
      <c r="J635" s="40">
        <f t="shared" si="92"/>
        <v>0</v>
      </c>
      <c r="K635" s="36">
        <v>0.35642898756194619</v>
      </c>
      <c r="L635" s="42">
        <f t="shared" si="99"/>
        <v>19991.322604477216</v>
      </c>
      <c r="M635" s="42">
        <f t="shared" si="99"/>
        <v>0</v>
      </c>
      <c r="N635" s="42">
        <f t="shared" si="93"/>
        <v>7125.4868759380633</v>
      </c>
      <c r="O635" s="36">
        <v>5.542322436017769</v>
      </c>
      <c r="P635" s="42">
        <f t="shared" si="94"/>
        <v>-2979.7459484285191</v>
      </c>
      <c r="Q635" s="42"/>
      <c r="R635">
        <v>0.95226905117954042</v>
      </c>
      <c r="S635">
        <v>0.50630207220679346</v>
      </c>
    </row>
    <row r="636" spans="1:19" x14ac:dyDescent="0.25">
      <c r="A636" s="40">
        <f t="shared" si="95"/>
        <v>64.229676878151835</v>
      </c>
      <c r="B636" s="40">
        <f t="shared" si="95"/>
        <v>32.933286051621081</v>
      </c>
      <c r="C636" s="41">
        <f t="shared" si="90"/>
        <v>0.49289226185293716</v>
      </c>
      <c r="D636" s="41">
        <f t="shared" si="91"/>
        <v>0.98069361229543572</v>
      </c>
      <c r="E636" s="39">
        <f>IF(_xlfn.NORM.INV(R636,C636,'Regressão Grupo 2'!$B$7)&lt;=0,0,IF(_xlfn.NORM.INV(R636,C636,'Regressão Grupo 2'!$B$7)&gt;100%,100%,_xlfn.NORM.INV(R636,C636,'Regressão Grupo 2'!$B$7)))</f>
        <v>0.37507245996454919</v>
      </c>
      <c r="F636" s="39">
        <f>IF(_xlfn.NORM.INV(S636,D636,'Regressão Grupo 2'!$B$7)&lt;=0,0,IF(_xlfn.NORM.INV(S636,D636,'Regressão Grupo 2'!$B$7)&gt;100%,100%,_xlfn.NORM.INV(S636,D636,'Regressão Grupo 2'!$B$7)))</f>
        <v>1</v>
      </c>
      <c r="G636" s="41">
        <v>1.6443391447605763E-2</v>
      </c>
      <c r="H636" s="41">
        <v>2.0265483202061212E-2</v>
      </c>
      <c r="I636" s="40">
        <f t="shared" si="92"/>
        <v>123.29574809001406</v>
      </c>
      <c r="J636" s="40">
        <f t="shared" si="92"/>
        <v>0</v>
      </c>
      <c r="K636" s="36">
        <v>0.1986103296622056</v>
      </c>
      <c r="L636" s="42">
        <f t="shared" si="99"/>
        <v>19991.322604477216</v>
      </c>
      <c r="M636" s="42">
        <f t="shared" si="99"/>
        <v>0</v>
      </c>
      <c r="N636" s="42">
        <f t="shared" si="93"/>
        <v>3970.4831728587224</v>
      </c>
      <c r="O636" s="36">
        <v>7.9832953967412639</v>
      </c>
      <c r="P636" s="42">
        <f t="shared" si="94"/>
        <v>2964.4565092481071</v>
      </c>
      <c r="Q636" s="42"/>
      <c r="R636">
        <v>0.19708853419598987</v>
      </c>
      <c r="S636">
        <v>0.64549699392681659</v>
      </c>
    </row>
    <row r="637" spans="1:19" x14ac:dyDescent="0.25">
      <c r="A637" s="40">
        <f t="shared" si="95"/>
        <v>64.229676878151835</v>
      </c>
      <c r="B637" s="40">
        <f t="shared" si="95"/>
        <v>32.933286051621081</v>
      </c>
      <c r="C637" s="41">
        <f t="shared" si="90"/>
        <v>0.49289226185293716</v>
      </c>
      <c r="D637" s="41">
        <f t="shared" si="91"/>
        <v>0.98069361229543572</v>
      </c>
      <c r="E637" s="39">
        <f>IF(_xlfn.NORM.INV(R637,C637,'Regressão Grupo 2'!$B$7)&lt;=0,0,IF(_xlfn.NORM.INV(R637,C637,'Regressão Grupo 2'!$B$7)&gt;100%,100%,_xlfn.NORM.INV(R637,C637,'Regressão Grupo 2'!$B$7)))</f>
        <v>0.49258021462507651</v>
      </c>
      <c r="F637" s="39">
        <f>IF(_xlfn.NORM.INV(S637,D637,'Regressão Grupo 2'!$B$7)&lt;=0,0,IF(_xlfn.NORM.INV(S637,D637,'Regressão Grupo 2'!$B$7)&gt;100%,100%,_xlfn.NORM.INV(S637,D637,'Regressão Grupo 2'!$B$7)))</f>
        <v>1</v>
      </c>
      <c r="G637" s="41">
        <v>1.5074767692635879E-2</v>
      </c>
      <c r="H637" s="41">
        <v>2.5407202838924097E-2</v>
      </c>
      <c r="I637" s="40">
        <f t="shared" si="92"/>
        <v>148.44621182845333</v>
      </c>
      <c r="J637" s="40">
        <f t="shared" si="92"/>
        <v>0</v>
      </c>
      <c r="K637" s="36">
        <v>0.25259149214499682</v>
      </c>
      <c r="L637" s="42">
        <f t="shared" si="99"/>
        <v>19991.322604477216</v>
      </c>
      <c r="M637" s="42">
        <f t="shared" si="99"/>
        <v>0</v>
      </c>
      <c r="N637" s="42">
        <f t="shared" si="93"/>
        <v>5049.638006616904</v>
      </c>
      <c r="O637" s="36">
        <v>8.7972414849107867</v>
      </c>
      <c r="P637" s="42">
        <f t="shared" si="94"/>
        <v>3179.0970399352118</v>
      </c>
      <c r="Q637" s="42"/>
      <c r="R637">
        <v>0.49909970397045811</v>
      </c>
      <c r="S637">
        <v>0.55815301980651266</v>
      </c>
    </row>
    <row r="638" spans="1:19" x14ac:dyDescent="0.25">
      <c r="A638" s="40">
        <f t="shared" si="95"/>
        <v>64.229676878151835</v>
      </c>
      <c r="B638" s="40">
        <f t="shared" si="95"/>
        <v>32.933286051621081</v>
      </c>
      <c r="C638" s="41">
        <f t="shared" si="90"/>
        <v>0.49289226185293716</v>
      </c>
      <c r="D638" s="41">
        <f t="shared" si="91"/>
        <v>0.98069361229543572</v>
      </c>
      <c r="E638" s="39">
        <f>IF(_xlfn.NORM.INV(R638,C638,'Regressão Grupo 2'!$B$7)&lt;=0,0,IF(_xlfn.NORM.INV(R638,C638,'Regressão Grupo 2'!$B$7)&gt;100%,100%,_xlfn.NORM.INV(R638,C638,'Regressão Grupo 2'!$B$7)))</f>
        <v>0.44795641529039953</v>
      </c>
      <c r="F638" s="39">
        <f>IF(_xlfn.NORM.INV(S638,D638,'Regressão Grupo 2'!$B$7)&lt;=0,0,IF(_xlfn.NORM.INV(S638,D638,'Regressão Grupo 2'!$B$7)&gt;100%,100%,_xlfn.NORM.INV(S638,D638,'Regressão Grupo 2'!$B$7)))</f>
        <v>1</v>
      </c>
      <c r="G638" s="41">
        <v>2.29570079937143E-2</v>
      </c>
      <c r="H638" s="41">
        <v>1.4332007095428848E-2</v>
      </c>
      <c r="I638" s="40">
        <f t="shared" si="92"/>
        <v>205.58554406233225</v>
      </c>
      <c r="J638" s="40">
        <f t="shared" si="92"/>
        <v>0</v>
      </c>
      <c r="K638" s="36">
        <v>0.43365003390510692</v>
      </c>
      <c r="L638" s="42">
        <f t="shared" si="99"/>
        <v>19991.322604477216</v>
      </c>
      <c r="M638" s="42">
        <f t="shared" si="99"/>
        <v>0</v>
      </c>
      <c r="N638" s="42">
        <f t="shared" si="93"/>
        <v>8669.2377252394745</v>
      </c>
      <c r="O638" s="36">
        <v>4.60451865424149</v>
      </c>
      <c r="P638" s="42">
        <f t="shared" si="94"/>
        <v>3588.8328680257782</v>
      </c>
      <c r="Q638" s="42"/>
      <c r="R638">
        <v>0.37260048219244973</v>
      </c>
      <c r="S638">
        <v>0.90124210333567312</v>
      </c>
    </row>
    <row r="639" spans="1:19" x14ac:dyDescent="0.25">
      <c r="A639" s="40">
        <f t="shared" si="95"/>
        <v>64.229676878151835</v>
      </c>
      <c r="B639" s="40">
        <f t="shared" si="95"/>
        <v>32.933286051621081</v>
      </c>
      <c r="C639" s="41">
        <f t="shared" si="90"/>
        <v>0.49289226185293716</v>
      </c>
      <c r="D639" s="41">
        <f t="shared" si="91"/>
        <v>0.98069361229543572</v>
      </c>
      <c r="E639" s="39">
        <f>IF(_xlfn.NORM.INV(R639,C639,'Regressão Grupo 2'!$B$7)&lt;=0,0,IF(_xlfn.NORM.INV(R639,C639,'Regressão Grupo 2'!$B$7)&gt;100%,100%,_xlfn.NORM.INV(R639,C639,'Regressão Grupo 2'!$B$7)))</f>
        <v>0.27672792052356432</v>
      </c>
      <c r="F639" s="39">
        <f>IF(_xlfn.NORM.INV(S639,D639,'Regressão Grupo 2'!$B$7)&lt;=0,0,IF(_xlfn.NORM.INV(S639,D639,'Regressão Grupo 2'!$B$7)&gt;100%,100%,_xlfn.NORM.INV(S639,D639,'Regressão Grupo 2'!$B$7)))</f>
        <v>1</v>
      </c>
      <c r="G639" s="41">
        <v>1.7209959787657603E-2</v>
      </c>
      <c r="H639" s="41">
        <v>8.9698548118298093E-3</v>
      </c>
      <c r="I639" s="40">
        <f t="shared" si="92"/>
        <v>95.208201795398239</v>
      </c>
      <c r="J639" s="40">
        <f t="shared" si="92"/>
        <v>0</v>
      </c>
      <c r="K639" s="36">
        <v>0.11415813563169352</v>
      </c>
      <c r="L639" s="42">
        <f t="shared" si="99"/>
        <v>19991.322604477216</v>
      </c>
      <c r="M639" s="42">
        <f t="shared" si="99"/>
        <v>0</v>
      </c>
      <c r="N639" s="42">
        <f t="shared" si="93"/>
        <v>2282.1721173388505</v>
      </c>
      <c r="O639" s="36">
        <v>10.713910727835446</v>
      </c>
      <c r="P639" s="42">
        <f t="shared" si="94"/>
        <v>2812.9677455358142</v>
      </c>
      <c r="Q639" s="42"/>
      <c r="R639">
        <v>5.8992278817102575E-2</v>
      </c>
      <c r="S639">
        <v>0.87566759239478742</v>
      </c>
    </row>
    <row r="640" spans="1:19" x14ac:dyDescent="0.25">
      <c r="A640" s="40">
        <f t="shared" si="95"/>
        <v>64.229676878151835</v>
      </c>
      <c r="B640" s="40">
        <f t="shared" si="95"/>
        <v>32.933286051621081</v>
      </c>
      <c r="C640" s="41">
        <f t="shared" si="90"/>
        <v>0.49289226185293716</v>
      </c>
      <c r="D640" s="41">
        <f t="shared" si="91"/>
        <v>0.98069361229543572</v>
      </c>
      <c r="E640" s="39">
        <f>IF(_xlfn.NORM.INV(R640,C640,'Regressão Grupo 2'!$B$7)&lt;=0,0,IF(_xlfn.NORM.INV(R640,C640,'Regressão Grupo 2'!$B$7)&gt;100%,100%,_xlfn.NORM.INV(R640,C640,'Regressão Grupo 2'!$B$7)))</f>
        <v>0.49042219944706761</v>
      </c>
      <c r="F640" s="39">
        <f>IF(_xlfn.NORM.INV(S640,D640,'Regressão Grupo 2'!$B$7)&lt;=0,0,IF(_xlfn.NORM.INV(S640,D640,'Regressão Grupo 2'!$B$7)&gt;100%,100%,_xlfn.NORM.INV(S640,D640,'Regressão Grupo 2'!$B$7)))</f>
        <v>0.82410663216035085</v>
      </c>
      <c r="G640" s="41">
        <v>2.2450199954678618E-2</v>
      </c>
      <c r="H640" s="41">
        <v>1.0581574050979481E-3</v>
      </c>
      <c r="I640" s="40">
        <f t="shared" si="92"/>
        <v>220.10599000799468</v>
      </c>
      <c r="J640" s="40">
        <f t="shared" si="92"/>
        <v>0</v>
      </c>
      <c r="K640" s="36">
        <v>0.28621646246326876</v>
      </c>
      <c r="L640" s="42">
        <f t="shared" si="99"/>
        <v>19991.322604477216</v>
      </c>
      <c r="M640" s="42">
        <f t="shared" si="99"/>
        <v>0</v>
      </c>
      <c r="N640" s="42">
        <f t="shared" si="93"/>
        <v>5721.8456358154499</v>
      </c>
      <c r="O640" s="36">
        <v>4.3364976447363128</v>
      </c>
      <c r="P640" s="42">
        <f t="shared" si="94"/>
        <v>7461.0018740817422</v>
      </c>
      <c r="Q640" s="42"/>
      <c r="R640">
        <v>0.49287392803735464</v>
      </c>
      <c r="S640">
        <v>0.12872707296975616</v>
      </c>
    </row>
    <row r="641" spans="1:19" x14ac:dyDescent="0.25">
      <c r="A641" s="40">
        <f t="shared" si="95"/>
        <v>64.229676878151835</v>
      </c>
      <c r="B641" s="40">
        <f t="shared" si="95"/>
        <v>32.933286051621081</v>
      </c>
      <c r="C641" s="41">
        <f t="shared" si="90"/>
        <v>0.49289226185293716</v>
      </c>
      <c r="D641" s="41">
        <f t="shared" si="91"/>
        <v>0.98069361229543572</v>
      </c>
      <c r="E641" s="39">
        <f>IF(_xlfn.NORM.INV(R641,C641,'Regressão Grupo 2'!$B$7)&lt;=0,0,IF(_xlfn.NORM.INV(R641,C641,'Regressão Grupo 2'!$B$7)&gt;100%,100%,_xlfn.NORM.INV(R641,C641,'Regressão Grupo 2'!$B$7)))</f>
        <v>0.37232709255540974</v>
      </c>
      <c r="F641" s="39">
        <f>IF(_xlfn.NORM.INV(S641,D641,'Regressão Grupo 2'!$B$7)&lt;=0,0,IF(_xlfn.NORM.INV(S641,D641,'Regressão Grupo 2'!$B$7)&gt;100%,100%,_xlfn.NORM.INV(S641,D641,'Regressão Grupo 2'!$B$7)))</f>
        <v>0.90498121278271726</v>
      </c>
      <c r="G641" s="41">
        <v>1.5762646729333158E-2</v>
      </c>
      <c r="H641" s="41">
        <v>1.7560918906506042E-2</v>
      </c>
      <c r="I641" s="40">
        <f t="shared" si="92"/>
        <v>117.32628213101381</v>
      </c>
      <c r="J641" s="40">
        <f t="shared" si="92"/>
        <v>0</v>
      </c>
      <c r="K641" s="36">
        <v>0.17661386440690974</v>
      </c>
      <c r="L641" s="42">
        <f t="shared" si="99"/>
        <v>19991.322604477216</v>
      </c>
      <c r="M641" s="42">
        <f t="shared" si="99"/>
        <v>0</v>
      </c>
      <c r="N641" s="42">
        <f t="shared" si="93"/>
        <v>3530.7447397819287</v>
      </c>
      <c r="O641" s="36">
        <v>4.5434036937678703</v>
      </c>
      <c r="P641" s="42">
        <f t="shared" si="94"/>
        <v>3472.0237871978688</v>
      </c>
      <c r="Q641" s="42"/>
      <c r="R641">
        <v>0.19162572099978636</v>
      </c>
      <c r="S641">
        <v>0.29200109866634116</v>
      </c>
    </row>
    <row r="642" spans="1:19" x14ac:dyDescent="0.25">
      <c r="A642" s="40">
        <f t="shared" si="95"/>
        <v>64.229676878151835</v>
      </c>
      <c r="B642" s="40">
        <f t="shared" si="95"/>
        <v>32.933286051621081</v>
      </c>
      <c r="C642" s="41">
        <f t="shared" si="90"/>
        <v>0.49289226185293716</v>
      </c>
      <c r="D642" s="41">
        <f t="shared" si="91"/>
        <v>0.98069361229543572</v>
      </c>
      <c r="E642" s="39">
        <f>IF(_xlfn.NORM.INV(R642,C642,'Regressão Grupo 2'!$B$7)&lt;=0,0,IF(_xlfn.NORM.INV(R642,C642,'Regressão Grupo 2'!$B$7)&gt;100%,100%,_xlfn.NORM.INV(R642,C642,'Regressão Grupo 2'!$B$7)))</f>
        <v>0.21343179181636507</v>
      </c>
      <c r="F642" s="39">
        <f>IF(_xlfn.NORM.INV(S642,D642,'Regressão Grupo 2'!$B$7)&lt;=0,0,IF(_xlfn.NORM.INV(S642,D642,'Regressão Grupo 2'!$B$7)&gt;100%,100%,_xlfn.NORM.INV(S642,D642,'Regressão Grupo 2'!$B$7)))</f>
        <v>0.9968988960102374</v>
      </c>
      <c r="G642" s="41">
        <v>2.1143131630894419E-2</v>
      </c>
      <c r="H642" s="41">
        <v>6.8990304763326491E-3</v>
      </c>
      <c r="I642" s="40">
        <f t="shared" si="92"/>
        <v>90.213171613880618</v>
      </c>
      <c r="J642" s="40">
        <f t="shared" si="92"/>
        <v>0</v>
      </c>
      <c r="K642" s="36">
        <v>0.26889908880391128</v>
      </c>
      <c r="L642" s="42">
        <f t="shared" si="99"/>
        <v>19991.322604477216</v>
      </c>
      <c r="M642" s="42">
        <f t="shared" si="99"/>
        <v>0</v>
      </c>
      <c r="N642" s="42">
        <f t="shared" si="93"/>
        <v>5375.6484323289578</v>
      </c>
      <c r="O642" s="36">
        <v>8.9739542800172423</v>
      </c>
      <c r="P642" s="42">
        <f t="shared" si="94"/>
        <v>-390.85444693446061</v>
      </c>
      <c r="Q642" s="42"/>
      <c r="R642">
        <v>2.1637623218482008E-2</v>
      </c>
      <c r="S642">
        <v>0.54664754173406171</v>
      </c>
    </row>
    <row r="643" spans="1:19" x14ac:dyDescent="0.25">
      <c r="A643" s="40">
        <f t="shared" si="95"/>
        <v>64.229676878151835</v>
      </c>
      <c r="B643" s="40">
        <f t="shared" si="95"/>
        <v>32.933286051621081</v>
      </c>
      <c r="C643" s="41">
        <f t="shared" si="90"/>
        <v>0.49289226185293716</v>
      </c>
      <c r="D643" s="41">
        <f t="shared" si="91"/>
        <v>0.98069361229543572</v>
      </c>
      <c r="E643" s="39">
        <f>IF(_xlfn.NORM.INV(R643,C643,'Regressão Grupo 2'!$B$7)&lt;=0,0,IF(_xlfn.NORM.INV(R643,C643,'Regressão Grupo 2'!$B$7)&gt;100%,100%,_xlfn.NORM.INV(R643,C643,'Regressão Grupo 2'!$B$7)))</f>
        <v>0.67967297608346922</v>
      </c>
      <c r="F643" s="39">
        <f>IF(_xlfn.NORM.INV(S643,D643,'Regressão Grupo 2'!$B$7)&lt;=0,0,IF(_xlfn.NORM.INV(S643,D643,'Regressão Grupo 2'!$B$7)&gt;100%,100%,_xlfn.NORM.INV(S643,D643,'Regressão Grupo 2'!$B$7)))</f>
        <v>0.8883855452489553</v>
      </c>
      <c r="G643" s="41">
        <v>1.9410894123868143E-2</v>
      </c>
      <c r="H643" s="41">
        <v>1.4519221341795152E-2</v>
      </c>
      <c r="I643" s="40">
        <f t="shared" si="92"/>
        <v>263.7467221508947</v>
      </c>
      <c r="J643" s="40">
        <f t="shared" si="92"/>
        <v>0</v>
      </c>
      <c r="K643" s="36">
        <v>0.26660303649608058</v>
      </c>
      <c r="L643" s="42">
        <f t="shared" si="99"/>
        <v>19991.322604477216</v>
      </c>
      <c r="M643" s="42">
        <f t="shared" si="99"/>
        <v>0</v>
      </c>
      <c r="N643" s="42">
        <f t="shared" si="93"/>
        <v>5329.7473099263598</v>
      </c>
      <c r="O643" s="36">
        <v>7.6367061495601618</v>
      </c>
      <c r="P643" s="42">
        <f t="shared" si="94"/>
        <v>9596.4632165212279</v>
      </c>
      <c r="Q643" s="42"/>
      <c r="R643">
        <v>0.91161839655751209</v>
      </c>
      <c r="S643">
        <v>0.25220496230964079</v>
      </c>
    </row>
    <row r="644" spans="1:19" x14ac:dyDescent="0.25">
      <c r="A644" s="40">
        <f t="shared" si="95"/>
        <v>64.229676878151835</v>
      </c>
      <c r="B644" s="40">
        <f t="shared" si="95"/>
        <v>32.933286051621081</v>
      </c>
      <c r="C644" s="41">
        <f t="shared" si="90"/>
        <v>0.49289226185293716</v>
      </c>
      <c r="D644" s="41">
        <f t="shared" si="91"/>
        <v>0.98069361229543572</v>
      </c>
      <c r="E644" s="39">
        <f>IF(_xlfn.NORM.INV(R644,C644,'Regressão Grupo 2'!$B$7)&lt;=0,0,IF(_xlfn.NORM.INV(R644,C644,'Regressão Grupo 2'!$B$7)&gt;100%,100%,_xlfn.NORM.INV(R644,C644,'Regressão Grupo 2'!$B$7)))</f>
        <v>0.54906053671496946</v>
      </c>
      <c r="F644" s="39">
        <f>IF(_xlfn.NORM.INV(S644,D644,'Regressão Grupo 2'!$B$7)&lt;=0,0,IF(_xlfn.NORM.INV(S644,D644,'Regressão Grupo 2'!$B$7)&gt;100%,100%,_xlfn.NORM.INV(S644,D644,'Regressão Grupo 2'!$B$7)))</f>
        <v>0.9659359693859122</v>
      </c>
      <c r="G644" s="41">
        <v>2.1975545916007755E-2</v>
      </c>
      <c r="H644" s="41">
        <v>3.1849433519005755E-3</v>
      </c>
      <c r="I644" s="40">
        <f t="shared" si="92"/>
        <v>241.21340007462226</v>
      </c>
      <c r="J644" s="40">
        <f t="shared" si="92"/>
        <v>0</v>
      </c>
      <c r="K644" s="36">
        <v>0.24890759366400916</v>
      </c>
      <c r="L644" s="42">
        <f t="shared" si="99"/>
        <v>19991.322604477216</v>
      </c>
      <c r="M644" s="42">
        <f t="shared" si="99"/>
        <v>0</v>
      </c>
      <c r="N644" s="42">
        <f t="shared" si="93"/>
        <v>4975.9920036413359</v>
      </c>
      <c r="O644" s="36">
        <v>5.4769197441930144</v>
      </c>
      <c r="P644" s="42">
        <f t="shared" si="94"/>
        <v>9195.9603083993898</v>
      </c>
      <c r="Q644" s="42"/>
      <c r="R644">
        <v>0.65770439771721545</v>
      </c>
      <c r="S644">
        <v>0.4575029755546739</v>
      </c>
    </row>
    <row r="645" spans="1:19" x14ac:dyDescent="0.25">
      <c r="A645" s="40">
        <f t="shared" si="95"/>
        <v>64.229676878151835</v>
      </c>
      <c r="B645" s="40">
        <f t="shared" si="95"/>
        <v>32.933286051621081</v>
      </c>
      <c r="C645" s="41">
        <f t="shared" si="90"/>
        <v>0.49289226185293716</v>
      </c>
      <c r="D645" s="41">
        <f t="shared" si="91"/>
        <v>0.98069361229543572</v>
      </c>
      <c r="E645" s="39">
        <f>IF(_xlfn.NORM.INV(R645,C645,'Regressão Grupo 2'!$B$7)&lt;=0,0,IF(_xlfn.NORM.INV(R645,C645,'Regressão Grupo 2'!$B$7)&gt;100%,100%,_xlfn.NORM.INV(R645,C645,'Regressão Grupo 2'!$B$7)))</f>
        <v>0.53308093812262536</v>
      </c>
      <c r="F645" s="39">
        <f>IF(_xlfn.NORM.INV(S645,D645,'Regressão Grupo 2'!$B$7)&lt;=0,0,IF(_xlfn.NORM.INV(S645,D645,'Regressão Grupo 2'!$B$7)&gt;100%,100%,_xlfn.NORM.INV(S645,D645,'Regressão Grupo 2'!$B$7)))</f>
        <v>0.84334548194237602</v>
      </c>
      <c r="G645" s="41">
        <v>4.1678172748072385E-3</v>
      </c>
      <c r="H645" s="41">
        <v>1.8884304645816963E-2</v>
      </c>
      <c r="I645" s="40">
        <f t="shared" si="92"/>
        <v>44.416399557520876</v>
      </c>
      <c r="J645" s="40">
        <f t="shared" si="92"/>
        <v>0</v>
      </c>
      <c r="K645" s="36">
        <v>0.46128474655114116</v>
      </c>
      <c r="L645" s="42">
        <f t="shared" si="99"/>
        <v>19991.322604477216</v>
      </c>
      <c r="M645" s="42">
        <f t="shared" si="99"/>
        <v>0</v>
      </c>
      <c r="N645" s="42">
        <f t="shared" si="93"/>
        <v>9221.6921808283714</v>
      </c>
      <c r="O645" s="36">
        <v>6.3508143922797666</v>
      </c>
      <c r="P645" s="42">
        <f t="shared" si="94"/>
        <v>-6650.9214987210717</v>
      </c>
      <c r="Q645" s="42"/>
      <c r="R645">
        <v>0.61433759575182345</v>
      </c>
      <c r="S645">
        <v>0.16028321176793725</v>
      </c>
    </row>
    <row r="646" spans="1:19" x14ac:dyDescent="0.25">
      <c r="A646" s="40">
        <f t="shared" si="95"/>
        <v>64.229676878151835</v>
      </c>
      <c r="B646" s="40">
        <f t="shared" si="95"/>
        <v>32.933286051621081</v>
      </c>
      <c r="C646" s="41">
        <f t="shared" ref="C646:C709" si="100">-0.007*A646 + 0.9425</f>
        <v>0.49289226185293716</v>
      </c>
      <c r="D646" s="41">
        <f t="shared" ref="D646:D709" si="101">-0.0059*B646+1.175</f>
        <v>0.98069361229543572</v>
      </c>
      <c r="E646" s="39">
        <f>IF(_xlfn.NORM.INV(R646,C646,'Regressão Grupo 2'!$B$7)&lt;=0,0,IF(_xlfn.NORM.INV(R646,C646,'Regressão Grupo 2'!$B$7)&gt;100%,100%,_xlfn.NORM.INV(R646,C646,'Regressão Grupo 2'!$B$7)))</f>
        <v>0.68533313344862812</v>
      </c>
      <c r="F646" s="39">
        <f>IF(_xlfn.NORM.INV(S646,D646,'Regressão Grupo 2'!$B$7)&lt;=0,0,IF(_xlfn.NORM.INV(S646,D646,'Regressão Grupo 2'!$B$7)&gt;100%,100%,_xlfn.NORM.INV(S646,D646,'Regressão Grupo 2'!$B$7)))</f>
        <v>1</v>
      </c>
      <c r="G646" s="41">
        <v>1.0099855991318869E-2</v>
      </c>
      <c r="H646" s="41">
        <v>9.1714193565617767E-3</v>
      </c>
      <c r="I646" s="40">
        <f t="shared" ref="I646:J709" si="102">IF(E646*G646*L646&gt;0,E646*G646*L646,0)</f>
        <v>138.37525617731097</v>
      </c>
      <c r="J646" s="40">
        <f t="shared" si="102"/>
        <v>0</v>
      </c>
      <c r="K646" s="36">
        <v>0.35425726480415665</v>
      </c>
      <c r="L646" s="42">
        <f t="shared" si="99"/>
        <v>19991.322604477216</v>
      </c>
      <c r="M646" s="42">
        <f t="shared" si="99"/>
        <v>0</v>
      </c>
      <c r="N646" s="42">
        <f t="shared" ref="N646:N709" si="103">(L646+M646)*K646</f>
        <v>7082.0712656796077</v>
      </c>
      <c r="O646" s="36">
        <v>9.8011571622168407</v>
      </c>
      <c r="P646" s="42">
        <f t="shared" ref="P646:P709" si="104">SUMPRODUCT(A646:B646,I646:J646)-SUM(I646:J646)*O646-N646</f>
        <v>449.48909336471752</v>
      </c>
      <c r="Q646" s="42"/>
      <c r="R646">
        <v>0.91799676503799554</v>
      </c>
      <c r="S646">
        <v>0.62355418561357467</v>
      </c>
    </row>
    <row r="647" spans="1:19" x14ac:dyDescent="0.25">
      <c r="A647" s="40">
        <f t="shared" ref="A647:B710" si="105">A646</f>
        <v>64.229676878151835</v>
      </c>
      <c r="B647" s="40">
        <f t="shared" si="105"/>
        <v>32.933286051621081</v>
      </c>
      <c r="C647" s="41">
        <f t="shared" si="100"/>
        <v>0.49289226185293716</v>
      </c>
      <c r="D647" s="41">
        <f t="shared" si="101"/>
        <v>0.98069361229543572</v>
      </c>
      <c r="E647" s="39">
        <f>IF(_xlfn.NORM.INV(R647,C647,'Regressão Grupo 2'!$B$7)&lt;=0,0,IF(_xlfn.NORM.INV(R647,C647,'Regressão Grupo 2'!$B$7)&gt;100%,100%,_xlfn.NORM.INV(R647,C647,'Regressão Grupo 2'!$B$7)))</f>
        <v>0.51878400084008669</v>
      </c>
      <c r="F647" s="39">
        <f>IF(_xlfn.NORM.INV(S647,D647,'Regressão Grupo 2'!$B$7)&lt;=0,0,IF(_xlfn.NORM.INV(S647,D647,'Regressão Grupo 2'!$B$7)&gt;100%,100%,_xlfn.NORM.INV(S647,D647,'Regressão Grupo 2'!$B$7)))</f>
        <v>0.65779008088848023</v>
      </c>
      <c r="G647" s="41">
        <v>1.7707459783512448E-2</v>
      </c>
      <c r="H647" s="41">
        <v>2.1826923363888431E-2</v>
      </c>
      <c r="I647" s="40">
        <f t="shared" si="102"/>
        <v>183.64722305924661</v>
      </c>
      <c r="J647" s="40">
        <f t="shared" si="102"/>
        <v>0</v>
      </c>
      <c r="K647" s="36">
        <v>0.21956371788924117</v>
      </c>
      <c r="L647" s="42">
        <f t="shared" ref="L647:M662" si="106">L646</f>
        <v>19991.322604477216</v>
      </c>
      <c r="M647" s="42">
        <f t="shared" si="106"/>
        <v>0</v>
      </c>
      <c r="N647" s="42">
        <f t="shared" si="103"/>
        <v>4389.3691165622458</v>
      </c>
      <c r="O647" s="36">
        <v>6.6903152947790687</v>
      </c>
      <c r="P647" s="42">
        <f t="shared" si="104"/>
        <v>6177.5748548260581</v>
      </c>
      <c r="Q647" s="42"/>
      <c r="R647">
        <v>0.57426679280983917</v>
      </c>
      <c r="S647">
        <v>9.7659230323191015E-3</v>
      </c>
    </row>
    <row r="648" spans="1:19" x14ac:dyDescent="0.25">
      <c r="A648" s="40">
        <f t="shared" si="105"/>
        <v>64.229676878151835</v>
      </c>
      <c r="B648" s="40">
        <f t="shared" si="105"/>
        <v>32.933286051621081</v>
      </c>
      <c r="C648" s="41">
        <f t="shared" si="100"/>
        <v>0.49289226185293716</v>
      </c>
      <c r="D648" s="41">
        <f t="shared" si="101"/>
        <v>0.98069361229543572</v>
      </c>
      <c r="E648" s="39">
        <f>IF(_xlfn.NORM.INV(R648,C648,'Regressão Grupo 2'!$B$7)&lt;=0,0,IF(_xlfn.NORM.INV(R648,C648,'Regressão Grupo 2'!$B$7)&gt;100%,100%,_xlfn.NORM.INV(R648,C648,'Regressão Grupo 2'!$B$7)))</f>
        <v>0.64937885947651419</v>
      </c>
      <c r="F648" s="39">
        <f>IF(_xlfn.NORM.INV(S648,D648,'Regressão Grupo 2'!$B$7)&lt;=0,0,IF(_xlfn.NORM.INV(S648,D648,'Regressão Grupo 2'!$B$7)&gt;100%,100%,_xlfn.NORM.INV(S648,D648,'Regressão Grupo 2'!$B$7)))</f>
        <v>0.85981874550738469</v>
      </c>
      <c r="G648" s="41">
        <v>1.5440010191044384E-2</v>
      </c>
      <c r="H648" s="41">
        <v>1.9402636537134137E-2</v>
      </c>
      <c r="I648" s="40">
        <f t="shared" si="102"/>
        <v>200.44132098420886</v>
      </c>
      <c r="J648" s="40">
        <f t="shared" si="102"/>
        <v>0</v>
      </c>
      <c r="K648" s="36">
        <v>0.28277837972854286</v>
      </c>
      <c r="L648" s="42">
        <f t="shared" si="106"/>
        <v>19991.322604477216</v>
      </c>
      <c r="M648" s="42">
        <f t="shared" si="106"/>
        <v>0</v>
      </c>
      <c r="N648" s="42">
        <f t="shared" si="103"/>
        <v>5653.1138147246611</v>
      </c>
      <c r="O648" s="36">
        <v>7.8913430511080573</v>
      </c>
      <c r="P648" s="42">
        <f t="shared" si="104"/>
        <v>5639.4162396173333</v>
      </c>
      <c r="Q648" s="42"/>
      <c r="R648">
        <v>0.87112033448286386</v>
      </c>
      <c r="S648">
        <v>0.19101535081026644</v>
      </c>
    </row>
    <row r="649" spans="1:19" x14ac:dyDescent="0.25">
      <c r="A649" s="40">
        <f t="shared" si="105"/>
        <v>64.229676878151835</v>
      </c>
      <c r="B649" s="40">
        <f t="shared" si="105"/>
        <v>32.933286051621081</v>
      </c>
      <c r="C649" s="41">
        <f t="shared" si="100"/>
        <v>0.49289226185293716</v>
      </c>
      <c r="D649" s="41">
        <f t="shared" si="101"/>
        <v>0.98069361229543572</v>
      </c>
      <c r="E649" s="39">
        <f>IF(_xlfn.NORM.INV(R649,C649,'Regressão Grupo 2'!$B$7)&lt;=0,0,IF(_xlfn.NORM.INV(R649,C649,'Regressão Grupo 2'!$B$7)&gt;100%,100%,_xlfn.NORM.INV(R649,C649,'Regressão Grupo 2'!$B$7)))</f>
        <v>0.60756420129140598</v>
      </c>
      <c r="F649" s="39">
        <f>IF(_xlfn.NORM.INV(S649,D649,'Regressão Grupo 2'!$B$7)&lt;=0,0,IF(_xlfn.NORM.INV(S649,D649,'Regressão Grupo 2'!$B$7)&gt;100%,100%,_xlfn.NORM.INV(S649,D649,'Regressão Grupo 2'!$B$7)))</f>
        <v>1</v>
      </c>
      <c r="G649" s="41">
        <v>2.329924842865062E-2</v>
      </c>
      <c r="H649" s="41">
        <v>9.7526696291646148E-3</v>
      </c>
      <c r="I649" s="40">
        <f t="shared" si="102"/>
        <v>282.99294986249754</v>
      </c>
      <c r="J649" s="40">
        <f t="shared" si="102"/>
        <v>0</v>
      </c>
      <c r="K649" s="36">
        <v>0.28229127575060392</v>
      </c>
      <c r="L649" s="42">
        <f t="shared" si="106"/>
        <v>19991.322604477216</v>
      </c>
      <c r="M649" s="42">
        <f t="shared" si="106"/>
        <v>0</v>
      </c>
      <c r="N649" s="42">
        <f t="shared" si="103"/>
        <v>5643.3759619597595</v>
      </c>
      <c r="O649" s="36">
        <v>6.3248803169352321</v>
      </c>
      <c r="P649" s="42">
        <f t="shared" si="104"/>
        <v>10743.273228086731</v>
      </c>
      <c r="Q649" s="42"/>
      <c r="R649">
        <v>0.79653309732352673</v>
      </c>
      <c r="S649">
        <v>0.95379497665334023</v>
      </c>
    </row>
    <row r="650" spans="1:19" x14ac:dyDescent="0.25">
      <c r="A650" s="40">
        <f t="shared" si="105"/>
        <v>64.229676878151835</v>
      </c>
      <c r="B650" s="40">
        <f t="shared" si="105"/>
        <v>32.933286051621081</v>
      </c>
      <c r="C650" s="41">
        <f t="shared" si="100"/>
        <v>0.49289226185293716</v>
      </c>
      <c r="D650" s="41">
        <f t="shared" si="101"/>
        <v>0.98069361229543572</v>
      </c>
      <c r="E650" s="39">
        <f>IF(_xlfn.NORM.INV(R650,C650,'Regressão Grupo 2'!$B$7)&lt;=0,0,IF(_xlfn.NORM.INV(R650,C650,'Regressão Grupo 2'!$B$7)&gt;100%,100%,_xlfn.NORM.INV(R650,C650,'Regressão Grupo 2'!$B$7)))</f>
        <v>0.26868668333172596</v>
      </c>
      <c r="F650" s="39">
        <f>IF(_xlfn.NORM.INV(S650,D650,'Regressão Grupo 2'!$B$7)&lt;=0,0,IF(_xlfn.NORM.INV(S650,D650,'Regressão Grupo 2'!$B$7)&gt;100%,100%,_xlfn.NORM.INV(S650,D650,'Regressão Grupo 2'!$B$7)))</f>
        <v>0.77632307977691539</v>
      </c>
      <c r="G650" s="41">
        <v>4.9121215092109071E-3</v>
      </c>
      <c r="H650" s="41">
        <v>1.1292108567002756E-2</v>
      </c>
      <c r="I650" s="40">
        <f t="shared" si="102"/>
        <v>26.384980114287366</v>
      </c>
      <c r="J650" s="40">
        <f t="shared" si="102"/>
        <v>0</v>
      </c>
      <c r="K650" s="36">
        <v>0.34407713995110389</v>
      </c>
      <c r="L650" s="42">
        <f t="shared" si="106"/>
        <v>19991.322604477216</v>
      </c>
      <c r="M650" s="42">
        <f t="shared" si="106"/>
        <v>0</v>
      </c>
      <c r="N650" s="42">
        <f t="shared" si="103"/>
        <v>6878.5571055883738</v>
      </c>
      <c r="O650" s="36">
        <v>3.7509771582139164</v>
      </c>
      <c r="P650" s="42">
        <f t="shared" si="104"/>
        <v>-5282.8278161398548</v>
      </c>
      <c r="Q650" s="42"/>
      <c r="R650">
        <v>5.2461317789239174E-2</v>
      </c>
      <c r="S650">
        <v>6.9704275643177591E-2</v>
      </c>
    </row>
    <row r="651" spans="1:19" x14ac:dyDescent="0.25">
      <c r="A651" s="40">
        <f t="shared" si="105"/>
        <v>64.229676878151835</v>
      </c>
      <c r="B651" s="40">
        <f t="shared" si="105"/>
        <v>32.933286051621081</v>
      </c>
      <c r="C651" s="41">
        <f t="shared" si="100"/>
        <v>0.49289226185293716</v>
      </c>
      <c r="D651" s="41">
        <f t="shared" si="101"/>
        <v>0.98069361229543572</v>
      </c>
      <c r="E651" s="39">
        <f>IF(_xlfn.NORM.INV(R651,C651,'Regressão Grupo 2'!$B$7)&lt;=0,0,IF(_xlfn.NORM.INV(R651,C651,'Regressão Grupo 2'!$B$7)&gt;100%,100%,_xlfn.NORM.INV(R651,C651,'Regressão Grupo 2'!$B$7)))</f>
        <v>0.49406112965166094</v>
      </c>
      <c r="F651" s="39">
        <f>IF(_xlfn.NORM.INV(S651,D651,'Regressão Grupo 2'!$B$7)&lt;=0,0,IF(_xlfn.NORM.INV(S651,D651,'Regressão Grupo 2'!$B$7)&gt;100%,100%,_xlfn.NORM.INV(S651,D651,'Regressão Grupo 2'!$B$7)))</f>
        <v>1</v>
      </c>
      <c r="G651" s="41">
        <v>1.7805245578618078E-2</v>
      </c>
      <c r="H651" s="41">
        <v>1.4553891662364277E-2</v>
      </c>
      <c r="I651" s="40">
        <f t="shared" si="102"/>
        <v>175.86126088103816</v>
      </c>
      <c r="J651" s="40">
        <f t="shared" si="102"/>
        <v>0</v>
      </c>
      <c r="K651" s="36">
        <v>0.24409478345081342</v>
      </c>
      <c r="L651" s="42">
        <f t="shared" si="106"/>
        <v>19991.322604477216</v>
      </c>
      <c r="M651" s="42">
        <f t="shared" si="106"/>
        <v>0</v>
      </c>
      <c r="N651" s="42">
        <f t="shared" si="103"/>
        <v>4879.7775620352177</v>
      </c>
      <c r="O651" s="36">
        <v>5.0547782012599658</v>
      </c>
      <c r="P651" s="42">
        <f t="shared" si="104"/>
        <v>5526.7947317906646</v>
      </c>
      <c r="Q651" s="42"/>
      <c r="R651">
        <v>0.5033722952970977</v>
      </c>
      <c r="S651">
        <v>0.97048860133671067</v>
      </c>
    </row>
    <row r="652" spans="1:19" x14ac:dyDescent="0.25">
      <c r="A652" s="40">
        <f t="shared" si="105"/>
        <v>64.229676878151835</v>
      </c>
      <c r="B652" s="40">
        <f t="shared" si="105"/>
        <v>32.933286051621081</v>
      </c>
      <c r="C652" s="41">
        <f t="shared" si="100"/>
        <v>0.49289226185293716</v>
      </c>
      <c r="D652" s="41">
        <f t="shared" si="101"/>
        <v>0.98069361229543572</v>
      </c>
      <c r="E652" s="39">
        <f>IF(_xlfn.NORM.INV(R652,C652,'Regressão Grupo 2'!$B$7)&lt;=0,0,IF(_xlfn.NORM.INV(R652,C652,'Regressão Grupo 2'!$B$7)&gt;100%,100%,_xlfn.NORM.INV(R652,C652,'Regressão Grupo 2'!$B$7)))</f>
        <v>0.30955647451226981</v>
      </c>
      <c r="F652" s="39">
        <f>IF(_xlfn.NORM.INV(S652,D652,'Regressão Grupo 2'!$B$7)&lt;=0,0,IF(_xlfn.NORM.INV(S652,D652,'Regressão Grupo 2'!$B$7)&gt;100%,100%,_xlfn.NORM.INV(S652,D652,'Regressão Grupo 2'!$B$7)))</f>
        <v>0.85081943352673162</v>
      </c>
      <c r="G652" s="41">
        <v>2.1447075803449709E-2</v>
      </c>
      <c r="H652" s="41">
        <v>2.2875946860738107E-2</v>
      </c>
      <c r="I652" s="40">
        <f t="shared" si="102"/>
        <v>132.72401355300858</v>
      </c>
      <c r="J652" s="40">
        <f t="shared" si="102"/>
        <v>0</v>
      </c>
      <c r="K652" s="36">
        <v>0.37432976166044207</v>
      </c>
      <c r="L652" s="42">
        <f t="shared" si="106"/>
        <v>19991.322604477216</v>
      </c>
      <c r="M652" s="42">
        <f t="shared" si="106"/>
        <v>0</v>
      </c>
      <c r="N652" s="42">
        <f t="shared" si="103"/>
        <v>7483.3470258109646</v>
      </c>
      <c r="O652" s="36">
        <v>5.6609260539109743</v>
      </c>
      <c r="P652" s="42">
        <f t="shared" si="104"/>
        <v>290.13265236836196</v>
      </c>
      <c r="Q652" s="42"/>
      <c r="R652">
        <v>9.2440565202795491E-2</v>
      </c>
      <c r="S652">
        <v>0.17380291146580401</v>
      </c>
    </row>
    <row r="653" spans="1:19" x14ac:dyDescent="0.25">
      <c r="A653" s="40">
        <f t="shared" si="105"/>
        <v>64.229676878151835</v>
      </c>
      <c r="B653" s="40">
        <f t="shared" si="105"/>
        <v>32.933286051621081</v>
      </c>
      <c r="C653" s="41">
        <f t="shared" si="100"/>
        <v>0.49289226185293716</v>
      </c>
      <c r="D653" s="41">
        <f t="shared" si="101"/>
        <v>0.98069361229543572</v>
      </c>
      <c r="E653" s="39">
        <f>IF(_xlfn.NORM.INV(R653,C653,'Regressão Grupo 2'!$B$7)&lt;=0,0,IF(_xlfn.NORM.INV(R653,C653,'Regressão Grupo 2'!$B$7)&gt;100%,100%,_xlfn.NORM.INV(R653,C653,'Regressão Grupo 2'!$B$7)))</f>
        <v>0.24535673665318378</v>
      </c>
      <c r="F653" s="39">
        <f>IF(_xlfn.NORM.INV(S653,D653,'Regressão Grupo 2'!$B$7)&lt;=0,0,IF(_xlfn.NORM.INV(S653,D653,'Regressão Grupo 2'!$B$7)&gt;100%,100%,_xlfn.NORM.INV(S653,D653,'Regressão Grupo 2'!$B$7)))</f>
        <v>0.90044225208087847</v>
      </c>
      <c r="G653" s="41">
        <v>2.0290708133499688E-2</v>
      </c>
      <c r="H653" s="41">
        <v>2.556969718564453E-2</v>
      </c>
      <c r="I653" s="40">
        <f t="shared" si="102"/>
        <v>99.526038557074713</v>
      </c>
      <c r="J653" s="40">
        <f t="shared" si="102"/>
        <v>0</v>
      </c>
      <c r="K653" s="36">
        <v>0.25850281762828686</v>
      </c>
      <c r="L653" s="42">
        <f t="shared" si="106"/>
        <v>19991.322604477216</v>
      </c>
      <c r="M653" s="42">
        <f t="shared" si="106"/>
        <v>0</v>
      </c>
      <c r="N653" s="42">
        <f t="shared" si="103"/>
        <v>5167.8132213734225</v>
      </c>
      <c r="O653" s="36">
        <v>3.3111711996236197</v>
      </c>
      <c r="P653" s="42">
        <f t="shared" si="104"/>
        <v>895.16432362715204</v>
      </c>
      <c r="Q653" s="42"/>
      <c r="R653">
        <v>3.671376689962462E-2</v>
      </c>
      <c r="S653">
        <v>0.28083132419812618</v>
      </c>
    </row>
    <row r="654" spans="1:19" x14ac:dyDescent="0.25">
      <c r="A654" s="40">
        <f t="shared" si="105"/>
        <v>64.229676878151835</v>
      </c>
      <c r="B654" s="40">
        <f t="shared" si="105"/>
        <v>32.933286051621081</v>
      </c>
      <c r="C654" s="41">
        <f t="shared" si="100"/>
        <v>0.49289226185293716</v>
      </c>
      <c r="D654" s="41">
        <f t="shared" si="101"/>
        <v>0.98069361229543572</v>
      </c>
      <c r="E654" s="39">
        <f>IF(_xlfn.NORM.INV(R654,C654,'Regressão Grupo 2'!$B$7)&lt;=0,0,IF(_xlfn.NORM.INV(R654,C654,'Regressão Grupo 2'!$B$7)&gt;100%,100%,_xlfn.NORM.INV(R654,C654,'Regressão Grupo 2'!$B$7)))</f>
        <v>0.30613788395697739</v>
      </c>
      <c r="F654" s="39">
        <f>IF(_xlfn.NORM.INV(S654,D654,'Regressão Grupo 2'!$B$7)&lt;=0,0,IF(_xlfn.NORM.INV(S654,D654,'Regressão Grupo 2'!$B$7)&gt;100%,100%,_xlfn.NORM.INV(S654,D654,'Regressão Grupo 2'!$B$7)))</f>
        <v>0.95641488758944582</v>
      </c>
      <c r="G654" s="41">
        <v>1.6458420773366438E-2</v>
      </c>
      <c r="H654" s="41">
        <v>1.8248312205823475E-2</v>
      </c>
      <c r="I654" s="40">
        <f t="shared" si="102"/>
        <v>100.72720071919309</v>
      </c>
      <c r="J654" s="40">
        <f t="shared" si="102"/>
        <v>0</v>
      </c>
      <c r="K654" s="36">
        <v>0.46579346757333129</v>
      </c>
      <c r="L654" s="42">
        <f t="shared" si="106"/>
        <v>19991.322604477216</v>
      </c>
      <c r="M654" s="42">
        <f t="shared" si="106"/>
        <v>0</v>
      </c>
      <c r="N654" s="42">
        <f t="shared" si="103"/>
        <v>9311.8274773165631</v>
      </c>
      <c r="O654" s="36">
        <v>4.0012221178713201</v>
      </c>
      <c r="P654" s="42">
        <f t="shared" si="104"/>
        <v>-3245.183825670947</v>
      </c>
      <c r="Q654" s="42"/>
      <c r="R654">
        <v>8.8412121951963865E-2</v>
      </c>
      <c r="S654">
        <v>0.43031098361156039</v>
      </c>
    </row>
    <row r="655" spans="1:19" x14ac:dyDescent="0.25">
      <c r="A655" s="40">
        <f t="shared" si="105"/>
        <v>64.229676878151835</v>
      </c>
      <c r="B655" s="40">
        <f t="shared" si="105"/>
        <v>32.933286051621081</v>
      </c>
      <c r="C655" s="41">
        <f t="shared" si="100"/>
        <v>0.49289226185293716</v>
      </c>
      <c r="D655" s="41">
        <f t="shared" si="101"/>
        <v>0.98069361229543572</v>
      </c>
      <c r="E655" s="39">
        <f>IF(_xlfn.NORM.INV(R655,C655,'Regressão Grupo 2'!$B$7)&lt;=0,0,IF(_xlfn.NORM.INV(R655,C655,'Regressão Grupo 2'!$B$7)&gt;100%,100%,_xlfn.NORM.INV(R655,C655,'Regressão Grupo 2'!$B$7)))</f>
        <v>0.47823035992323631</v>
      </c>
      <c r="F655" s="39">
        <f>IF(_xlfn.NORM.INV(S655,D655,'Regressão Grupo 2'!$B$7)&lt;=0,0,IF(_xlfn.NORM.INV(S655,D655,'Regressão Grupo 2'!$B$7)&gt;100%,100%,_xlfn.NORM.INV(S655,D655,'Regressão Grupo 2'!$B$7)))</f>
        <v>1</v>
      </c>
      <c r="G655" s="41">
        <v>1.3196007881339114E-2</v>
      </c>
      <c r="H655" s="41">
        <v>1.5592797856130478E-2</v>
      </c>
      <c r="I655" s="40">
        <f t="shared" si="102"/>
        <v>126.1598712587338</v>
      </c>
      <c r="J655" s="40">
        <f t="shared" si="102"/>
        <v>0</v>
      </c>
      <c r="K655" s="36">
        <v>0.24396137784543892</v>
      </c>
      <c r="L655" s="42">
        <f t="shared" si="106"/>
        <v>19991.322604477216</v>
      </c>
      <c r="M655" s="42">
        <f t="shared" si="106"/>
        <v>0</v>
      </c>
      <c r="N655" s="42">
        <f t="shared" si="103"/>
        <v>4877.1106075409307</v>
      </c>
      <c r="O655" s="36">
        <v>2.9541927985120879</v>
      </c>
      <c r="P655" s="42">
        <f t="shared" si="104"/>
        <v>2853.396575263012</v>
      </c>
      <c r="Q655" s="42"/>
      <c r="R655">
        <v>0.45777764213995786</v>
      </c>
      <c r="S655">
        <v>0.674336985381634</v>
      </c>
    </row>
    <row r="656" spans="1:19" x14ac:dyDescent="0.25">
      <c r="A656" s="40">
        <f t="shared" si="105"/>
        <v>64.229676878151835</v>
      </c>
      <c r="B656" s="40">
        <f t="shared" si="105"/>
        <v>32.933286051621081</v>
      </c>
      <c r="C656" s="41">
        <f t="shared" si="100"/>
        <v>0.49289226185293716</v>
      </c>
      <c r="D656" s="41">
        <f t="shared" si="101"/>
        <v>0.98069361229543572</v>
      </c>
      <c r="E656" s="39">
        <f>IF(_xlfn.NORM.INV(R656,C656,'Regressão Grupo 2'!$B$7)&lt;=0,0,IF(_xlfn.NORM.INV(R656,C656,'Regressão Grupo 2'!$B$7)&gt;100%,100%,_xlfn.NORM.INV(R656,C656,'Regressão Grupo 2'!$B$7)))</f>
        <v>0.40067670078806356</v>
      </c>
      <c r="F656" s="39">
        <f>IF(_xlfn.NORM.INV(S656,D656,'Regressão Grupo 2'!$B$7)&lt;=0,0,IF(_xlfn.NORM.INV(S656,D656,'Regressão Grupo 2'!$B$7)&gt;100%,100%,_xlfn.NORM.INV(S656,D656,'Regressão Grupo 2'!$B$7)))</f>
        <v>1</v>
      </c>
      <c r="G656" s="41">
        <v>1.7960115431348792E-2</v>
      </c>
      <c r="H656" s="41">
        <v>8.5407069682805464E-3</v>
      </c>
      <c r="I656" s="40">
        <f t="shared" si="102"/>
        <v>143.8615516642146</v>
      </c>
      <c r="J656" s="40">
        <f t="shared" si="102"/>
        <v>0</v>
      </c>
      <c r="K656" s="36">
        <v>0.24840363768774362</v>
      </c>
      <c r="L656" s="42">
        <f t="shared" si="106"/>
        <v>19991.322604477216</v>
      </c>
      <c r="M656" s="42">
        <f t="shared" si="106"/>
        <v>0</v>
      </c>
      <c r="N656" s="42">
        <f t="shared" si="103"/>
        <v>4965.9172571413574</v>
      </c>
      <c r="O656" s="36">
        <v>4.314118875438874</v>
      </c>
      <c r="P656" s="42">
        <f t="shared" si="104"/>
        <v>3653.6278859561799</v>
      </c>
      <c r="Q656" s="42"/>
      <c r="R656">
        <v>0.25241859187597276</v>
      </c>
      <c r="S656">
        <v>0.96139408551286354</v>
      </c>
    </row>
    <row r="657" spans="1:19" x14ac:dyDescent="0.25">
      <c r="A657" s="40">
        <f t="shared" si="105"/>
        <v>64.229676878151835</v>
      </c>
      <c r="B657" s="40">
        <f t="shared" si="105"/>
        <v>32.933286051621081</v>
      </c>
      <c r="C657" s="41">
        <f t="shared" si="100"/>
        <v>0.49289226185293716</v>
      </c>
      <c r="D657" s="41">
        <f t="shared" si="101"/>
        <v>0.98069361229543572</v>
      </c>
      <c r="E657" s="39">
        <f>IF(_xlfn.NORM.INV(R657,C657,'Regressão Grupo 2'!$B$7)&lt;=0,0,IF(_xlfn.NORM.INV(R657,C657,'Regressão Grupo 2'!$B$7)&gt;100%,100%,_xlfn.NORM.INV(R657,C657,'Regressão Grupo 2'!$B$7)))</f>
        <v>0.53707048254526246</v>
      </c>
      <c r="F657" s="39">
        <f>IF(_xlfn.NORM.INV(S657,D657,'Regressão Grupo 2'!$B$7)&lt;=0,0,IF(_xlfn.NORM.INV(S657,D657,'Regressão Grupo 2'!$B$7)&gt;100%,100%,_xlfn.NORM.INV(S657,D657,'Regressão Grupo 2'!$B$7)))</f>
        <v>0.94540193338535006</v>
      </c>
      <c r="G657" s="41">
        <v>1.4469228485302868E-2</v>
      </c>
      <c r="H657" s="41">
        <v>1.5285295337148503E-2</v>
      </c>
      <c r="I657" s="40">
        <f t="shared" si="102"/>
        <v>155.35247849141211</v>
      </c>
      <c r="J657" s="40">
        <f t="shared" si="102"/>
        <v>0</v>
      </c>
      <c r="K657" s="36">
        <v>0.30855778000610368</v>
      </c>
      <c r="L657" s="42">
        <f t="shared" si="106"/>
        <v>19991.322604477216</v>
      </c>
      <c r="M657" s="42">
        <f t="shared" si="106"/>
        <v>0</v>
      </c>
      <c r="N657" s="42">
        <f t="shared" si="103"/>
        <v>6168.4781222233287</v>
      </c>
      <c r="O657" s="36">
        <v>7.1138166019948041</v>
      </c>
      <c r="P657" s="42">
        <f t="shared" si="104"/>
        <v>2704.6123328468566</v>
      </c>
      <c r="Q657" s="42"/>
      <c r="R657">
        <v>0.62532425916318246</v>
      </c>
      <c r="S657">
        <v>0.39927365947447124</v>
      </c>
    </row>
    <row r="658" spans="1:19" x14ac:dyDescent="0.25">
      <c r="A658" s="40">
        <f t="shared" si="105"/>
        <v>64.229676878151835</v>
      </c>
      <c r="B658" s="40">
        <f t="shared" si="105"/>
        <v>32.933286051621081</v>
      </c>
      <c r="C658" s="41">
        <f t="shared" si="100"/>
        <v>0.49289226185293716</v>
      </c>
      <c r="D658" s="41">
        <f t="shared" si="101"/>
        <v>0.98069361229543572</v>
      </c>
      <c r="E658" s="39">
        <f>IF(_xlfn.NORM.INV(R658,C658,'Regressão Grupo 2'!$B$7)&lt;=0,0,IF(_xlfn.NORM.INV(R658,C658,'Regressão Grupo 2'!$B$7)&gt;100%,100%,_xlfn.NORM.INV(R658,C658,'Regressão Grupo 2'!$B$7)))</f>
        <v>0.64572109699808899</v>
      </c>
      <c r="F658" s="39">
        <f>IF(_xlfn.NORM.INV(S658,D658,'Regressão Grupo 2'!$B$7)&lt;=0,0,IF(_xlfn.NORM.INV(S658,D658,'Regressão Grupo 2'!$B$7)&gt;100%,100%,_xlfn.NORM.INV(S658,D658,'Regressão Grupo 2'!$B$7)))</f>
        <v>0.92609554062089761</v>
      </c>
      <c r="G658" s="41">
        <v>1.6347824697412843E-2</v>
      </c>
      <c r="H658" s="41">
        <v>2.048343914856867E-2</v>
      </c>
      <c r="I658" s="40">
        <f t="shared" si="102"/>
        <v>211.03110618175211</v>
      </c>
      <c r="J658" s="40">
        <f t="shared" si="102"/>
        <v>0</v>
      </c>
      <c r="K658" s="36">
        <v>0.27932821427924959</v>
      </c>
      <c r="L658" s="42">
        <f t="shared" si="106"/>
        <v>19991.322604477216</v>
      </c>
      <c r="M658" s="42">
        <f t="shared" si="106"/>
        <v>0</v>
      </c>
      <c r="N658" s="42">
        <f t="shared" si="103"/>
        <v>5584.1404441890181</v>
      </c>
      <c r="O658" s="36">
        <v>3.9571084104391456</v>
      </c>
      <c r="P658" s="42">
        <f t="shared" si="104"/>
        <v>7135.2463519677831</v>
      </c>
      <c r="Q658" s="42"/>
      <c r="R658">
        <v>0.86547441022980443</v>
      </c>
      <c r="S658">
        <v>0.3464766380809961</v>
      </c>
    </row>
    <row r="659" spans="1:19" x14ac:dyDescent="0.25">
      <c r="A659" s="40">
        <f t="shared" si="105"/>
        <v>64.229676878151835</v>
      </c>
      <c r="B659" s="40">
        <f t="shared" si="105"/>
        <v>32.933286051621081</v>
      </c>
      <c r="C659" s="41">
        <f t="shared" si="100"/>
        <v>0.49289226185293716</v>
      </c>
      <c r="D659" s="41">
        <f t="shared" si="101"/>
        <v>0.98069361229543572</v>
      </c>
      <c r="E659" s="39">
        <f>IF(_xlfn.NORM.INV(R659,C659,'Regressão Grupo 2'!$B$7)&lt;=0,0,IF(_xlfn.NORM.INV(R659,C659,'Regressão Grupo 2'!$B$7)&gt;100%,100%,_xlfn.NORM.INV(R659,C659,'Regressão Grupo 2'!$B$7)))</f>
        <v>0.24008569854735312</v>
      </c>
      <c r="F659" s="39">
        <f>IF(_xlfn.NORM.INV(S659,D659,'Regressão Grupo 2'!$B$7)&lt;=0,0,IF(_xlfn.NORM.INV(S659,D659,'Regressão Grupo 2'!$B$7)&gt;100%,100%,_xlfn.NORM.INV(S659,D659,'Regressão Grupo 2'!$B$7)))</f>
        <v>1</v>
      </c>
      <c r="G659" s="41">
        <v>1.3530657131959185E-2</v>
      </c>
      <c r="H659" s="41">
        <v>1.9537746722224945E-2</v>
      </c>
      <c r="I659" s="40">
        <f t="shared" si="102"/>
        <v>64.942156717414349</v>
      </c>
      <c r="J659" s="40">
        <f t="shared" si="102"/>
        <v>0</v>
      </c>
      <c r="K659" s="36">
        <v>0.39741488664292995</v>
      </c>
      <c r="L659" s="42">
        <f t="shared" si="106"/>
        <v>19991.322604477216</v>
      </c>
      <c r="M659" s="42">
        <f t="shared" si="106"/>
        <v>0</v>
      </c>
      <c r="N659" s="42">
        <f t="shared" si="103"/>
        <v>7944.8492067005564</v>
      </c>
      <c r="O659" s="36">
        <v>6.256063315706311</v>
      </c>
      <c r="P659" s="42">
        <f t="shared" si="104"/>
        <v>-4179.917709253401</v>
      </c>
      <c r="Q659" s="42"/>
      <c r="R659">
        <v>3.3753471480452893E-2</v>
      </c>
      <c r="S659">
        <v>0.7737662892544328</v>
      </c>
    </row>
    <row r="660" spans="1:19" x14ac:dyDescent="0.25">
      <c r="A660" s="40">
        <f t="shared" si="105"/>
        <v>64.229676878151835</v>
      </c>
      <c r="B660" s="40">
        <f t="shared" si="105"/>
        <v>32.933286051621081</v>
      </c>
      <c r="C660" s="41">
        <f t="shared" si="100"/>
        <v>0.49289226185293716</v>
      </c>
      <c r="D660" s="41">
        <f t="shared" si="101"/>
        <v>0.98069361229543572</v>
      </c>
      <c r="E660" s="39">
        <f>IF(_xlfn.NORM.INV(R660,C660,'Regressão Grupo 2'!$B$7)&lt;=0,0,IF(_xlfn.NORM.INV(R660,C660,'Regressão Grupo 2'!$B$7)&gt;100%,100%,_xlfn.NORM.INV(R660,C660,'Regressão Grupo 2'!$B$7)))</f>
        <v>0.28826913293981954</v>
      </c>
      <c r="F660" s="39">
        <f>IF(_xlfn.NORM.INV(S660,D660,'Regressão Grupo 2'!$B$7)&lt;=0,0,IF(_xlfn.NORM.INV(S660,D660,'Regressão Grupo 2'!$B$7)&gt;100%,100%,_xlfn.NORM.INV(S660,D660,'Regressão Grupo 2'!$B$7)))</f>
        <v>0.93523332438434503</v>
      </c>
      <c r="G660" s="41">
        <v>1.1734067442986737E-2</v>
      </c>
      <c r="H660" s="41">
        <v>1.5957686038456039E-2</v>
      </c>
      <c r="I660" s="40">
        <f t="shared" si="102"/>
        <v>67.622037059962523</v>
      </c>
      <c r="J660" s="40">
        <f t="shared" si="102"/>
        <v>0</v>
      </c>
      <c r="K660" s="36">
        <v>0.28571900424622143</v>
      </c>
      <c r="L660" s="42">
        <f t="shared" si="106"/>
        <v>19991.322604477216</v>
      </c>
      <c r="M660" s="42">
        <f t="shared" si="106"/>
        <v>0</v>
      </c>
      <c r="N660" s="42">
        <f t="shared" si="103"/>
        <v>5711.9007881162079</v>
      </c>
      <c r="O660" s="36">
        <v>6.3138115619664488</v>
      </c>
      <c r="P660" s="42">
        <f t="shared" si="104"/>
        <v>-1795.5119973453216</v>
      </c>
      <c r="Q660" s="42"/>
      <c r="R660">
        <v>6.9460127567369606E-2</v>
      </c>
      <c r="S660">
        <v>0.37116611224707785</v>
      </c>
    </row>
    <row r="661" spans="1:19" x14ac:dyDescent="0.25">
      <c r="A661" s="40">
        <f t="shared" si="105"/>
        <v>64.229676878151835</v>
      </c>
      <c r="B661" s="40">
        <f t="shared" si="105"/>
        <v>32.933286051621081</v>
      </c>
      <c r="C661" s="41">
        <f t="shared" si="100"/>
        <v>0.49289226185293716</v>
      </c>
      <c r="D661" s="41">
        <f t="shared" si="101"/>
        <v>0.98069361229543572</v>
      </c>
      <c r="E661" s="39">
        <f>IF(_xlfn.NORM.INV(R661,C661,'Regressão Grupo 2'!$B$7)&lt;=0,0,IF(_xlfn.NORM.INV(R661,C661,'Regressão Grupo 2'!$B$7)&gt;100%,100%,_xlfn.NORM.INV(R661,C661,'Regressão Grupo 2'!$B$7)))</f>
        <v>0.37257441575673877</v>
      </c>
      <c r="F661" s="39">
        <f>IF(_xlfn.NORM.INV(S661,D661,'Regressão Grupo 2'!$B$7)&lt;=0,0,IF(_xlfn.NORM.INV(S661,D661,'Regressão Grupo 2'!$B$7)&gt;100%,100%,_xlfn.NORM.INV(S661,D661,'Regressão Grupo 2'!$B$7)))</f>
        <v>0.85068783694320105</v>
      </c>
      <c r="G661" s="41">
        <v>2.7187957800930841E-2</v>
      </c>
      <c r="H661" s="41">
        <v>1.242543871160706E-2</v>
      </c>
      <c r="I661" s="40">
        <f t="shared" si="102"/>
        <v>202.50285186272131</v>
      </c>
      <c r="J661" s="40">
        <f t="shared" si="102"/>
        <v>0</v>
      </c>
      <c r="K661" s="36">
        <v>0.34950424103993555</v>
      </c>
      <c r="L661" s="42">
        <f t="shared" si="106"/>
        <v>19991.322604477216</v>
      </c>
      <c r="M661" s="42">
        <f t="shared" si="106"/>
        <v>0</v>
      </c>
      <c r="N661" s="42">
        <f t="shared" si="103"/>
        <v>6987.0520342623167</v>
      </c>
      <c r="O661" s="36">
        <v>5.1719720045701898</v>
      </c>
      <c r="P661" s="42">
        <f t="shared" si="104"/>
        <v>4972.3016271049019</v>
      </c>
      <c r="Q661" s="42"/>
      <c r="R661">
        <v>0.19211401715140233</v>
      </c>
      <c r="S661">
        <v>0.17355876338999604</v>
      </c>
    </row>
    <row r="662" spans="1:19" x14ac:dyDescent="0.25">
      <c r="A662" s="40">
        <f t="shared" si="105"/>
        <v>64.229676878151835</v>
      </c>
      <c r="B662" s="40">
        <f t="shared" si="105"/>
        <v>32.933286051621081</v>
      </c>
      <c r="C662" s="41">
        <f t="shared" si="100"/>
        <v>0.49289226185293716</v>
      </c>
      <c r="D662" s="41">
        <f t="shared" si="101"/>
        <v>0.98069361229543572</v>
      </c>
      <c r="E662" s="39">
        <f>IF(_xlfn.NORM.INV(R662,C662,'Regressão Grupo 2'!$B$7)&lt;=0,0,IF(_xlfn.NORM.INV(R662,C662,'Regressão Grupo 2'!$B$7)&gt;100%,100%,_xlfn.NORM.INV(R662,C662,'Regressão Grupo 2'!$B$7)))</f>
        <v>0.50282813001451554</v>
      </c>
      <c r="F662" s="39">
        <f>IF(_xlfn.NORM.INV(S662,D662,'Regressão Grupo 2'!$B$7)&lt;=0,0,IF(_xlfn.NORM.INV(S662,D662,'Regressão Grupo 2'!$B$7)&gt;100%,100%,_xlfn.NORM.INV(S662,D662,'Regressão Grupo 2'!$B$7)))</f>
        <v>0.84784622853510805</v>
      </c>
      <c r="G662" s="41">
        <v>1.2161338310003404E-2</v>
      </c>
      <c r="H662" s="41">
        <v>1.9489990599832082E-2</v>
      </c>
      <c r="I662" s="40">
        <f t="shared" si="102"/>
        <v>122.24819719755251</v>
      </c>
      <c r="J662" s="40">
        <f t="shared" si="102"/>
        <v>0</v>
      </c>
      <c r="K662" s="36">
        <v>0.1354202193927917</v>
      </c>
      <c r="L662" s="42">
        <f t="shared" si="106"/>
        <v>19991.322604477216</v>
      </c>
      <c r="M662" s="42">
        <f t="shared" si="106"/>
        <v>0</v>
      </c>
      <c r="N662" s="42">
        <f t="shared" si="103"/>
        <v>2707.2292930503804</v>
      </c>
      <c r="O662" s="36">
        <v>6.7813995387831056</v>
      </c>
      <c r="P662" s="42">
        <f t="shared" si="104"/>
        <v>4315.7190437924546</v>
      </c>
      <c r="Q662" s="42"/>
      <c r="R662">
        <v>0.52864162114322333</v>
      </c>
      <c r="S662">
        <v>0.1683400982696005</v>
      </c>
    </row>
    <row r="663" spans="1:19" x14ac:dyDescent="0.25">
      <c r="A663" s="40">
        <f t="shared" si="105"/>
        <v>64.229676878151835</v>
      </c>
      <c r="B663" s="40">
        <f t="shared" si="105"/>
        <v>32.933286051621081</v>
      </c>
      <c r="C663" s="41">
        <f t="shared" si="100"/>
        <v>0.49289226185293716</v>
      </c>
      <c r="D663" s="41">
        <f t="shared" si="101"/>
        <v>0.98069361229543572</v>
      </c>
      <c r="E663" s="39">
        <f>IF(_xlfn.NORM.INV(R663,C663,'Regressão Grupo 2'!$B$7)&lt;=0,0,IF(_xlfn.NORM.INV(R663,C663,'Regressão Grupo 2'!$B$7)&gt;100%,100%,_xlfn.NORM.INV(R663,C663,'Regressão Grupo 2'!$B$7)))</f>
        <v>0.62232316790948694</v>
      </c>
      <c r="F663" s="39">
        <f>IF(_xlfn.NORM.INV(S663,D663,'Regressão Grupo 2'!$B$7)&lt;=0,0,IF(_xlfn.NORM.INV(S663,D663,'Regressão Grupo 2'!$B$7)&gt;100%,100%,_xlfn.NORM.INV(S663,D663,'Regressão Grupo 2'!$B$7)))</f>
        <v>0.99920181157771326</v>
      </c>
      <c r="G663" s="41">
        <v>2.782446043853504E-2</v>
      </c>
      <c r="H663" s="41">
        <v>2.3526379414798845E-2</v>
      </c>
      <c r="I663" s="40">
        <f t="shared" si="102"/>
        <v>346.16587120899715</v>
      </c>
      <c r="J663" s="40">
        <f t="shared" si="102"/>
        <v>0</v>
      </c>
      <c r="K663" s="36">
        <v>0.26255480502350725</v>
      </c>
      <c r="L663" s="42">
        <f t="shared" ref="L663:M678" si="107">L662</f>
        <v>19991.322604477216</v>
      </c>
      <c r="M663" s="42">
        <f t="shared" si="107"/>
        <v>0</v>
      </c>
      <c r="N663" s="42">
        <f t="shared" si="103"/>
        <v>5248.8178085805484</v>
      </c>
      <c r="O663" s="36">
        <v>8.0352912300288217</v>
      </c>
      <c r="P663" s="42">
        <f t="shared" si="104"/>
        <v>14203.76065635632</v>
      </c>
      <c r="Q663" s="42"/>
      <c r="R663">
        <v>0.82537308877834403</v>
      </c>
      <c r="S663">
        <v>0.55323953978087714</v>
      </c>
    </row>
    <row r="664" spans="1:19" x14ac:dyDescent="0.25">
      <c r="A664" s="40">
        <f t="shared" si="105"/>
        <v>64.229676878151835</v>
      </c>
      <c r="B664" s="40">
        <f t="shared" si="105"/>
        <v>32.933286051621081</v>
      </c>
      <c r="C664" s="41">
        <f t="shared" si="100"/>
        <v>0.49289226185293716</v>
      </c>
      <c r="D664" s="41">
        <f t="shared" si="101"/>
        <v>0.98069361229543572</v>
      </c>
      <c r="E664" s="39">
        <f>IF(_xlfn.NORM.INV(R664,C664,'Regressão Grupo 2'!$B$7)&lt;=0,0,IF(_xlfn.NORM.INV(R664,C664,'Regressão Grupo 2'!$B$7)&gt;100%,100%,_xlfn.NORM.INV(R664,C664,'Regressão Grupo 2'!$B$7)))</f>
        <v>0.48980855915362531</v>
      </c>
      <c r="F664" s="39">
        <f>IF(_xlfn.NORM.INV(S664,D664,'Regressão Grupo 2'!$B$7)&lt;=0,0,IF(_xlfn.NORM.INV(S664,D664,'Regressão Grupo 2'!$B$7)&gt;100%,100%,_xlfn.NORM.INV(S664,D664,'Regressão Grupo 2'!$B$7)))</f>
        <v>0.84216243738329588</v>
      </c>
      <c r="G664" s="41">
        <v>1.8008349032073774E-2</v>
      </c>
      <c r="H664" s="41">
        <v>1.7854934140257243E-2</v>
      </c>
      <c r="I664" s="40">
        <f t="shared" si="102"/>
        <v>176.33632963036607</v>
      </c>
      <c r="J664" s="40">
        <f t="shared" si="102"/>
        <v>0</v>
      </c>
      <c r="K664" s="36">
        <v>0.34848180415582097</v>
      </c>
      <c r="L664" s="42">
        <f t="shared" si="107"/>
        <v>19991.322604477216</v>
      </c>
      <c r="M664" s="42">
        <f t="shared" si="107"/>
        <v>0</v>
      </c>
      <c r="N664" s="42">
        <f t="shared" si="103"/>
        <v>6966.6121686692659</v>
      </c>
      <c r="O664" s="36">
        <v>4.6948233450811969</v>
      </c>
      <c r="P664" s="42">
        <f t="shared" si="104"/>
        <v>3531.5453884338422</v>
      </c>
      <c r="Q664" s="42"/>
      <c r="R664">
        <v>0.49110385448774679</v>
      </c>
      <c r="S664">
        <v>0.15820795312356944</v>
      </c>
    </row>
    <row r="665" spans="1:19" x14ac:dyDescent="0.25">
      <c r="A665" s="40">
        <f t="shared" si="105"/>
        <v>64.229676878151835</v>
      </c>
      <c r="B665" s="40">
        <f t="shared" si="105"/>
        <v>32.933286051621081</v>
      </c>
      <c r="C665" s="41">
        <f t="shared" si="100"/>
        <v>0.49289226185293716</v>
      </c>
      <c r="D665" s="41">
        <f t="shared" si="101"/>
        <v>0.98069361229543572</v>
      </c>
      <c r="E665" s="39">
        <f>IF(_xlfn.NORM.INV(R665,C665,'Regressão Grupo 2'!$B$7)&lt;=0,0,IF(_xlfn.NORM.INV(R665,C665,'Regressão Grupo 2'!$B$7)&gt;100%,100%,_xlfn.NORM.INV(R665,C665,'Regressão Grupo 2'!$B$7)))</f>
        <v>0.557226637604467</v>
      </c>
      <c r="F665" s="39">
        <f>IF(_xlfn.NORM.INV(S665,D665,'Regressão Grupo 2'!$B$7)&lt;=0,0,IF(_xlfn.NORM.INV(S665,D665,'Regressão Grupo 2'!$B$7)&gt;100%,100%,_xlfn.NORM.INV(S665,D665,'Regressão Grupo 2'!$B$7)))</f>
        <v>0.84130362393058877</v>
      </c>
      <c r="G665" s="41">
        <v>9.7928831007703752E-3</v>
      </c>
      <c r="H665" s="41">
        <v>2.2054624619634308E-2</v>
      </c>
      <c r="I665" s="40">
        <f t="shared" si="102"/>
        <v>109.08975516197202</v>
      </c>
      <c r="J665" s="40">
        <f t="shared" si="102"/>
        <v>0</v>
      </c>
      <c r="K665" s="36">
        <v>0.18632616411976904</v>
      </c>
      <c r="L665" s="42">
        <f t="shared" si="107"/>
        <v>19991.322604477216</v>
      </c>
      <c r="M665" s="42">
        <f t="shared" si="107"/>
        <v>0</v>
      </c>
      <c r="N665" s="42">
        <f t="shared" si="103"/>
        <v>3724.9064565730705</v>
      </c>
      <c r="O665" s="36">
        <v>10.430132477745993</v>
      </c>
      <c r="P665" s="42">
        <f t="shared" si="104"/>
        <v>2144.0726698928465</v>
      </c>
      <c r="Q665" s="42"/>
      <c r="R665">
        <v>0.67912839136936554</v>
      </c>
      <c r="S665">
        <v>0.15671254615924557</v>
      </c>
    </row>
    <row r="666" spans="1:19" x14ac:dyDescent="0.25">
      <c r="A666" s="40">
        <f t="shared" si="105"/>
        <v>64.229676878151835</v>
      </c>
      <c r="B666" s="40">
        <f t="shared" si="105"/>
        <v>32.933286051621081</v>
      </c>
      <c r="C666" s="41">
        <f t="shared" si="100"/>
        <v>0.49289226185293716</v>
      </c>
      <c r="D666" s="41">
        <f t="shared" si="101"/>
        <v>0.98069361229543572</v>
      </c>
      <c r="E666" s="39">
        <f>IF(_xlfn.NORM.INV(R666,C666,'Regressão Grupo 2'!$B$7)&lt;=0,0,IF(_xlfn.NORM.INV(R666,C666,'Regressão Grupo 2'!$B$7)&gt;100%,100%,_xlfn.NORM.INV(R666,C666,'Regressão Grupo 2'!$B$7)))</f>
        <v>0.41317857664076918</v>
      </c>
      <c r="F666" s="39">
        <f>IF(_xlfn.NORM.INV(S666,D666,'Regressão Grupo 2'!$B$7)&lt;=0,0,IF(_xlfn.NORM.INV(S666,D666,'Regressão Grupo 2'!$B$7)&gt;100%,100%,_xlfn.NORM.INV(S666,D666,'Regressão Grupo 2'!$B$7)))</f>
        <v>1</v>
      </c>
      <c r="G666" s="41">
        <v>1.8445226375858638E-2</v>
      </c>
      <c r="H666" s="41">
        <v>2.2920461530534401E-2</v>
      </c>
      <c r="I666" s="40">
        <f t="shared" si="102"/>
        <v>152.35731566879412</v>
      </c>
      <c r="J666" s="40">
        <f t="shared" si="102"/>
        <v>0</v>
      </c>
      <c r="K666" s="36">
        <v>0.32901956487225748</v>
      </c>
      <c r="L666" s="42">
        <f t="shared" si="107"/>
        <v>19991.322604477216</v>
      </c>
      <c r="M666" s="42">
        <f t="shared" si="107"/>
        <v>0</v>
      </c>
      <c r="N666" s="42">
        <f t="shared" si="103"/>
        <v>6577.5362645460191</v>
      </c>
      <c r="O666" s="36">
        <v>4.7511152043613425</v>
      </c>
      <c r="P666" s="42">
        <f t="shared" si="104"/>
        <v>2484.4577319135187</v>
      </c>
      <c r="Q666" s="42"/>
      <c r="R666">
        <v>0.28214362010559402</v>
      </c>
      <c r="S666">
        <v>0.69350260933256025</v>
      </c>
    </row>
    <row r="667" spans="1:19" x14ac:dyDescent="0.25">
      <c r="A667" s="40">
        <f t="shared" si="105"/>
        <v>64.229676878151835</v>
      </c>
      <c r="B667" s="40">
        <f t="shared" si="105"/>
        <v>32.933286051621081</v>
      </c>
      <c r="C667" s="41">
        <f t="shared" si="100"/>
        <v>0.49289226185293716</v>
      </c>
      <c r="D667" s="41">
        <f t="shared" si="101"/>
        <v>0.98069361229543572</v>
      </c>
      <c r="E667" s="39">
        <f>IF(_xlfn.NORM.INV(R667,C667,'Regressão Grupo 2'!$B$7)&lt;=0,0,IF(_xlfn.NORM.INV(R667,C667,'Regressão Grupo 2'!$B$7)&gt;100%,100%,_xlfn.NORM.INV(R667,C667,'Regressão Grupo 2'!$B$7)))</f>
        <v>0.3810753076112855</v>
      </c>
      <c r="F667" s="39">
        <f>IF(_xlfn.NORM.INV(S667,D667,'Regressão Grupo 2'!$B$7)&lt;=0,0,IF(_xlfn.NORM.INV(S667,D667,'Regressão Grupo 2'!$B$7)&gt;100%,100%,_xlfn.NORM.INV(S667,D667,'Regressão Grupo 2'!$B$7)))</f>
        <v>1</v>
      </c>
      <c r="G667" s="41">
        <v>1.620033193000954E-2</v>
      </c>
      <c r="H667" s="41">
        <v>1.3156640198781391E-2</v>
      </c>
      <c r="I667" s="40">
        <f t="shared" si="102"/>
        <v>123.41735916813631</v>
      </c>
      <c r="J667" s="40">
        <f t="shared" si="102"/>
        <v>0</v>
      </c>
      <c r="K667" s="36">
        <v>0.30346856197415306</v>
      </c>
      <c r="L667" s="42">
        <f t="shared" si="107"/>
        <v>19991.322604477216</v>
      </c>
      <c r="M667" s="42">
        <f t="shared" si="107"/>
        <v>0</v>
      </c>
      <c r="N667" s="42">
        <f t="shared" si="103"/>
        <v>6066.7379227420815</v>
      </c>
      <c r="O667" s="36">
        <v>6.0428671339994775</v>
      </c>
      <c r="P667" s="42">
        <f t="shared" si="104"/>
        <v>1114.5244742999839</v>
      </c>
      <c r="Q667" s="42"/>
      <c r="R667">
        <v>0.20935697500534073</v>
      </c>
      <c r="S667">
        <v>0.57362590411084324</v>
      </c>
    </row>
    <row r="668" spans="1:19" x14ac:dyDescent="0.25">
      <c r="A668" s="40">
        <f t="shared" si="105"/>
        <v>64.229676878151835</v>
      </c>
      <c r="B668" s="40">
        <f t="shared" si="105"/>
        <v>32.933286051621081</v>
      </c>
      <c r="C668" s="41">
        <f t="shared" si="100"/>
        <v>0.49289226185293716</v>
      </c>
      <c r="D668" s="41">
        <f t="shared" si="101"/>
        <v>0.98069361229543572</v>
      </c>
      <c r="E668" s="39">
        <f>IF(_xlfn.NORM.INV(R668,C668,'Regressão Grupo 2'!$B$7)&lt;=0,0,IF(_xlfn.NORM.INV(R668,C668,'Regressão Grupo 2'!$B$7)&gt;100%,100%,_xlfn.NORM.INV(R668,C668,'Regressão Grupo 2'!$B$7)))</f>
        <v>0.59074770178020253</v>
      </c>
      <c r="F668" s="39">
        <f>IF(_xlfn.NORM.INV(S668,D668,'Regressão Grupo 2'!$B$7)&lt;=0,0,IF(_xlfn.NORM.INV(S668,D668,'Regressão Grupo 2'!$B$7)&gt;100%,100%,_xlfn.NORM.INV(S668,D668,'Regressão Grupo 2'!$B$7)))</f>
        <v>1</v>
      </c>
      <c r="G668" s="41">
        <v>9.4957189701743265E-3</v>
      </c>
      <c r="H668" s="41">
        <v>1.2519468881627265E-2</v>
      </c>
      <c r="I668" s="40">
        <f t="shared" si="102"/>
        <v>112.14280667393643</v>
      </c>
      <c r="J668" s="40">
        <f t="shared" si="102"/>
        <v>0</v>
      </c>
      <c r="K668" s="36">
        <v>0.18417102034485239</v>
      </c>
      <c r="L668" s="42">
        <f t="shared" si="107"/>
        <v>19991.322604477216</v>
      </c>
      <c r="M668" s="42">
        <f t="shared" si="107"/>
        <v>0</v>
      </c>
      <c r="N668" s="42">
        <f t="shared" si="103"/>
        <v>3681.8222821096811</v>
      </c>
      <c r="O668" s="36">
        <v>4.6913098676501264</v>
      </c>
      <c r="P668" s="42">
        <f t="shared" si="104"/>
        <v>2994.9772992308876</v>
      </c>
      <c r="Q668" s="42"/>
      <c r="R668">
        <v>0.76042970061342208</v>
      </c>
      <c r="S668">
        <v>0.81591235084078495</v>
      </c>
    </row>
    <row r="669" spans="1:19" x14ac:dyDescent="0.25">
      <c r="A669" s="40">
        <f t="shared" si="105"/>
        <v>64.229676878151835</v>
      </c>
      <c r="B669" s="40">
        <f t="shared" si="105"/>
        <v>32.933286051621081</v>
      </c>
      <c r="C669" s="41">
        <f t="shared" si="100"/>
        <v>0.49289226185293716</v>
      </c>
      <c r="D669" s="41">
        <f t="shared" si="101"/>
        <v>0.98069361229543572</v>
      </c>
      <c r="E669" s="39">
        <f>IF(_xlfn.NORM.INV(R669,C669,'Regressão Grupo 2'!$B$7)&lt;=0,0,IF(_xlfn.NORM.INV(R669,C669,'Regressão Grupo 2'!$B$7)&gt;100%,100%,_xlfn.NORM.INV(R669,C669,'Regressão Grupo 2'!$B$7)))</f>
        <v>0.70560634147068224</v>
      </c>
      <c r="F669" s="39">
        <f>IF(_xlfn.NORM.INV(S669,D669,'Regressão Grupo 2'!$B$7)&lt;=0,0,IF(_xlfn.NORM.INV(S669,D669,'Regressão Grupo 2'!$B$7)&gt;100%,100%,_xlfn.NORM.INV(S669,D669,'Regressão Grupo 2'!$B$7)))</f>
        <v>1</v>
      </c>
      <c r="G669" s="41">
        <v>1.808894418725682E-2</v>
      </c>
      <c r="H669" s="41">
        <v>1.9146231628138187E-2</v>
      </c>
      <c r="I669" s="40">
        <f t="shared" si="102"/>
        <v>255.16271913548238</v>
      </c>
      <c r="J669" s="40">
        <f t="shared" si="102"/>
        <v>0</v>
      </c>
      <c r="K669" s="36">
        <v>0.1484996274166937</v>
      </c>
      <c r="L669" s="42">
        <f t="shared" si="107"/>
        <v>19991.322604477216</v>
      </c>
      <c r="M669" s="42">
        <f t="shared" si="107"/>
        <v>0</v>
      </c>
      <c r="N669" s="42">
        <f t="shared" si="103"/>
        <v>2968.7039583317933</v>
      </c>
      <c r="O669" s="36">
        <v>6.201171875</v>
      </c>
      <c r="P669" s="42">
        <f t="shared" si="104"/>
        <v>11838.007165639372</v>
      </c>
      <c r="Q669" s="42"/>
      <c r="R669">
        <v>0.93801690725424969</v>
      </c>
      <c r="S669">
        <v>0.79741813409833062</v>
      </c>
    </row>
    <row r="670" spans="1:19" x14ac:dyDescent="0.25">
      <c r="A670" s="40">
        <f t="shared" si="105"/>
        <v>64.229676878151835</v>
      </c>
      <c r="B670" s="40">
        <f t="shared" si="105"/>
        <v>32.933286051621081</v>
      </c>
      <c r="C670" s="41">
        <f t="shared" si="100"/>
        <v>0.49289226185293716</v>
      </c>
      <c r="D670" s="41">
        <f t="shared" si="101"/>
        <v>0.98069361229543572</v>
      </c>
      <c r="E670" s="39">
        <f>IF(_xlfn.NORM.INV(R670,C670,'Regressão Grupo 2'!$B$7)&lt;=0,0,IF(_xlfn.NORM.INV(R670,C670,'Regressão Grupo 2'!$B$7)&gt;100%,100%,_xlfn.NORM.INV(R670,C670,'Regressão Grupo 2'!$B$7)))</f>
        <v>0.59427173351851514</v>
      </c>
      <c r="F670" s="39">
        <f>IF(_xlfn.NORM.INV(S670,D670,'Regressão Grupo 2'!$B$7)&lt;=0,0,IF(_xlfn.NORM.INV(S670,D670,'Regressão Grupo 2'!$B$7)&gt;100%,100%,_xlfn.NORM.INV(S670,D670,'Regressão Grupo 2'!$B$7)))</f>
        <v>0.72093509306805026</v>
      </c>
      <c r="G670" s="41">
        <v>2.6742171363047216E-2</v>
      </c>
      <c r="H670" s="41">
        <v>2.0499448340521923E-2</v>
      </c>
      <c r="I670" s="40">
        <f t="shared" si="102"/>
        <v>317.70442849848581</v>
      </c>
      <c r="J670" s="40">
        <f t="shared" si="102"/>
        <v>0</v>
      </c>
      <c r="K670" s="36">
        <v>0.35745370044299635</v>
      </c>
      <c r="L670" s="42">
        <f t="shared" si="107"/>
        <v>19991.322604477216</v>
      </c>
      <c r="M670" s="42">
        <f t="shared" si="107"/>
        <v>0</v>
      </c>
      <c r="N670" s="42">
        <f t="shared" si="103"/>
        <v>7145.9722417201001</v>
      </c>
      <c r="O670" s="36">
        <v>5.4454573638104717</v>
      </c>
      <c r="P670" s="42">
        <f t="shared" si="104"/>
        <v>11530.034623813259</v>
      </c>
      <c r="Q670" s="42"/>
      <c r="R670">
        <v>0.76827295754875335</v>
      </c>
      <c r="S670">
        <v>3.0152287362285226E-2</v>
      </c>
    </row>
    <row r="671" spans="1:19" x14ac:dyDescent="0.25">
      <c r="A671" s="40">
        <f t="shared" si="105"/>
        <v>64.229676878151835</v>
      </c>
      <c r="B671" s="40">
        <f t="shared" si="105"/>
        <v>32.933286051621081</v>
      </c>
      <c r="C671" s="41">
        <f t="shared" si="100"/>
        <v>0.49289226185293716</v>
      </c>
      <c r="D671" s="41">
        <f t="shared" si="101"/>
        <v>0.98069361229543572</v>
      </c>
      <c r="E671" s="39">
        <f>IF(_xlfn.NORM.INV(R671,C671,'Regressão Grupo 2'!$B$7)&lt;=0,0,IF(_xlfn.NORM.INV(R671,C671,'Regressão Grupo 2'!$B$7)&gt;100%,100%,_xlfn.NORM.INV(R671,C671,'Regressão Grupo 2'!$B$7)))</f>
        <v>0.5886258947061388</v>
      </c>
      <c r="F671" s="39">
        <f>IF(_xlfn.NORM.INV(S671,D671,'Regressão Grupo 2'!$B$7)&lt;=0,0,IF(_xlfn.NORM.INV(S671,D671,'Regressão Grupo 2'!$B$7)&gt;100%,100%,_xlfn.NORM.INV(S671,D671,'Regressão Grupo 2'!$B$7)))</f>
        <v>0.96046557770717866</v>
      </c>
      <c r="G671" s="41">
        <v>1.6422491481254412E-2</v>
      </c>
      <c r="H671" s="41">
        <v>5.9558524544491087E-3</v>
      </c>
      <c r="I671" s="40">
        <f t="shared" si="102"/>
        <v>193.25019301738024</v>
      </c>
      <c r="J671" s="40">
        <f t="shared" si="102"/>
        <v>0</v>
      </c>
      <c r="K671" s="36">
        <v>0.42600510475651221</v>
      </c>
      <c r="L671" s="42">
        <f t="shared" si="107"/>
        <v>19991.322604477216</v>
      </c>
      <c r="M671" s="42">
        <f t="shared" si="107"/>
        <v>0</v>
      </c>
      <c r="N671" s="42">
        <f t="shared" si="103"/>
        <v>8516.4054803415474</v>
      </c>
      <c r="O671" s="36">
        <v>4.8354757264036152</v>
      </c>
      <c r="P671" s="42">
        <f t="shared" si="104"/>
        <v>2961.5353563469034</v>
      </c>
      <c r="Q671" s="42"/>
      <c r="R671">
        <v>0.75563829462569043</v>
      </c>
      <c r="S671">
        <v>0.44184698019348734</v>
      </c>
    </row>
    <row r="672" spans="1:19" x14ac:dyDescent="0.25">
      <c r="A672" s="40">
        <f t="shared" si="105"/>
        <v>64.229676878151835</v>
      </c>
      <c r="B672" s="40">
        <f t="shared" si="105"/>
        <v>32.933286051621081</v>
      </c>
      <c r="C672" s="41">
        <f t="shared" si="100"/>
        <v>0.49289226185293716</v>
      </c>
      <c r="D672" s="41">
        <f t="shared" si="101"/>
        <v>0.98069361229543572</v>
      </c>
      <c r="E672" s="39">
        <f>IF(_xlfn.NORM.INV(R672,C672,'Regressão Grupo 2'!$B$7)&lt;=0,0,IF(_xlfn.NORM.INV(R672,C672,'Regressão Grupo 2'!$B$7)&gt;100%,100%,_xlfn.NORM.INV(R672,C672,'Regressão Grupo 2'!$B$7)))</f>
        <v>0.3213840845954421</v>
      </c>
      <c r="F672" s="39">
        <f>IF(_xlfn.NORM.INV(S672,D672,'Regressão Grupo 2'!$B$7)&lt;=0,0,IF(_xlfn.NORM.INV(S672,D672,'Regressão Grupo 2'!$B$7)&gt;100%,100%,_xlfn.NORM.INV(S672,D672,'Regressão Grupo 2'!$B$7)))</f>
        <v>0.9813441532791517</v>
      </c>
      <c r="G672" s="41">
        <v>1.7928886645015175E-2</v>
      </c>
      <c r="H672" s="41">
        <v>2.2469996622777835E-2</v>
      </c>
      <c r="I672" s="40">
        <f t="shared" si="102"/>
        <v>115.19117678104701</v>
      </c>
      <c r="J672" s="40">
        <f t="shared" si="102"/>
        <v>0</v>
      </c>
      <c r="K672" s="36">
        <v>0.41195402184767993</v>
      </c>
      <c r="L672" s="42">
        <f t="shared" si="107"/>
        <v>19991.322604477216</v>
      </c>
      <c r="M672" s="42">
        <f t="shared" si="107"/>
        <v>0</v>
      </c>
      <c r="N672" s="42">
        <f t="shared" si="103"/>
        <v>8235.5057489688243</v>
      </c>
      <c r="O672" s="36">
        <v>5.6289817454702087</v>
      </c>
      <c r="P672" s="42">
        <f t="shared" si="104"/>
        <v>-1485.2227164478545</v>
      </c>
      <c r="Q672" s="42"/>
      <c r="R672">
        <v>0.10742515335551012</v>
      </c>
      <c r="S672">
        <v>0.50187688833277377</v>
      </c>
    </row>
    <row r="673" spans="1:19" x14ac:dyDescent="0.25">
      <c r="A673" s="40">
        <f t="shared" si="105"/>
        <v>64.229676878151835</v>
      </c>
      <c r="B673" s="40">
        <f t="shared" si="105"/>
        <v>32.933286051621081</v>
      </c>
      <c r="C673" s="41">
        <f t="shared" si="100"/>
        <v>0.49289226185293716</v>
      </c>
      <c r="D673" s="41">
        <f t="shared" si="101"/>
        <v>0.98069361229543572</v>
      </c>
      <c r="E673" s="39">
        <f>IF(_xlfn.NORM.INV(R673,C673,'Regressão Grupo 2'!$B$7)&lt;=0,0,IF(_xlfn.NORM.INV(R673,C673,'Regressão Grupo 2'!$B$7)&gt;100%,100%,_xlfn.NORM.INV(R673,C673,'Regressão Grupo 2'!$B$7)))</f>
        <v>0.72445920201463654</v>
      </c>
      <c r="F673" s="39">
        <f>IF(_xlfn.NORM.INV(S673,D673,'Regressão Grupo 2'!$B$7)&lt;=0,0,IF(_xlfn.NORM.INV(S673,D673,'Regressão Grupo 2'!$B$7)&gt;100%,100%,_xlfn.NORM.INV(S673,D673,'Regressão Grupo 2'!$B$7)))</f>
        <v>1</v>
      </c>
      <c r="G673" s="41">
        <v>1.9706442666314231E-2</v>
      </c>
      <c r="H673" s="41">
        <v>9.146460602147197E-3</v>
      </c>
      <c r="I673" s="40">
        <f t="shared" si="102"/>
        <v>285.40639161539445</v>
      </c>
      <c r="J673" s="40">
        <f t="shared" si="102"/>
        <v>0</v>
      </c>
      <c r="K673" s="36">
        <v>0.39319597961620734</v>
      </c>
      <c r="L673" s="42">
        <f t="shared" si="107"/>
        <v>19991.322604477216</v>
      </c>
      <c r="M673" s="42">
        <f t="shared" si="107"/>
        <v>0</v>
      </c>
      <c r="N673" s="42">
        <f t="shared" si="103"/>
        <v>7860.5076752910481</v>
      </c>
      <c r="O673" s="36">
        <v>4.5352751199982286</v>
      </c>
      <c r="P673" s="42">
        <f t="shared" si="104"/>
        <v>9176.6561301432284</v>
      </c>
      <c r="Q673" s="42"/>
      <c r="R673">
        <v>0.95300149540696433</v>
      </c>
      <c r="S673">
        <v>0.77193517868587302</v>
      </c>
    </row>
    <row r="674" spans="1:19" x14ac:dyDescent="0.25">
      <c r="A674" s="40">
        <f t="shared" si="105"/>
        <v>64.229676878151835</v>
      </c>
      <c r="B674" s="40">
        <f t="shared" si="105"/>
        <v>32.933286051621081</v>
      </c>
      <c r="C674" s="41">
        <f t="shared" si="100"/>
        <v>0.49289226185293716</v>
      </c>
      <c r="D674" s="41">
        <f t="shared" si="101"/>
        <v>0.98069361229543572</v>
      </c>
      <c r="E674" s="39">
        <f>IF(_xlfn.NORM.INV(R674,C674,'Regressão Grupo 2'!$B$7)&lt;=0,0,IF(_xlfn.NORM.INV(R674,C674,'Regressão Grupo 2'!$B$7)&gt;100%,100%,_xlfn.NORM.INV(R674,C674,'Regressão Grupo 2'!$B$7)))</f>
        <v>0.29017821098251645</v>
      </c>
      <c r="F674" s="39">
        <f>IF(_xlfn.NORM.INV(S674,D674,'Regressão Grupo 2'!$B$7)&lt;=0,0,IF(_xlfn.NORM.INV(S674,D674,'Regressão Grupo 2'!$B$7)&gt;100%,100%,_xlfn.NORM.INV(S674,D674,'Regressão Grupo 2'!$B$7)))</f>
        <v>1</v>
      </c>
      <c r="G674" s="41">
        <v>8.7313739896147501E-3</v>
      </c>
      <c r="H674" s="41">
        <v>1.2916082040825668E-2</v>
      </c>
      <c r="I674" s="40">
        <f t="shared" si="102"/>
        <v>50.65110415244034</v>
      </c>
      <c r="J674" s="40">
        <f t="shared" si="102"/>
        <v>0</v>
      </c>
      <c r="K674" s="36">
        <v>0.2786465288005967</v>
      </c>
      <c r="L674" s="42">
        <f t="shared" si="107"/>
        <v>19991.322604477216</v>
      </c>
      <c r="M674" s="42">
        <f t="shared" si="107"/>
        <v>0</v>
      </c>
      <c r="N674" s="42">
        <f t="shared" si="103"/>
        <v>5570.5126498704803</v>
      </c>
      <c r="O674" s="36">
        <v>2.7214017133960517</v>
      </c>
      <c r="P674" s="42">
        <f t="shared" si="104"/>
        <v>-2455.0505982634754</v>
      </c>
      <c r="Q674" s="42"/>
      <c r="R674">
        <v>7.1321756645405437E-2</v>
      </c>
      <c r="S674">
        <v>0.58552812280648214</v>
      </c>
    </row>
    <row r="675" spans="1:19" x14ac:dyDescent="0.25">
      <c r="A675" s="40">
        <f t="shared" si="105"/>
        <v>64.229676878151835</v>
      </c>
      <c r="B675" s="40">
        <f t="shared" si="105"/>
        <v>32.933286051621081</v>
      </c>
      <c r="C675" s="41">
        <f t="shared" si="100"/>
        <v>0.49289226185293716</v>
      </c>
      <c r="D675" s="41">
        <f t="shared" si="101"/>
        <v>0.98069361229543572</v>
      </c>
      <c r="E675" s="39">
        <f>IF(_xlfn.NORM.INV(R675,C675,'Regressão Grupo 2'!$B$7)&lt;=0,0,IF(_xlfn.NORM.INV(R675,C675,'Regressão Grupo 2'!$B$7)&gt;100%,100%,_xlfn.NORM.INV(R675,C675,'Regressão Grupo 2'!$B$7)))</f>
        <v>0.40482384403226335</v>
      </c>
      <c r="F675" s="39">
        <f>IF(_xlfn.NORM.INV(S675,D675,'Regressão Grupo 2'!$B$7)&lt;=0,0,IF(_xlfn.NORM.INV(S675,D675,'Regressão Grupo 2'!$B$7)&gt;100%,100%,_xlfn.NORM.INV(S675,D675,'Regressão Grupo 2'!$B$7)))</f>
        <v>1</v>
      </c>
      <c r="G675" s="41">
        <v>1.4825775909061036E-2</v>
      </c>
      <c r="H675" s="41">
        <v>1.7471498713281812E-3</v>
      </c>
      <c r="I675" s="40">
        <f t="shared" si="102"/>
        <v>119.98447165344523</v>
      </c>
      <c r="J675" s="40">
        <f t="shared" si="102"/>
        <v>0</v>
      </c>
      <c r="K675" s="36">
        <v>0.31799734446607947</v>
      </c>
      <c r="L675" s="42">
        <f t="shared" si="107"/>
        <v>19991.322604477216</v>
      </c>
      <c r="M675" s="42">
        <f t="shared" si="107"/>
        <v>0</v>
      </c>
      <c r="N675" s="42">
        <f t="shared" si="103"/>
        <v>6357.1875005884622</v>
      </c>
      <c r="O675" s="36">
        <v>9.3977659191387328</v>
      </c>
      <c r="P675" s="42">
        <f t="shared" si="104"/>
        <v>221.79036557747804</v>
      </c>
      <c r="Q675" s="42"/>
      <c r="R675">
        <v>0.26209295937986388</v>
      </c>
      <c r="S675">
        <v>0.70537430951872315</v>
      </c>
    </row>
    <row r="676" spans="1:19" x14ac:dyDescent="0.25">
      <c r="A676" s="40">
        <f t="shared" si="105"/>
        <v>64.229676878151835</v>
      </c>
      <c r="B676" s="40">
        <f t="shared" si="105"/>
        <v>32.933286051621081</v>
      </c>
      <c r="C676" s="41">
        <f t="shared" si="100"/>
        <v>0.49289226185293716</v>
      </c>
      <c r="D676" s="41">
        <f t="shared" si="101"/>
        <v>0.98069361229543572</v>
      </c>
      <c r="E676" s="39">
        <f>IF(_xlfn.NORM.INV(R676,C676,'Regressão Grupo 2'!$B$7)&lt;=0,0,IF(_xlfn.NORM.INV(R676,C676,'Regressão Grupo 2'!$B$7)&gt;100%,100%,_xlfn.NORM.INV(R676,C676,'Regressão Grupo 2'!$B$7)))</f>
        <v>0.28403200024714864</v>
      </c>
      <c r="F676" s="39">
        <f>IF(_xlfn.NORM.INV(S676,D676,'Regressão Grupo 2'!$B$7)&lt;=0,0,IF(_xlfn.NORM.INV(S676,D676,'Regressão Grupo 2'!$B$7)&gt;100%,100%,_xlfn.NORM.INV(S676,D676,'Regressão Grupo 2'!$B$7)))</f>
        <v>0.79420222596144396</v>
      </c>
      <c r="G676" s="41">
        <v>2.6329039017828806E-2</v>
      </c>
      <c r="H676" s="41">
        <v>3.170086812295754E-3</v>
      </c>
      <c r="I676" s="40">
        <f t="shared" si="102"/>
        <v>149.50090025954367</v>
      </c>
      <c r="J676" s="40">
        <f t="shared" si="102"/>
        <v>0</v>
      </c>
      <c r="K676" s="36">
        <v>0.35923377452753569</v>
      </c>
      <c r="L676" s="42">
        <f t="shared" si="107"/>
        <v>19991.322604477216</v>
      </c>
      <c r="M676" s="42">
        <f t="shared" si="107"/>
        <v>0</v>
      </c>
      <c r="N676" s="42">
        <f t="shared" si="103"/>
        <v>7181.5582770039955</v>
      </c>
      <c r="O676" s="36">
        <v>4.1719130643075033</v>
      </c>
      <c r="P676" s="42">
        <f t="shared" si="104"/>
        <v>1797.1314807407771</v>
      </c>
      <c r="Q676" s="42"/>
      <c r="R676">
        <v>6.5462202826013977E-2</v>
      </c>
      <c r="S676">
        <v>8.8717307046723842E-2</v>
      </c>
    </row>
    <row r="677" spans="1:19" x14ac:dyDescent="0.25">
      <c r="A677" s="40">
        <f t="shared" si="105"/>
        <v>64.229676878151835</v>
      </c>
      <c r="B677" s="40">
        <f t="shared" si="105"/>
        <v>32.933286051621081</v>
      </c>
      <c r="C677" s="41">
        <f t="shared" si="100"/>
        <v>0.49289226185293716</v>
      </c>
      <c r="D677" s="41">
        <f t="shared" si="101"/>
        <v>0.98069361229543572</v>
      </c>
      <c r="E677" s="39">
        <f>IF(_xlfn.NORM.INV(R677,C677,'Regressão Grupo 2'!$B$7)&lt;=0,0,IF(_xlfn.NORM.INV(R677,C677,'Regressão Grupo 2'!$B$7)&gt;100%,100%,_xlfn.NORM.INV(R677,C677,'Regressão Grupo 2'!$B$7)))</f>
        <v>0.56083207528057288</v>
      </c>
      <c r="F677" s="39">
        <f>IF(_xlfn.NORM.INV(S677,D677,'Regressão Grupo 2'!$B$7)&lt;=0,0,IF(_xlfn.NORM.INV(S677,D677,'Regressão Grupo 2'!$B$7)&gt;100%,100%,_xlfn.NORM.INV(S677,D677,'Regressão Grupo 2'!$B$7)))</f>
        <v>0.96027310825908707</v>
      </c>
      <c r="G677" s="41">
        <v>6.3098558988001503E-3</v>
      </c>
      <c r="H677" s="41">
        <v>2.0262121325940172E-2</v>
      </c>
      <c r="I677" s="40">
        <f t="shared" si="102"/>
        <v>70.744684265612889</v>
      </c>
      <c r="J677" s="40">
        <f t="shared" si="102"/>
        <v>0</v>
      </c>
      <c r="K677" s="36">
        <v>0.30676293127926202</v>
      </c>
      <c r="L677" s="42">
        <f t="shared" si="107"/>
        <v>19991.322604477216</v>
      </c>
      <c r="M677" s="42">
        <f t="shared" si="107"/>
        <v>0</v>
      </c>
      <c r="N677" s="42">
        <f t="shared" si="103"/>
        <v>6132.596722298802</v>
      </c>
      <c r="O677" s="36">
        <v>9.6292537249195345</v>
      </c>
      <c r="P677" s="42">
        <f t="shared" si="104"/>
        <v>-2269.907025554523</v>
      </c>
      <c r="Q677" s="42"/>
      <c r="R677">
        <v>0.68840601825006864</v>
      </c>
      <c r="S677">
        <v>0.4412976470229194</v>
      </c>
    </row>
    <row r="678" spans="1:19" x14ac:dyDescent="0.25">
      <c r="A678" s="40">
        <f t="shared" si="105"/>
        <v>64.229676878151835</v>
      </c>
      <c r="B678" s="40">
        <f t="shared" si="105"/>
        <v>32.933286051621081</v>
      </c>
      <c r="C678" s="41">
        <f t="shared" si="100"/>
        <v>0.49289226185293716</v>
      </c>
      <c r="D678" s="41">
        <f t="shared" si="101"/>
        <v>0.98069361229543572</v>
      </c>
      <c r="E678" s="39">
        <f>IF(_xlfn.NORM.INV(R678,C678,'Regressão Grupo 2'!$B$7)&lt;=0,0,IF(_xlfn.NORM.INV(R678,C678,'Regressão Grupo 2'!$B$7)&gt;100%,100%,_xlfn.NORM.INV(R678,C678,'Regressão Grupo 2'!$B$7)))</f>
        <v>0.43835136268771674</v>
      </c>
      <c r="F678" s="39">
        <f>IF(_xlfn.NORM.INV(S678,D678,'Regressão Grupo 2'!$B$7)&lt;=0,0,IF(_xlfn.NORM.INV(S678,D678,'Regressão Grupo 2'!$B$7)&gt;100%,100%,_xlfn.NORM.INV(S678,D678,'Regressão Grupo 2'!$B$7)))</f>
        <v>0.85360472944363819</v>
      </c>
      <c r="G678" s="41">
        <v>1.003562660644427E-2</v>
      </c>
      <c r="H678" s="41">
        <v>1.4292081435758663E-2</v>
      </c>
      <c r="I678" s="40">
        <f t="shared" si="102"/>
        <v>87.944438971040697</v>
      </c>
      <c r="J678" s="40">
        <f t="shared" si="102"/>
        <v>0</v>
      </c>
      <c r="K678" s="36">
        <v>0.35755134503673863</v>
      </c>
      <c r="L678" s="42">
        <f t="shared" si="107"/>
        <v>19991.322604477216</v>
      </c>
      <c r="M678" s="42">
        <f t="shared" si="107"/>
        <v>0</v>
      </c>
      <c r="N678" s="42">
        <f t="shared" si="103"/>
        <v>7147.9242862941855</v>
      </c>
      <c r="O678" s="36">
        <v>4.0342241960876448</v>
      </c>
      <c r="P678" s="42">
        <f t="shared" si="104"/>
        <v>-1854.0689715622239</v>
      </c>
      <c r="Q678" s="42"/>
      <c r="R678">
        <v>0.34662923062837608</v>
      </c>
      <c r="S678">
        <v>0.17902157658619952</v>
      </c>
    </row>
    <row r="679" spans="1:19" x14ac:dyDescent="0.25">
      <c r="A679" s="40">
        <f t="shared" si="105"/>
        <v>64.229676878151835</v>
      </c>
      <c r="B679" s="40">
        <f t="shared" si="105"/>
        <v>32.933286051621081</v>
      </c>
      <c r="C679" s="41">
        <f t="shared" si="100"/>
        <v>0.49289226185293716</v>
      </c>
      <c r="D679" s="41">
        <f t="shared" si="101"/>
        <v>0.98069361229543572</v>
      </c>
      <c r="E679" s="39">
        <f>IF(_xlfn.NORM.INV(R679,C679,'Regressão Grupo 2'!$B$7)&lt;=0,0,IF(_xlfn.NORM.INV(R679,C679,'Regressão Grupo 2'!$B$7)&gt;100%,100%,_xlfn.NORM.INV(R679,C679,'Regressão Grupo 2'!$B$7)))</f>
        <v>0.46324432781325398</v>
      </c>
      <c r="F679" s="39">
        <f>IF(_xlfn.NORM.INV(S679,D679,'Regressão Grupo 2'!$B$7)&lt;=0,0,IF(_xlfn.NORM.INV(S679,D679,'Regressão Grupo 2'!$B$7)&gt;100%,100%,_xlfn.NORM.INV(S679,D679,'Regressão Grupo 2'!$B$7)))</f>
        <v>1</v>
      </c>
      <c r="G679" s="41">
        <v>2.352056622621352E-2</v>
      </c>
      <c r="H679" s="41">
        <v>2.2590197292591405E-2</v>
      </c>
      <c r="I679" s="40">
        <f t="shared" si="102"/>
        <v>217.8208309287939</v>
      </c>
      <c r="J679" s="40">
        <f t="shared" si="102"/>
        <v>0</v>
      </c>
      <c r="K679" s="36">
        <v>0.39439290395938886</v>
      </c>
      <c r="L679" s="42">
        <f t="shared" ref="L679:M694" si="108">L678</f>
        <v>19991.322604477216</v>
      </c>
      <c r="M679" s="42">
        <f t="shared" si="108"/>
        <v>0</v>
      </c>
      <c r="N679" s="42">
        <f t="shared" si="103"/>
        <v>7884.4357759687427</v>
      </c>
      <c r="O679" s="36">
        <v>7.0529500424705445</v>
      </c>
      <c r="P679" s="42">
        <f t="shared" si="104"/>
        <v>4569.8463731680258</v>
      </c>
      <c r="Q679" s="42"/>
      <c r="R679">
        <v>0.41511276589251384</v>
      </c>
      <c r="S679">
        <v>0.87179174169133578</v>
      </c>
    </row>
    <row r="680" spans="1:19" x14ac:dyDescent="0.25">
      <c r="A680" s="40">
        <f t="shared" si="105"/>
        <v>64.229676878151835</v>
      </c>
      <c r="B680" s="40">
        <f t="shared" si="105"/>
        <v>32.933286051621081</v>
      </c>
      <c r="C680" s="41">
        <f t="shared" si="100"/>
        <v>0.49289226185293716</v>
      </c>
      <c r="D680" s="41">
        <f t="shared" si="101"/>
        <v>0.98069361229543572</v>
      </c>
      <c r="E680" s="39">
        <f>IF(_xlfn.NORM.INV(R680,C680,'Regressão Grupo 2'!$B$7)&lt;=0,0,IF(_xlfn.NORM.INV(R680,C680,'Regressão Grupo 2'!$B$7)&gt;100%,100%,_xlfn.NORM.INV(R680,C680,'Regressão Grupo 2'!$B$7)))</f>
        <v>0.46238867276461632</v>
      </c>
      <c r="F680" s="39">
        <f>IF(_xlfn.NORM.INV(S680,D680,'Regressão Grupo 2'!$B$7)&lt;=0,0,IF(_xlfn.NORM.INV(S680,D680,'Regressão Grupo 2'!$B$7)&gt;100%,100%,_xlfn.NORM.INV(S680,D680,'Regressão Grupo 2'!$B$7)))</f>
        <v>0.92355900385582801</v>
      </c>
      <c r="G680" s="41">
        <v>1.9972510221094086E-2</v>
      </c>
      <c r="H680" s="41">
        <v>1.7215507229665122E-2</v>
      </c>
      <c r="I680" s="40">
        <f t="shared" si="102"/>
        <v>184.62111356825994</v>
      </c>
      <c r="J680" s="40">
        <f t="shared" si="102"/>
        <v>0</v>
      </c>
      <c r="K680" s="36">
        <v>0.29349535543698091</v>
      </c>
      <c r="L680" s="42">
        <f t="shared" si="108"/>
        <v>19991.322604477216</v>
      </c>
      <c r="M680" s="42">
        <f t="shared" si="108"/>
        <v>0</v>
      </c>
      <c r="N680" s="42">
        <f t="shared" si="103"/>
        <v>5867.3603334563913</v>
      </c>
      <c r="O680" s="36">
        <v>9.0728022154007242</v>
      </c>
      <c r="P680" s="42">
        <f t="shared" si="104"/>
        <v>4315.763287725661</v>
      </c>
      <c r="Q680" s="42"/>
      <c r="R680">
        <v>0.41270180364391001</v>
      </c>
      <c r="S680">
        <v>0.33973204748680075</v>
      </c>
    </row>
    <row r="681" spans="1:19" x14ac:dyDescent="0.25">
      <c r="A681" s="40">
        <f t="shared" si="105"/>
        <v>64.229676878151835</v>
      </c>
      <c r="B681" s="40">
        <f t="shared" si="105"/>
        <v>32.933286051621081</v>
      </c>
      <c r="C681" s="41">
        <f t="shared" si="100"/>
        <v>0.49289226185293716</v>
      </c>
      <c r="D681" s="41">
        <f t="shared" si="101"/>
        <v>0.98069361229543572</v>
      </c>
      <c r="E681" s="39">
        <f>IF(_xlfn.NORM.INV(R681,C681,'Regressão Grupo 2'!$B$7)&lt;=0,0,IF(_xlfn.NORM.INV(R681,C681,'Regressão Grupo 2'!$B$7)&gt;100%,100%,_xlfn.NORM.INV(R681,C681,'Regressão Grupo 2'!$B$7)))</f>
        <v>0.51421148618094936</v>
      </c>
      <c r="F681" s="39">
        <f>IF(_xlfn.NORM.INV(S681,D681,'Regressão Grupo 2'!$B$7)&lt;=0,0,IF(_xlfn.NORM.INV(S681,D681,'Regressão Grupo 2'!$B$7)&gt;100%,100%,_xlfn.NORM.INV(S681,D681,'Regressão Grupo 2'!$B$7)))</f>
        <v>0.95745620014479049</v>
      </c>
      <c r="G681" s="41">
        <v>1.5472113503729146E-2</v>
      </c>
      <c r="H681" s="41">
        <v>1.9595324585356292E-2</v>
      </c>
      <c r="I681" s="40">
        <f t="shared" si="102"/>
        <v>159.04973275731979</v>
      </c>
      <c r="J681" s="40">
        <f t="shared" si="102"/>
        <v>0</v>
      </c>
      <c r="K681" s="36">
        <v>0.37149994083509807</v>
      </c>
      <c r="L681" s="42">
        <f t="shared" si="108"/>
        <v>19991.322604477216</v>
      </c>
      <c r="M681" s="42">
        <f t="shared" si="108"/>
        <v>0</v>
      </c>
      <c r="N681" s="42">
        <f t="shared" si="103"/>
        <v>7426.7751647786445</v>
      </c>
      <c r="O681" s="36">
        <v>6.8084894283937194</v>
      </c>
      <c r="P681" s="42">
        <f t="shared" si="104"/>
        <v>1706.0493537133498</v>
      </c>
      <c r="Q681" s="42"/>
      <c r="R681">
        <v>0.5612659077730644</v>
      </c>
      <c r="S681">
        <v>0.43327127903073215</v>
      </c>
    </row>
    <row r="682" spans="1:19" x14ac:dyDescent="0.25">
      <c r="A682" s="40">
        <f t="shared" si="105"/>
        <v>64.229676878151835</v>
      </c>
      <c r="B682" s="40">
        <f t="shared" si="105"/>
        <v>32.933286051621081</v>
      </c>
      <c r="C682" s="41">
        <f t="shared" si="100"/>
        <v>0.49289226185293716</v>
      </c>
      <c r="D682" s="41">
        <f t="shared" si="101"/>
        <v>0.98069361229543572</v>
      </c>
      <c r="E682" s="39">
        <f>IF(_xlfn.NORM.INV(R682,C682,'Regressão Grupo 2'!$B$7)&lt;=0,0,IF(_xlfn.NORM.INV(R682,C682,'Regressão Grupo 2'!$B$7)&gt;100%,100%,_xlfn.NORM.INV(R682,C682,'Regressão Grupo 2'!$B$7)))</f>
        <v>0.29301649145178021</v>
      </c>
      <c r="F682" s="39">
        <f>IF(_xlfn.NORM.INV(S682,D682,'Regressão Grupo 2'!$B$7)&lt;=0,0,IF(_xlfn.NORM.INV(S682,D682,'Regressão Grupo 2'!$B$7)&gt;100%,100%,_xlfn.NORM.INV(S682,D682,'Regressão Grupo 2'!$B$7)))</f>
        <v>0.90032956199890812</v>
      </c>
      <c r="G682" s="41">
        <v>1.8441563497922139E-2</v>
      </c>
      <c r="H682" s="41">
        <v>1.0044282379948167E-2</v>
      </c>
      <c r="I682" s="40">
        <f t="shared" si="102"/>
        <v>108.0267547729117</v>
      </c>
      <c r="J682" s="40">
        <f t="shared" si="102"/>
        <v>0</v>
      </c>
      <c r="K682" s="36">
        <v>0.23167642621596435</v>
      </c>
      <c r="L682" s="42">
        <f t="shared" si="108"/>
        <v>19991.322604477216</v>
      </c>
      <c r="M682" s="42">
        <f t="shared" si="108"/>
        <v>0</v>
      </c>
      <c r="N682" s="42">
        <f t="shared" si="103"/>
        <v>4631.5181763357059</v>
      </c>
      <c r="O682" s="36">
        <v>6.0370217143012486</v>
      </c>
      <c r="P682" s="42">
        <f t="shared" si="104"/>
        <v>1654.8455126341951</v>
      </c>
      <c r="Q682" s="42"/>
      <c r="R682">
        <v>7.4159978026673179E-2</v>
      </c>
      <c r="S682">
        <v>0.28055665761284221</v>
      </c>
    </row>
    <row r="683" spans="1:19" x14ac:dyDescent="0.25">
      <c r="A683" s="40">
        <f t="shared" si="105"/>
        <v>64.229676878151835</v>
      </c>
      <c r="B683" s="40">
        <f t="shared" si="105"/>
        <v>32.933286051621081</v>
      </c>
      <c r="C683" s="41">
        <f t="shared" si="100"/>
        <v>0.49289226185293716</v>
      </c>
      <c r="D683" s="41">
        <f t="shared" si="101"/>
        <v>0.98069361229543572</v>
      </c>
      <c r="E683" s="39">
        <f>IF(_xlfn.NORM.INV(R683,C683,'Regressão Grupo 2'!$B$7)&lt;=0,0,IF(_xlfn.NORM.INV(R683,C683,'Regressão Grupo 2'!$B$7)&gt;100%,100%,_xlfn.NORM.INV(R683,C683,'Regressão Grupo 2'!$B$7)))</f>
        <v>0.29319673399000923</v>
      </c>
      <c r="F683" s="39">
        <f>IF(_xlfn.NORM.INV(S683,D683,'Regressão Grupo 2'!$B$7)&lt;=0,0,IF(_xlfn.NORM.INV(S683,D683,'Regressão Grupo 2'!$B$7)&gt;100%,100%,_xlfn.NORM.INV(S683,D683,'Regressão Grupo 2'!$B$7)))</f>
        <v>0.99920181157771326</v>
      </c>
      <c r="G683" s="41">
        <v>2.2096563862582047E-2</v>
      </c>
      <c r="H683" s="41">
        <v>2.2450128901236745E-2</v>
      </c>
      <c r="I683" s="40">
        <f t="shared" si="102"/>
        <v>129.51658941338761</v>
      </c>
      <c r="J683" s="40">
        <f t="shared" si="102"/>
        <v>0</v>
      </c>
      <c r="K683" s="36">
        <v>0.27652237697889692</v>
      </c>
      <c r="L683" s="42">
        <f t="shared" si="108"/>
        <v>19991.322604477216</v>
      </c>
      <c r="M683" s="42">
        <f t="shared" si="108"/>
        <v>0</v>
      </c>
      <c r="N683" s="42">
        <f t="shared" si="103"/>
        <v>5528.048045541992</v>
      </c>
      <c r="O683" s="36">
        <v>4.2011568327883113</v>
      </c>
      <c r="P683" s="42">
        <f t="shared" si="104"/>
        <v>2246.6411382666638</v>
      </c>
      <c r="Q683" s="42"/>
      <c r="R683">
        <v>7.4343089083529157E-2</v>
      </c>
      <c r="S683">
        <v>0.55323953978087714</v>
      </c>
    </row>
    <row r="684" spans="1:19" x14ac:dyDescent="0.25">
      <c r="A684" s="40">
        <f t="shared" si="105"/>
        <v>64.229676878151835</v>
      </c>
      <c r="B684" s="40">
        <f t="shared" si="105"/>
        <v>32.933286051621081</v>
      </c>
      <c r="C684" s="41">
        <f t="shared" si="100"/>
        <v>0.49289226185293716</v>
      </c>
      <c r="D684" s="41">
        <f t="shared" si="101"/>
        <v>0.98069361229543572</v>
      </c>
      <c r="E684" s="39">
        <f>IF(_xlfn.NORM.INV(R684,C684,'Regressão Grupo 2'!$B$7)&lt;=0,0,IF(_xlfn.NORM.INV(R684,C684,'Regressão Grupo 2'!$B$7)&gt;100%,100%,_xlfn.NORM.INV(R684,C684,'Regressão Grupo 2'!$B$7)))</f>
        <v>0.58115511245318041</v>
      </c>
      <c r="F684" s="39">
        <f>IF(_xlfn.NORM.INV(S684,D684,'Regressão Grupo 2'!$B$7)&lt;=0,0,IF(_xlfn.NORM.INV(S684,D684,'Regressão Grupo 2'!$B$7)&gt;100%,100%,_xlfn.NORM.INV(S684,D684,'Regressão Grupo 2'!$B$7)))</f>
        <v>0.86906724657264023</v>
      </c>
      <c r="G684" s="41">
        <v>2.3072020748778482E-2</v>
      </c>
      <c r="H684" s="41">
        <v>2.3882152081473373E-2</v>
      </c>
      <c r="I684" s="40">
        <f t="shared" si="102"/>
        <v>268.05210606748625</v>
      </c>
      <c r="J684" s="40">
        <f t="shared" si="102"/>
        <v>0</v>
      </c>
      <c r="K684" s="36">
        <v>0.31259867403546315</v>
      </c>
      <c r="L684" s="42">
        <f t="shared" si="108"/>
        <v>19991.322604477216</v>
      </c>
      <c r="M684" s="42">
        <f t="shared" si="108"/>
        <v>0</v>
      </c>
      <c r="N684" s="42">
        <f t="shared" si="103"/>
        <v>6249.2609383747595</v>
      </c>
      <c r="O684" s="36">
        <v>2.8418557839016563</v>
      </c>
      <c r="P684" s="42">
        <f t="shared" si="104"/>
        <v>10205.873792833059</v>
      </c>
      <c r="Q684" s="42"/>
      <c r="R684">
        <v>0.73836481826227607</v>
      </c>
      <c r="S684">
        <v>0.20975371562852871</v>
      </c>
    </row>
    <row r="685" spans="1:19" x14ac:dyDescent="0.25">
      <c r="A685" s="40">
        <f t="shared" si="105"/>
        <v>64.229676878151835</v>
      </c>
      <c r="B685" s="40">
        <f t="shared" si="105"/>
        <v>32.933286051621081</v>
      </c>
      <c r="C685" s="41">
        <f t="shared" si="100"/>
        <v>0.49289226185293716</v>
      </c>
      <c r="D685" s="41">
        <f t="shared" si="101"/>
        <v>0.98069361229543572</v>
      </c>
      <c r="E685" s="39">
        <f>IF(_xlfn.NORM.INV(R685,C685,'Regressão Grupo 2'!$B$7)&lt;=0,0,IF(_xlfn.NORM.INV(R685,C685,'Regressão Grupo 2'!$B$7)&gt;100%,100%,_xlfn.NORM.INV(R685,C685,'Regressão Grupo 2'!$B$7)))</f>
        <v>0.50644832148352414</v>
      </c>
      <c r="F685" s="39">
        <f>IF(_xlfn.NORM.INV(S685,D685,'Regressão Grupo 2'!$B$7)&lt;=0,0,IF(_xlfn.NORM.INV(S685,D685,'Regressão Grupo 2'!$B$7)&gt;100%,100%,_xlfn.NORM.INV(S685,D685,'Regressão Grupo 2'!$B$7)))</f>
        <v>0.92715743492644509</v>
      </c>
      <c r="G685" s="41">
        <v>1.6417062738484939E-2</v>
      </c>
      <c r="H685" s="41">
        <v>2.3637185691697735E-2</v>
      </c>
      <c r="I685" s="40">
        <f t="shared" si="102"/>
        <v>166.21573006778681</v>
      </c>
      <c r="J685" s="40">
        <f t="shared" si="102"/>
        <v>0</v>
      </c>
      <c r="K685" s="36">
        <v>0.3242762273875005</v>
      </c>
      <c r="L685" s="42">
        <f t="shared" si="108"/>
        <v>19991.322604477216</v>
      </c>
      <c r="M685" s="42">
        <f t="shared" si="108"/>
        <v>0</v>
      </c>
      <c r="N685" s="42">
        <f t="shared" si="103"/>
        <v>6482.710674666333</v>
      </c>
      <c r="O685" s="36">
        <v>3.833185966666635</v>
      </c>
      <c r="P685" s="42">
        <f t="shared" si="104"/>
        <v>3556.1361557186292</v>
      </c>
      <c r="Q685" s="42"/>
      <c r="R685">
        <v>0.53904843287453841</v>
      </c>
      <c r="S685">
        <v>0.34931485946226387</v>
      </c>
    </row>
    <row r="686" spans="1:19" x14ac:dyDescent="0.25">
      <c r="A686" s="40">
        <f t="shared" si="105"/>
        <v>64.229676878151835</v>
      </c>
      <c r="B686" s="40">
        <f t="shared" si="105"/>
        <v>32.933286051621081</v>
      </c>
      <c r="C686" s="41">
        <f t="shared" si="100"/>
        <v>0.49289226185293716</v>
      </c>
      <c r="D686" s="41">
        <f t="shared" si="101"/>
        <v>0.98069361229543572</v>
      </c>
      <c r="E686" s="39">
        <f>IF(_xlfn.NORM.INV(R686,C686,'Regressão Grupo 2'!$B$7)&lt;=0,0,IF(_xlfn.NORM.INV(R686,C686,'Regressão Grupo 2'!$B$7)&gt;100%,100%,_xlfn.NORM.INV(R686,C686,'Regressão Grupo 2'!$B$7)))</f>
        <v>0.70539936348998244</v>
      </c>
      <c r="F686" s="39">
        <f>IF(_xlfn.NORM.INV(S686,D686,'Regressão Grupo 2'!$B$7)&lt;=0,0,IF(_xlfn.NORM.INV(S686,D686,'Regressão Grupo 2'!$B$7)&gt;100%,100%,_xlfn.NORM.INV(S686,D686,'Regressão Grupo 2'!$B$7)))</f>
        <v>0.93621472956986895</v>
      </c>
      <c r="G686" s="41">
        <v>1.4646106992347165E-2</v>
      </c>
      <c r="H686" s="41">
        <v>1.9617858510636042E-2</v>
      </c>
      <c r="I686" s="40">
        <f t="shared" si="102"/>
        <v>206.53744175044091</v>
      </c>
      <c r="J686" s="40">
        <f t="shared" si="102"/>
        <v>0</v>
      </c>
      <c r="K686" s="36">
        <v>0.30671727322130338</v>
      </c>
      <c r="L686" s="42">
        <f t="shared" si="108"/>
        <v>19991.322604477216</v>
      </c>
      <c r="M686" s="42">
        <f t="shared" si="108"/>
        <v>0</v>
      </c>
      <c r="N686" s="42">
        <f t="shared" si="103"/>
        <v>6131.683957332657</v>
      </c>
      <c r="O686" s="36">
        <v>8.1642325586281768</v>
      </c>
      <c r="P686" s="42">
        <f t="shared" si="104"/>
        <v>5447.9294830235494</v>
      </c>
      <c r="Q686" s="42"/>
      <c r="R686">
        <v>0.93783379619739371</v>
      </c>
      <c r="S686">
        <v>0.37385174108096558</v>
      </c>
    </row>
    <row r="687" spans="1:19" x14ac:dyDescent="0.25">
      <c r="A687" s="40">
        <f t="shared" si="105"/>
        <v>64.229676878151835</v>
      </c>
      <c r="B687" s="40">
        <f t="shared" si="105"/>
        <v>32.933286051621081</v>
      </c>
      <c r="C687" s="41">
        <f t="shared" si="100"/>
        <v>0.49289226185293716</v>
      </c>
      <c r="D687" s="41">
        <f t="shared" si="101"/>
        <v>0.98069361229543572</v>
      </c>
      <c r="E687" s="39">
        <f>IF(_xlfn.NORM.INV(R687,C687,'Regressão Grupo 2'!$B$7)&lt;=0,0,IF(_xlfn.NORM.INV(R687,C687,'Regressão Grupo 2'!$B$7)&gt;100%,100%,_xlfn.NORM.INV(R687,C687,'Regressão Grupo 2'!$B$7)))</f>
        <v>0.36799820024363472</v>
      </c>
      <c r="F687" s="39">
        <f>IF(_xlfn.NORM.INV(S687,D687,'Regressão Grupo 2'!$B$7)&lt;=0,0,IF(_xlfn.NORM.INV(S687,D687,'Regressão Grupo 2'!$B$7)&gt;100%,100%,_xlfn.NORM.INV(S687,D687,'Regressão Grupo 2'!$B$7)))</f>
        <v>1</v>
      </c>
      <c r="G687" s="41">
        <v>1.9609530322914952E-2</v>
      </c>
      <c r="H687" s="41">
        <v>1.8279567543273329E-2</v>
      </c>
      <c r="I687" s="40">
        <f t="shared" si="102"/>
        <v>144.26281888392847</v>
      </c>
      <c r="J687" s="40">
        <f t="shared" si="102"/>
        <v>0</v>
      </c>
      <c r="K687" s="36">
        <v>0.27307390471214765</v>
      </c>
      <c r="L687" s="42">
        <f t="shared" si="108"/>
        <v>19991.322604477216</v>
      </c>
      <c r="M687" s="42">
        <f t="shared" si="108"/>
        <v>0</v>
      </c>
      <c r="N687" s="42">
        <f t="shared" si="103"/>
        <v>5459.1085239648146</v>
      </c>
      <c r="O687" s="36">
        <v>10.07601039757324</v>
      </c>
      <c r="P687" s="42">
        <f t="shared" si="104"/>
        <v>2353.2520554235634</v>
      </c>
      <c r="Q687" s="42"/>
      <c r="R687">
        <v>0.18320261238441116</v>
      </c>
      <c r="S687">
        <v>0.73607593005157623</v>
      </c>
    </row>
    <row r="688" spans="1:19" x14ac:dyDescent="0.25">
      <c r="A688" s="40">
        <f t="shared" si="105"/>
        <v>64.229676878151835</v>
      </c>
      <c r="B688" s="40">
        <f t="shared" si="105"/>
        <v>32.933286051621081</v>
      </c>
      <c r="C688" s="41">
        <f t="shared" si="100"/>
        <v>0.49289226185293716</v>
      </c>
      <c r="D688" s="41">
        <f t="shared" si="101"/>
        <v>0.98069361229543572</v>
      </c>
      <c r="E688" s="39">
        <f>IF(_xlfn.NORM.INV(R688,C688,'Regressão Grupo 2'!$B$7)&lt;=0,0,IF(_xlfn.NORM.INV(R688,C688,'Regressão Grupo 2'!$B$7)&gt;100%,100%,_xlfn.NORM.INV(R688,C688,'Regressão Grupo 2'!$B$7)))</f>
        <v>0.54034474538844157</v>
      </c>
      <c r="F688" s="39">
        <f>IF(_xlfn.NORM.INV(S688,D688,'Regressão Grupo 2'!$B$7)&lt;=0,0,IF(_xlfn.NORM.INV(S688,D688,'Regressão Grupo 2'!$B$7)&gt;100%,100%,_xlfn.NORM.INV(S688,D688,'Regressão Grupo 2'!$B$7)))</f>
        <v>0.89637632953436353</v>
      </c>
      <c r="G688" s="41">
        <v>1.7508105376422594E-2</v>
      </c>
      <c r="H688" s="41">
        <v>1.9202685271179989E-2</v>
      </c>
      <c r="I688" s="40">
        <f t="shared" si="102"/>
        <v>189.12616309397157</v>
      </c>
      <c r="J688" s="40">
        <f t="shared" si="102"/>
        <v>0</v>
      </c>
      <c r="K688" s="36">
        <v>0.34895466425298749</v>
      </c>
      <c r="L688" s="42">
        <f t="shared" si="108"/>
        <v>19991.322604477216</v>
      </c>
      <c r="M688" s="42">
        <f t="shared" si="108"/>
        <v>0</v>
      </c>
      <c r="N688" s="42">
        <f t="shared" si="103"/>
        <v>6976.0652674185067</v>
      </c>
      <c r="O688" s="36">
        <v>4.6643894140402615</v>
      </c>
      <c r="P688" s="42">
        <f t="shared" si="104"/>
        <v>4289.2890042583595</v>
      </c>
      <c r="Q688" s="42"/>
      <c r="R688">
        <v>0.63426618243964961</v>
      </c>
      <c r="S688">
        <v>0.27100436414685508</v>
      </c>
    </row>
    <row r="689" spans="1:19" x14ac:dyDescent="0.25">
      <c r="A689" s="40">
        <f t="shared" si="105"/>
        <v>64.229676878151835</v>
      </c>
      <c r="B689" s="40">
        <f t="shared" si="105"/>
        <v>32.933286051621081</v>
      </c>
      <c r="C689" s="41">
        <f t="shared" si="100"/>
        <v>0.49289226185293716</v>
      </c>
      <c r="D689" s="41">
        <f t="shared" si="101"/>
        <v>0.98069361229543572</v>
      </c>
      <c r="E689" s="39">
        <f>IF(_xlfn.NORM.INV(R689,C689,'Regressão Grupo 2'!$B$7)&lt;=0,0,IF(_xlfn.NORM.INV(R689,C689,'Regressão Grupo 2'!$B$7)&gt;100%,100%,_xlfn.NORM.INV(R689,C689,'Regressão Grupo 2'!$B$7)))</f>
        <v>0.64374936267062444</v>
      </c>
      <c r="F689" s="39">
        <f>IF(_xlfn.NORM.INV(S689,D689,'Regressão Grupo 2'!$B$7)&lt;=0,0,IF(_xlfn.NORM.INV(S689,D689,'Regressão Grupo 2'!$B$7)&gt;100%,100%,_xlfn.NORM.INV(S689,D689,'Regressão Grupo 2'!$B$7)))</f>
        <v>1</v>
      </c>
      <c r="G689" s="41">
        <v>1.87491397660332E-2</v>
      </c>
      <c r="H689" s="41">
        <v>1.9763670210240256E-2</v>
      </c>
      <c r="I689" s="40">
        <f t="shared" si="102"/>
        <v>241.2902015335001</v>
      </c>
      <c r="J689" s="40">
        <f t="shared" si="102"/>
        <v>0</v>
      </c>
      <c r="K689" s="36">
        <v>0.30164003460173033</v>
      </c>
      <c r="L689" s="42">
        <f t="shared" si="108"/>
        <v>19991.322604477216</v>
      </c>
      <c r="M689" s="42">
        <f t="shared" si="108"/>
        <v>0</v>
      </c>
      <c r="N689" s="42">
        <f t="shared" si="103"/>
        <v>6030.1832421488616</v>
      </c>
      <c r="O689" s="36">
        <v>7.4594843228981782</v>
      </c>
      <c r="P689" s="42">
        <f t="shared" si="104"/>
        <v>7667.9079606038995</v>
      </c>
      <c r="Q689" s="42"/>
      <c r="R689">
        <v>0.86236152226325269</v>
      </c>
      <c r="S689">
        <v>0.59672841578417313</v>
      </c>
    </row>
    <row r="690" spans="1:19" x14ac:dyDescent="0.25">
      <c r="A690" s="40">
        <f t="shared" si="105"/>
        <v>64.229676878151835</v>
      </c>
      <c r="B690" s="40">
        <f t="shared" si="105"/>
        <v>32.933286051621081</v>
      </c>
      <c r="C690" s="41">
        <f t="shared" si="100"/>
        <v>0.49289226185293716</v>
      </c>
      <c r="D690" s="41">
        <f t="shared" si="101"/>
        <v>0.98069361229543572</v>
      </c>
      <c r="E690" s="39">
        <f>IF(_xlfn.NORM.INV(R690,C690,'Regressão Grupo 2'!$B$7)&lt;=0,0,IF(_xlfn.NORM.INV(R690,C690,'Regressão Grupo 2'!$B$7)&gt;100%,100%,_xlfn.NORM.INV(R690,C690,'Regressão Grupo 2'!$B$7)))</f>
        <v>0.43167707195891292</v>
      </c>
      <c r="F690" s="39">
        <f>IF(_xlfn.NORM.INV(S690,D690,'Regressão Grupo 2'!$B$7)&lt;=0,0,IF(_xlfn.NORM.INV(S690,D690,'Regressão Grupo 2'!$B$7)&gt;100%,100%,_xlfn.NORM.INV(S690,D690,'Regressão Grupo 2'!$B$7)))</f>
        <v>0.96147006820341196</v>
      </c>
      <c r="G690" s="41">
        <v>1.9330746040472201E-2</v>
      </c>
      <c r="H690" s="41">
        <v>1.697754222221444E-2</v>
      </c>
      <c r="I690" s="40">
        <f t="shared" si="102"/>
        <v>166.82038725017821</v>
      </c>
      <c r="J690" s="40">
        <f t="shared" si="102"/>
        <v>0</v>
      </c>
      <c r="K690" s="36">
        <v>0.16204442881150097</v>
      </c>
      <c r="L690" s="42">
        <f t="shared" si="108"/>
        <v>19991.322604477216</v>
      </c>
      <c r="M690" s="42">
        <f t="shared" si="108"/>
        <v>0</v>
      </c>
      <c r="N690" s="42">
        <f t="shared" si="103"/>
        <v>3239.4824526289585</v>
      </c>
      <c r="O690" s="36">
        <v>6.8947048931747261</v>
      </c>
      <c r="P690" s="42">
        <f t="shared" si="104"/>
        <v>6325.1597768830425</v>
      </c>
      <c r="Q690" s="42"/>
      <c r="R690">
        <v>0.32898953215124971</v>
      </c>
      <c r="S690">
        <v>0.4447157200842311</v>
      </c>
    </row>
    <row r="691" spans="1:19" x14ac:dyDescent="0.25">
      <c r="A691" s="40">
        <f t="shared" si="105"/>
        <v>64.229676878151835</v>
      </c>
      <c r="B691" s="40">
        <f t="shared" si="105"/>
        <v>32.933286051621081</v>
      </c>
      <c r="C691" s="41">
        <f t="shared" si="100"/>
        <v>0.49289226185293716</v>
      </c>
      <c r="D691" s="41">
        <f t="shared" si="101"/>
        <v>0.98069361229543572</v>
      </c>
      <c r="E691" s="39">
        <f>IF(_xlfn.NORM.INV(R691,C691,'Regressão Grupo 2'!$B$7)&lt;=0,0,IF(_xlfn.NORM.INV(R691,C691,'Regressão Grupo 2'!$B$7)&gt;100%,100%,_xlfn.NORM.INV(R691,C691,'Regressão Grupo 2'!$B$7)))</f>
        <v>0.42190428273827885</v>
      </c>
      <c r="F691" s="39">
        <f>IF(_xlfn.NORM.INV(S691,D691,'Regressão Grupo 2'!$B$7)&lt;=0,0,IF(_xlfn.NORM.INV(S691,D691,'Regressão Grupo 2'!$B$7)&gt;100%,100%,_xlfn.NORM.INV(S691,D691,'Regressão Grupo 2'!$B$7)))</f>
        <v>0.85159020071211211</v>
      </c>
      <c r="G691" s="41">
        <v>2.2651710695710245E-2</v>
      </c>
      <c r="H691" s="41">
        <v>1.5071701104483588E-2</v>
      </c>
      <c r="I691" s="40">
        <f t="shared" si="102"/>
        <v>191.05414647739687</v>
      </c>
      <c r="J691" s="40">
        <f t="shared" si="102"/>
        <v>0</v>
      </c>
      <c r="K691" s="36">
        <v>0.32346282060275888</v>
      </c>
      <c r="L691" s="42">
        <f t="shared" si="108"/>
        <v>19991.322604477216</v>
      </c>
      <c r="M691" s="42">
        <f t="shared" si="108"/>
        <v>0</v>
      </c>
      <c r="N691" s="42">
        <f t="shared" si="103"/>
        <v>6466.4495972238919</v>
      </c>
      <c r="O691" s="36">
        <v>7.3381796500772545</v>
      </c>
      <c r="P691" s="42">
        <f t="shared" si="104"/>
        <v>4402.9068475070862</v>
      </c>
      <c r="Q691" s="42"/>
      <c r="R691">
        <v>0.30384228034302807</v>
      </c>
      <c r="S691">
        <v>0.17523728141117587</v>
      </c>
    </row>
    <row r="692" spans="1:19" x14ac:dyDescent="0.25">
      <c r="A692" s="40">
        <f t="shared" si="105"/>
        <v>64.229676878151835</v>
      </c>
      <c r="B692" s="40">
        <f t="shared" si="105"/>
        <v>32.933286051621081</v>
      </c>
      <c r="C692" s="41">
        <f t="shared" si="100"/>
        <v>0.49289226185293716</v>
      </c>
      <c r="D692" s="41">
        <f t="shared" si="101"/>
        <v>0.98069361229543572</v>
      </c>
      <c r="E692" s="39">
        <f>IF(_xlfn.NORM.INV(R692,C692,'Regressão Grupo 2'!$B$7)&lt;=0,0,IF(_xlfn.NORM.INV(R692,C692,'Regressão Grupo 2'!$B$7)&gt;100%,100%,_xlfn.NORM.INV(R692,C692,'Regressão Grupo 2'!$B$7)))</f>
        <v>0.49678013876833682</v>
      </c>
      <c r="F692" s="39">
        <f>IF(_xlfn.NORM.INV(S692,D692,'Regressão Grupo 2'!$B$7)&lt;=0,0,IF(_xlfn.NORM.INV(S692,D692,'Regressão Grupo 2'!$B$7)&gt;100%,100%,_xlfn.NORM.INV(S692,D692,'Regressão Grupo 2'!$B$7)))</f>
        <v>0.89331080165105736</v>
      </c>
      <c r="G692" s="41">
        <v>1.5062092771604845E-2</v>
      </c>
      <c r="H692" s="41">
        <v>2.1703755979231184E-2</v>
      </c>
      <c r="I692" s="40">
        <f t="shared" si="102"/>
        <v>149.58604171121249</v>
      </c>
      <c r="J692" s="40">
        <f t="shared" si="102"/>
        <v>0</v>
      </c>
      <c r="K692" s="36">
        <v>0.21790620269895766</v>
      </c>
      <c r="L692" s="42">
        <f t="shared" si="108"/>
        <v>19991.322604477216</v>
      </c>
      <c r="M692" s="42">
        <f t="shared" si="108"/>
        <v>0</v>
      </c>
      <c r="N692" s="42">
        <f t="shared" si="103"/>
        <v>4356.2331956714661</v>
      </c>
      <c r="O692" s="36">
        <v>4.6996350995487024</v>
      </c>
      <c r="P692" s="42">
        <f t="shared" si="104"/>
        <v>4548.630116892884</v>
      </c>
      <c r="Q692" s="42"/>
      <c r="R692">
        <v>0.51121555223242898</v>
      </c>
      <c r="S692">
        <v>0.26371044038209174</v>
      </c>
    </row>
    <row r="693" spans="1:19" x14ac:dyDescent="0.25">
      <c r="A693" s="40">
        <f t="shared" si="105"/>
        <v>64.229676878151835</v>
      </c>
      <c r="B693" s="40">
        <f t="shared" si="105"/>
        <v>32.933286051621081</v>
      </c>
      <c r="C693" s="41">
        <f t="shared" si="100"/>
        <v>0.49289226185293716</v>
      </c>
      <c r="D693" s="41">
        <f t="shared" si="101"/>
        <v>0.98069361229543572</v>
      </c>
      <c r="E693" s="39">
        <f>IF(_xlfn.NORM.INV(R693,C693,'Regressão Grupo 2'!$B$7)&lt;=0,0,IF(_xlfn.NORM.INV(R693,C693,'Regressão Grupo 2'!$B$7)&gt;100%,100%,_xlfn.NORM.INV(R693,C693,'Regressão Grupo 2'!$B$7)))</f>
        <v>0.455125062003778</v>
      </c>
      <c r="F693" s="39">
        <f>IF(_xlfn.NORM.INV(S693,D693,'Regressão Grupo 2'!$B$7)&lt;=0,0,IF(_xlfn.NORM.INV(S693,D693,'Regressão Grupo 2'!$B$7)&gt;100%,100%,_xlfn.NORM.INV(S693,D693,'Regressão Grupo 2'!$B$7)))</f>
        <v>0.92575230907186445</v>
      </c>
      <c r="G693" s="41">
        <v>1.6809967616071033E-2</v>
      </c>
      <c r="H693" s="41">
        <v>2.003326225858959E-2</v>
      </c>
      <c r="I693" s="40">
        <f t="shared" si="102"/>
        <v>152.94636346286299</v>
      </c>
      <c r="J693" s="40">
        <f t="shared" si="102"/>
        <v>0</v>
      </c>
      <c r="K693" s="36">
        <v>0.33267226351894308</v>
      </c>
      <c r="L693" s="42">
        <f t="shared" si="108"/>
        <v>19991.322604477216</v>
      </c>
      <c r="M693" s="42">
        <f t="shared" si="108"/>
        <v>0</v>
      </c>
      <c r="N693" s="42">
        <f t="shared" si="103"/>
        <v>6650.5585415688483</v>
      </c>
      <c r="O693" s="36">
        <v>9.6588649466247229</v>
      </c>
      <c r="P693" s="42">
        <f t="shared" si="104"/>
        <v>1695.8486945740378</v>
      </c>
      <c r="Q693" s="42"/>
      <c r="R693">
        <v>0.39237647633289591</v>
      </c>
      <c r="S693">
        <v>0.34556108279671621</v>
      </c>
    </row>
    <row r="694" spans="1:19" x14ac:dyDescent="0.25">
      <c r="A694" s="40">
        <f t="shared" si="105"/>
        <v>64.229676878151835</v>
      </c>
      <c r="B694" s="40">
        <f t="shared" si="105"/>
        <v>32.933286051621081</v>
      </c>
      <c r="C694" s="41">
        <f t="shared" si="100"/>
        <v>0.49289226185293716</v>
      </c>
      <c r="D694" s="41">
        <f t="shared" si="101"/>
        <v>0.98069361229543572</v>
      </c>
      <c r="E694" s="39">
        <f>IF(_xlfn.NORM.INV(R694,C694,'Regressão Grupo 2'!$B$7)&lt;=0,0,IF(_xlfn.NORM.INV(R694,C694,'Regressão Grupo 2'!$B$7)&gt;100%,100%,_xlfn.NORM.INV(R694,C694,'Regressão Grupo 2'!$B$7)))</f>
        <v>0.48446177379304917</v>
      </c>
      <c r="F694" s="39">
        <f>IF(_xlfn.NORM.INV(S694,D694,'Regressão Grupo 2'!$B$7)&lt;=0,0,IF(_xlfn.NORM.INV(S694,D694,'Regressão Grupo 2'!$B$7)&gt;100%,100%,_xlfn.NORM.INV(S694,D694,'Regressão Grupo 2'!$B$7)))</f>
        <v>1</v>
      </c>
      <c r="G694" s="41">
        <v>1.2637812995996473E-2</v>
      </c>
      <c r="H694" s="41">
        <v>9.5854633838952496E-3</v>
      </c>
      <c r="I694" s="40">
        <f t="shared" si="102"/>
        <v>122.39761834034304</v>
      </c>
      <c r="J694" s="40">
        <f t="shared" si="102"/>
        <v>0</v>
      </c>
      <c r="K694" s="36">
        <v>0.19611248050907298</v>
      </c>
      <c r="L694" s="42">
        <f t="shared" si="108"/>
        <v>19991.322604477216</v>
      </c>
      <c r="M694" s="42">
        <f t="shared" si="108"/>
        <v>0</v>
      </c>
      <c r="N694" s="42">
        <f t="shared" si="103"/>
        <v>3920.5478646211282</v>
      </c>
      <c r="O694" s="36">
        <v>6.1595390288511123</v>
      </c>
      <c r="P694" s="42">
        <f t="shared" si="104"/>
        <v>3187.0987048286911</v>
      </c>
      <c r="Q694" s="42"/>
      <c r="R694">
        <v>0.47569200720236826</v>
      </c>
      <c r="S694">
        <v>0.59431745353556931</v>
      </c>
    </row>
    <row r="695" spans="1:19" x14ac:dyDescent="0.25">
      <c r="A695" s="40">
        <f t="shared" si="105"/>
        <v>64.229676878151835</v>
      </c>
      <c r="B695" s="40">
        <f t="shared" si="105"/>
        <v>32.933286051621081</v>
      </c>
      <c r="C695" s="41">
        <f t="shared" si="100"/>
        <v>0.49289226185293716</v>
      </c>
      <c r="D695" s="41">
        <f t="shared" si="101"/>
        <v>0.98069361229543572</v>
      </c>
      <c r="E695" s="39">
        <f>IF(_xlfn.NORM.INV(R695,C695,'Regressão Grupo 2'!$B$7)&lt;=0,0,IF(_xlfn.NORM.INV(R695,C695,'Regressão Grupo 2'!$B$7)&gt;100%,100%,_xlfn.NORM.INV(R695,C695,'Regressão Grupo 2'!$B$7)))</f>
        <v>0.59841401991304</v>
      </c>
      <c r="F695" s="39">
        <f>IF(_xlfn.NORM.INV(S695,D695,'Regressão Grupo 2'!$B$7)&lt;=0,0,IF(_xlfn.NORM.INV(S695,D695,'Regressão Grupo 2'!$B$7)&gt;100%,100%,_xlfn.NORM.INV(S695,D695,'Regressão Grupo 2'!$B$7)))</f>
        <v>1</v>
      </c>
      <c r="G695" s="41">
        <v>2.3987658021747158E-2</v>
      </c>
      <c r="H695" s="41">
        <v>2.3200769503740677E-2</v>
      </c>
      <c r="I695" s="40">
        <f t="shared" si="102"/>
        <v>286.96645718645163</v>
      </c>
      <c r="J695" s="40">
        <f t="shared" si="102"/>
        <v>0</v>
      </c>
      <c r="K695" s="36">
        <v>0.4013631266306259</v>
      </c>
      <c r="L695" s="42">
        <f t="shared" ref="L695:M710" si="109">L694</f>
        <v>19991.322604477216</v>
      </c>
      <c r="M695" s="42">
        <f t="shared" si="109"/>
        <v>0</v>
      </c>
      <c r="N695" s="42">
        <f t="shared" si="103"/>
        <v>8023.779746014483</v>
      </c>
      <c r="O695" s="36">
        <v>4.1889912563060472</v>
      </c>
      <c r="P695" s="42">
        <f t="shared" si="104"/>
        <v>9205.8830939321269</v>
      </c>
      <c r="Q695" s="42"/>
      <c r="R695">
        <v>0.77730643635364849</v>
      </c>
      <c r="S695">
        <v>0.91396832178716392</v>
      </c>
    </row>
    <row r="696" spans="1:19" x14ac:dyDescent="0.25">
      <c r="A696" s="40">
        <f t="shared" si="105"/>
        <v>64.229676878151835</v>
      </c>
      <c r="B696" s="40">
        <f t="shared" si="105"/>
        <v>32.933286051621081</v>
      </c>
      <c r="C696" s="41">
        <f t="shared" si="100"/>
        <v>0.49289226185293716</v>
      </c>
      <c r="D696" s="41">
        <f t="shared" si="101"/>
        <v>0.98069361229543572</v>
      </c>
      <c r="E696" s="39">
        <f>IF(_xlfn.NORM.INV(R696,C696,'Regressão Grupo 2'!$B$7)&lt;=0,0,IF(_xlfn.NORM.INV(R696,C696,'Regressão Grupo 2'!$B$7)&gt;100%,100%,_xlfn.NORM.INV(R696,C696,'Regressão Grupo 2'!$B$7)))</f>
        <v>0.25146518284288483</v>
      </c>
      <c r="F696" s="39">
        <f>IF(_xlfn.NORM.INV(S696,D696,'Regressão Grupo 2'!$B$7)&lt;=0,0,IF(_xlfn.NORM.INV(S696,D696,'Regressão Grupo 2'!$B$7)&gt;100%,100%,_xlfn.NORM.INV(S696,D696,'Regressão Grupo 2'!$B$7)))</f>
        <v>1</v>
      </c>
      <c r="G696" s="41">
        <v>1.1471118672003561E-2</v>
      </c>
      <c r="H696" s="41">
        <v>2.6113109496571259E-2</v>
      </c>
      <c r="I696" s="40">
        <f t="shared" si="102"/>
        <v>57.66670838343407</v>
      </c>
      <c r="J696" s="40">
        <f t="shared" si="102"/>
        <v>0</v>
      </c>
      <c r="K696" s="36">
        <v>0.19779326325911817</v>
      </c>
      <c r="L696" s="42">
        <f t="shared" si="109"/>
        <v>19991.322604477216</v>
      </c>
      <c r="M696" s="42">
        <f t="shared" si="109"/>
        <v>0</v>
      </c>
      <c r="N696" s="42">
        <f t="shared" si="103"/>
        <v>3954.1489348053219</v>
      </c>
      <c r="O696" s="36">
        <v>3.9185442556357613</v>
      </c>
      <c r="P696" s="42">
        <f t="shared" si="104"/>
        <v>-476.20443758807005</v>
      </c>
      <c r="Q696" s="42"/>
      <c r="R696">
        <v>4.0406506546220286E-2</v>
      </c>
      <c r="S696">
        <v>0.77196569719534902</v>
      </c>
    </row>
    <row r="697" spans="1:19" x14ac:dyDescent="0.25">
      <c r="A697" s="40">
        <f t="shared" si="105"/>
        <v>64.229676878151835</v>
      </c>
      <c r="B697" s="40">
        <f t="shared" si="105"/>
        <v>32.933286051621081</v>
      </c>
      <c r="C697" s="41">
        <f t="shared" si="100"/>
        <v>0.49289226185293716</v>
      </c>
      <c r="D697" s="41">
        <f t="shared" si="101"/>
        <v>0.98069361229543572</v>
      </c>
      <c r="E697" s="39">
        <f>IF(_xlfn.NORM.INV(R697,C697,'Regressão Grupo 2'!$B$7)&lt;=0,0,IF(_xlfn.NORM.INV(R697,C697,'Regressão Grupo 2'!$B$7)&gt;100%,100%,_xlfn.NORM.INV(R697,C697,'Regressão Grupo 2'!$B$7)))</f>
        <v>0.5221614727559909</v>
      </c>
      <c r="F697" s="39">
        <f>IF(_xlfn.NORM.INV(S697,D697,'Regressão Grupo 2'!$B$7)&lt;=0,0,IF(_xlfn.NORM.INV(S697,D697,'Regressão Grupo 2'!$B$7)&gt;100%,100%,_xlfn.NORM.INV(S697,D697,'Regressão Grupo 2'!$B$7)))</f>
        <v>1</v>
      </c>
      <c r="G697" s="41">
        <v>7.2344128008322451E-3</v>
      </c>
      <c r="H697" s="41">
        <v>2.100592895932353E-2</v>
      </c>
      <c r="I697" s="40">
        <f t="shared" si="102"/>
        <v>75.51785371598443</v>
      </c>
      <c r="J697" s="40">
        <f t="shared" si="102"/>
        <v>0</v>
      </c>
      <c r="K697" s="36">
        <v>0.24643601089612627</v>
      </c>
      <c r="L697" s="42">
        <f t="shared" si="109"/>
        <v>19991.322604477216</v>
      </c>
      <c r="M697" s="42">
        <f t="shared" si="109"/>
        <v>0</v>
      </c>
      <c r="N697" s="42">
        <f t="shared" si="103"/>
        <v>4926.5817951849231</v>
      </c>
      <c r="O697" s="36">
        <v>4.9916256309836644</v>
      </c>
      <c r="P697" s="42">
        <f t="shared" si="104"/>
        <v>-453.05130668128822</v>
      </c>
      <c r="Q697" s="42"/>
      <c r="R697">
        <v>0.58381908627582624</v>
      </c>
      <c r="S697">
        <v>0.61082796716208376</v>
      </c>
    </row>
    <row r="698" spans="1:19" x14ac:dyDescent="0.25">
      <c r="A698" s="40">
        <f t="shared" si="105"/>
        <v>64.229676878151835</v>
      </c>
      <c r="B698" s="40">
        <f t="shared" si="105"/>
        <v>32.933286051621081</v>
      </c>
      <c r="C698" s="41">
        <f t="shared" si="100"/>
        <v>0.49289226185293716</v>
      </c>
      <c r="D698" s="41">
        <f t="shared" si="101"/>
        <v>0.98069361229543572</v>
      </c>
      <c r="E698" s="39">
        <f>IF(_xlfn.NORM.INV(R698,C698,'Regressão Grupo 2'!$B$7)&lt;=0,0,IF(_xlfn.NORM.INV(R698,C698,'Regressão Grupo 2'!$B$7)&gt;100%,100%,_xlfn.NORM.INV(R698,C698,'Regressão Grupo 2'!$B$7)))</f>
        <v>0.37472231537691408</v>
      </c>
      <c r="F698" s="39">
        <f>IF(_xlfn.NORM.INV(S698,D698,'Regressão Grupo 2'!$B$7)&lt;=0,0,IF(_xlfn.NORM.INV(S698,D698,'Regressão Grupo 2'!$B$7)&gt;100%,100%,_xlfn.NORM.INV(S698,D698,'Regressão Grupo 2'!$B$7)))</f>
        <v>1</v>
      </c>
      <c r="G698" s="41">
        <v>1.8570319407216651E-2</v>
      </c>
      <c r="H698" s="41">
        <v>1.8222302007145138E-2</v>
      </c>
      <c r="I698" s="40">
        <f t="shared" si="102"/>
        <v>139.11387820544834</v>
      </c>
      <c r="J698" s="40">
        <f t="shared" si="102"/>
        <v>0</v>
      </c>
      <c r="K698" s="36">
        <v>0.29257912780624429</v>
      </c>
      <c r="L698" s="42">
        <f t="shared" si="109"/>
        <v>19991.322604477216</v>
      </c>
      <c r="M698" s="42">
        <f t="shared" si="109"/>
        <v>0</v>
      </c>
      <c r="N698" s="42">
        <f t="shared" si="103"/>
        <v>5849.0437313111997</v>
      </c>
      <c r="O698" s="36">
        <v>6.3917760572833364</v>
      </c>
      <c r="P698" s="42">
        <f t="shared" si="104"/>
        <v>2197.0109591419023</v>
      </c>
      <c r="Q698" s="42"/>
      <c r="R698">
        <v>0.19638660847804193</v>
      </c>
      <c r="S698">
        <v>0.77742851039155247</v>
      </c>
    </row>
    <row r="699" spans="1:19" x14ac:dyDescent="0.25">
      <c r="A699" s="40">
        <f t="shared" si="105"/>
        <v>64.229676878151835</v>
      </c>
      <c r="B699" s="40">
        <f t="shared" si="105"/>
        <v>32.933286051621081</v>
      </c>
      <c r="C699" s="41">
        <f t="shared" si="100"/>
        <v>0.49289226185293716</v>
      </c>
      <c r="D699" s="41">
        <f t="shared" si="101"/>
        <v>0.98069361229543572</v>
      </c>
      <c r="E699" s="39">
        <f>IF(_xlfn.NORM.INV(R699,C699,'Regressão Grupo 2'!$B$7)&lt;=0,0,IF(_xlfn.NORM.INV(R699,C699,'Regressão Grupo 2'!$B$7)&gt;100%,100%,_xlfn.NORM.INV(R699,C699,'Regressão Grupo 2'!$B$7)))</f>
        <v>0.4959230623071918</v>
      </c>
      <c r="F699" s="39">
        <f>IF(_xlfn.NORM.INV(S699,D699,'Regressão Grupo 2'!$B$7)&lt;=0,0,IF(_xlfn.NORM.INV(S699,D699,'Regressão Grupo 2'!$B$7)&gt;100%,100%,_xlfn.NORM.INV(S699,D699,'Regressão Grupo 2'!$B$7)))</f>
        <v>1</v>
      </c>
      <c r="G699" s="41">
        <v>2.0625865022512388E-2</v>
      </c>
      <c r="H699" s="41">
        <v>2.115307034071786E-2</v>
      </c>
      <c r="I699" s="40">
        <f t="shared" si="102"/>
        <v>204.4880831849531</v>
      </c>
      <c r="J699" s="40">
        <f t="shared" si="102"/>
        <v>0</v>
      </c>
      <c r="K699" s="36">
        <v>0.23741259831470382</v>
      </c>
      <c r="L699" s="42">
        <f t="shared" si="109"/>
        <v>19991.322604477216</v>
      </c>
      <c r="M699" s="42">
        <f t="shared" si="109"/>
        <v>0</v>
      </c>
      <c r="N699" s="42">
        <f t="shared" si="103"/>
        <v>4746.1918432764078</v>
      </c>
      <c r="O699" s="36">
        <v>4.0153805340513067</v>
      </c>
      <c r="P699" s="42">
        <f t="shared" si="104"/>
        <v>7566.9141964594392</v>
      </c>
      <c r="Q699" s="42"/>
      <c r="R699">
        <v>0.50874355296487317</v>
      </c>
      <c r="S699">
        <v>0.92818994720297865</v>
      </c>
    </row>
    <row r="700" spans="1:19" x14ac:dyDescent="0.25">
      <c r="A700" s="40">
        <f t="shared" si="105"/>
        <v>64.229676878151835</v>
      </c>
      <c r="B700" s="40">
        <f t="shared" si="105"/>
        <v>32.933286051621081</v>
      </c>
      <c r="C700" s="41">
        <f t="shared" si="100"/>
        <v>0.49289226185293716</v>
      </c>
      <c r="D700" s="41">
        <f t="shared" si="101"/>
        <v>0.98069361229543572</v>
      </c>
      <c r="E700" s="39">
        <f>IF(_xlfn.NORM.INV(R700,C700,'Regressão Grupo 2'!$B$7)&lt;=0,0,IF(_xlfn.NORM.INV(R700,C700,'Regressão Grupo 2'!$B$7)&gt;100%,100%,_xlfn.NORM.INV(R700,C700,'Regressão Grupo 2'!$B$7)))</f>
        <v>0.38603516762076046</v>
      </c>
      <c r="F700" s="39">
        <f>IF(_xlfn.NORM.INV(S700,D700,'Regressão Grupo 2'!$B$7)&lt;=0,0,IF(_xlfn.NORM.INV(S700,D700,'Regressão Grupo 2'!$B$7)&gt;100%,100%,_xlfn.NORM.INV(S700,D700,'Regressão Grupo 2'!$B$7)))</f>
        <v>0.70864795807062231</v>
      </c>
      <c r="G700" s="41">
        <v>6.7806998526321449E-3</v>
      </c>
      <c r="H700" s="41">
        <v>1.4237839177808022E-2</v>
      </c>
      <c r="I700" s="40">
        <f t="shared" si="102"/>
        <v>52.329058232303765</v>
      </c>
      <c r="J700" s="40">
        <f t="shared" si="102"/>
        <v>0</v>
      </c>
      <c r="K700" s="36">
        <v>0.27426524546850484</v>
      </c>
      <c r="L700" s="42">
        <f t="shared" si="109"/>
        <v>19991.322604477216</v>
      </c>
      <c r="M700" s="42">
        <f t="shared" si="109"/>
        <v>0</v>
      </c>
      <c r="N700" s="42">
        <f t="shared" si="103"/>
        <v>5482.9250013570136</v>
      </c>
      <c r="O700" s="36">
        <v>8.0813441338699015</v>
      </c>
      <c r="P700" s="42">
        <f t="shared" si="104"/>
        <v>-2544.7356275347161</v>
      </c>
      <c r="Q700" s="42"/>
      <c r="R700">
        <v>0.21982482375560777</v>
      </c>
      <c r="S700">
        <v>2.4567400128177739E-2</v>
      </c>
    </row>
    <row r="701" spans="1:19" x14ac:dyDescent="0.25">
      <c r="A701" s="40">
        <f t="shared" si="105"/>
        <v>64.229676878151835</v>
      </c>
      <c r="B701" s="40">
        <f t="shared" si="105"/>
        <v>32.933286051621081</v>
      </c>
      <c r="C701" s="41">
        <f t="shared" si="100"/>
        <v>0.49289226185293716</v>
      </c>
      <c r="D701" s="41">
        <f t="shared" si="101"/>
        <v>0.98069361229543572</v>
      </c>
      <c r="E701" s="39">
        <f>IF(_xlfn.NORM.INV(R701,C701,'Regressão Grupo 2'!$B$7)&lt;=0,0,IF(_xlfn.NORM.INV(R701,C701,'Regressão Grupo 2'!$B$7)&gt;100%,100%,_xlfn.NORM.INV(R701,C701,'Regressão Grupo 2'!$B$7)))</f>
        <v>0.3007851550687014</v>
      </c>
      <c r="F701" s="39">
        <f>IF(_xlfn.NORM.INV(S701,D701,'Regressão Grupo 2'!$B$7)&lt;=0,0,IF(_xlfn.NORM.INV(S701,D701,'Regressão Grupo 2'!$B$7)&gt;100%,100%,_xlfn.NORM.INV(S701,D701,'Regressão Grupo 2'!$B$7)))</f>
        <v>0.96655284472713476</v>
      </c>
      <c r="G701" s="41">
        <v>1.7374181083207138E-2</v>
      </c>
      <c r="H701" s="41">
        <v>1.7373347416508769E-2</v>
      </c>
      <c r="I701" s="40">
        <f t="shared" si="102"/>
        <v>104.47256786168825</v>
      </c>
      <c r="J701" s="40">
        <f t="shared" si="102"/>
        <v>0</v>
      </c>
      <c r="K701" s="36">
        <v>0.13209274715353675</v>
      </c>
      <c r="L701" s="42">
        <f t="shared" si="109"/>
        <v>19991.322604477216</v>
      </c>
      <c r="M701" s="42">
        <f t="shared" si="109"/>
        <v>0</v>
      </c>
      <c r="N701" s="42">
        <f t="shared" si="103"/>
        <v>2640.7087220579929</v>
      </c>
      <c r="O701" s="36">
        <v>6.7734355820750078</v>
      </c>
      <c r="P701" s="42">
        <f t="shared" si="104"/>
        <v>3361.8923458239274</v>
      </c>
      <c r="Q701" s="42"/>
      <c r="R701">
        <v>8.2369457075716426E-2</v>
      </c>
      <c r="S701">
        <v>0.45927304910428174</v>
      </c>
    </row>
    <row r="702" spans="1:19" x14ac:dyDescent="0.25">
      <c r="A702" s="40">
        <f t="shared" si="105"/>
        <v>64.229676878151835</v>
      </c>
      <c r="B702" s="40">
        <f t="shared" si="105"/>
        <v>32.933286051621081</v>
      </c>
      <c r="C702" s="41">
        <f t="shared" si="100"/>
        <v>0.49289226185293716</v>
      </c>
      <c r="D702" s="41">
        <f t="shared" si="101"/>
        <v>0.98069361229543572</v>
      </c>
      <c r="E702" s="39">
        <f>IF(_xlfn.NORM.INV(R702,C702,'Regressão Grupo 2'!$B$7)&lt;=0,0,IF(_xlfn.NORM.INV(R702,C702,'Regressão Grupo 2'!$B$7)&gt;100%,100%,_xlfn.NORM.INV(R702,C702,'Regressão Grupo 2'!$B$7)))</f>
        <v>0.41185094523357579</v>
      </c>
      <c r="F702" s="39">
        <f>IF(_xlfn.NORM.INV(S702,D702,'Regressão Grupo 2'!$B$7)&lt;=0,0,IF(_xlfn.NORM.INV(S702,D702,'Regressão Grupo 2'!$B$7)&gt;100%,100%,_xlfn.NORM.INV(S702,D702,'Regressão Grupo 2'!$B$7)))</f>
        <v>1</v>
      </c>
      <c r="G702" s="41">
        <v>2.1092266407104814E-2</v>
      </c>
      <c r="H702" s="41">
        <v>1.6555792331958086E-2</v>
      </c>
      <c r="I702" s="40">
        <f t="shared" si="102"/>
        <v>173.66201773208715</v>
      </c>
      <c r="J702" s="40">
        <f t="shared" si="102"/>
        <v>0</v>
      </c>
      <c r="K702" s="36">
        <v>0.37137576347555418</v>
      </c>
      <c r="L702" s="42">
        <f t="shared" si="109"/>
        <v>19991.322604477216</v>
      </c>
      <c r="M702" s="42">
        <f t="shared" si="109"/>
        <v>0</v>
      </c>
      <c r="N702" s="42">
        <f t="shared" si="103"/>
        <v>7424.2926951238305</v>
      </c>
      <c r="O702" s="36">
        <v>4.1187467288101729</v>
      </c>
      <c r="P702" s="42">
        <f t="shared" si="104"/>
        <v>3014.6927223633929</v>
      </c>
      <c r="Q702" s="42"/>
      <c r="R702">
        <v>0.27890865810113835</v>
      </c>
      <c r="S702">
        <v>0.6657612842188787</v>
      </c>
    </row>
    <row r="703" spans="1:19" x14ac:dyDescent="0.25">
      <c r="A703" s="40">
        <f t="shared" si="105"/>
        <v>64.229676878151835</v>
      </c>
      <c r="B703" s="40">
        <f t="shared" si="105"/>
        <v>32.933286051621081</v>
      </c>
      <c r="C703" s="41">
        <f t="shared" si="100"/>
        <v>0.49289226185293716</v>
      </c>
      <c r="D703" s="41">
        <f t="shared" si="101"/>
        <v>0.98069361229543572</v>
      </c>
      <c r="E703" s="39">
        <f>IF(_xlfn.NORM.INV(R703,C703,'Regressão Grupo 2'!$B$7)&lt;=0,0,IF(_xlfn.NORM.INV(R703,C703,'Regressão Grupo 2'!$B$7)&gt;100%,100%,_xlfn.NORM.INV(R703,C703,'Regressão Grupo 2'!$B$7)))</f>
        <v>0.44977027825159233</v>
      </c>
      <c r="F703" s="39">
        <f>IF(_xlfn.NORM.INV(S703,D703,'Regressão Grupo 2'!$B$7)&lt;=0,0,IF(_xlfn.NORM.INV(S703,D703,'Regressão Grupo 2'!$B$7)&gt;100%,100%,_xlfn.NORM.INV(S703,D703,'Regressão Grupo 2'!$B$7)))</f>
        <v>1</v>
      </c>
      <c r="G703" s="41">
        <v>2.0418166575119859E-2</v>
      </c>
      <c r="H703" s="41">
        <v>2.9714355468749998E-2</v>
      </c>
      <c r="I703" s="40">
        <f t="shared" si="102"/>
        <v>183.59000051062736</v>
      </c>
      <c r="J703" s="40">
        <f t="shared" si="102"/>
        <v>0</v>
      </c>
      <c r="K703" s="36">
        <v>0.28910171480415009</v>
      </c>
      <c r="L703" s="42">
        <f t="shared" si="109"/>
        <v>19991.322604477216</v>
      </c>
      <c r="M703" s="42">
        <f t="shared" si="109"/>
        <v>0</v>
      </c>
      <c r="N703" s="42">
        <f t="shared" si="103"/>
        <v>5779.5256461573308</v>
      </c>
      <c r="O703" s="36">
        <v>9.0160309613590215</v>
      </c>
      <c r="P703" s="42">
        <f t="shared" si="104"/>
        <v>4357.14763590026</v>
      </c>
      <c r="Q703" s="42"/>
      <c r="R703">
        <v>0.37757499923703725</v>
      </c>
      <c r="S703">
        <v>0.89611499374370551</v>
      </c>
    </row>
    <row r="704" spans="1:19" x14ac:dyDescent="0.25">
      <c r="A704" s="40">
        <f t="shared" si="105"/>
        <v>64.229676878151835</v>
      </c>
      <c r="B704" s="40">
        <f t="shared" si="105"/>
        <v>32.933286051621081</v>
      </c>
      <c r="C704" s="41">
        <f t="shared" si="100"/>
        <v>0.49289226185293716</v>
      </c>
      <c r="D704" s="41">
        <f t="shared" si="101"/>
        <v>0.98069361229543572</v>
      </c>
      <c r="E704" s="39">
        <f>IF(_xlfn.NORM.INV(R704,C704,'Regressão Grupo 2'!$B$7)&lt;=0,0,IF(_xlfn.NORM.INV(R704,C704,'Regressão Grupo 2'!$B$7)&gt;100%,100%,_xlfn.NORM.INV(R704,C704,'Regressão Grupo 2'!$B$7)))</f>
        <v>0.28416430260954895</v>
      </c>
      <c r="F704" s="39">
        <f>IF(_xlfn.NORM.INV(S704,D704,'Regressão Grupo 2'!$B$7)&lt;=0,0,IF(_xlfn.NORM.INV(S704,D704,'Regressão Grupo 2'!$B$7)&gt;100%,100%,_xlfn.NORM.INV(S704,D704,'Regressão Grupo 2'!$B$7)))</f>
        <v>1</v>
      </c>
      <c r="G704" s="41">
        <v>2.6409421744787845E-2</v>
      </c>
      <c r="H704" s="41">
        <v>2.0019607693541285E-2</v>
      </c>
      <c r="I704" s="40">
        <f t="shared" si="102"/>
        <v>150.02717773674058</v>
      </c>
      <c r="J704" s="40">
        <f t="shared" si="102"/>
        <v>0</v>
      </c>
      <c r="K704" s="36">
        <v>0.17015539631823315</v>
      </c>
      <c r="L704" s="42">
        <f t="shared" si="109"/>
        <v>19991.322604477216</v>
      </c>
      <c r="M704" s="42">
        <f t="shared" si="109"/>
        <v>0</v>
      </c>
      <c r="N704" s="42">
        <f t="shared" si="103"/>
        <v>3401.6314206904735</v>
      </c>
      <c r="O704" s="36">
        <v>6.4386296821671163</v>
      </c>
      <c r="P704" s="42">
        <f t="shared" si="104"/>
        <v>5268.5962885738882</v>
      </c>
      <c r="Q704" s="42"/>
      <c r="R704">
        <v>6.5584276863917962E-2</v>
      </c>
      <c r="S704">
        <v>0.82079531235694447</v>
      </c>
    </row>
    <row r="705" spans="1:19" x14ac:dyDescent="0.25">
      <c r="A705" s="40">
        <f t="shared" si="105"/>
        <v>64.229676878151835</v>
      </c>
      <c r="B705" s="40">
        <f t="shared" si="105"/>
        <v>32.933286051621081</v>
      </c>
      <c r="C705" s="41">
        <f t="shared" si="100"/>
        <v>0.49289226185293716</v>
      </c>
      <c r="D705" s="41">
        <f t="shared" si="101"/>
        <v>0.98069361229543572</v>
      </c>
      <c r="E705" s="39">
        <f>IF(_xlfn.NORM.INV(R705,C705,'Regressão Grupo 2'!$B$7)&lt;=0,0,IF(_xlfn.NORM.INV(R705,C705,'Regressão Grupo 2'!$B$7)&gt;100%,100%,_xlfn.NORM.INV(R705,C705,'Regressão Grupo 2'!$B$7)))</f>
        <v>0.71694045867630052</v>
      </c>
      <c r="F705" s="39">
        <f>IF(_xlfn.NORM.INV(S705,D705,'Regressão Grupo 2'!$B$7)&lt;=0,0,IF(_xlfn.NORM.INV(S705,D705,'Regressão Grupo 2'!$B$7)&gt;100%,100%,_xlfn.NORM.INV(S705,D705,'Regressão Grupo 2'!$B$7)))</f>
        <v>0.92428401293245321</v>
      </c>
      <c r="G705" s="41">
        <v>1.9593398132085108E-2</v>
      </c>
      <c r="H705" s="41">
        <v>2.6196785838060344E-2</v>
      </c>
      <c r="I705" s="40">
        <f t="shared" si="102"/>
        <v>280.82410290011717</v>
      </c>
      <c r="J705" s="40">
        <f t="shared" si="102"/>
        <v>0</v>
      </c>
      <c r="K705" s="36">
        <v>0.32238771041398262</v>
      </c>
      <c r="L705" s="42">
        <f t="shared" si="109"/>
        <v>19991.322604477216</v>
      </c>
      <c r="M705" s="42">
        <f t="shared" si="109"/>
        <v>0</v>
      </c>
      <c r="N705" s="42">
        <f t="shared" si="103"/>
        <v>6444.9567226047056</v>
      </c>
      <c r="O705" s="36">
        <v>6.4679810485848899</v>
      </c>
      <c r="P705" s="42">
        <f t="shared" si="104"/>
        <v>9775.9196907228725</v>
      </c>
      <c r="Q705" s="42"/>
      <c r="R705">
        <v>0.94741660817285689</v>
      </c>
      <c r="S705">
        <v>0.34165471358378857</v>
      </c>
    </row>
    <row r="706" spans="1:19" x14ac:dyDescent="0.25">
      <c r="A706" s="40">
        <f t="shared" si="105"/>
        <v>64.229676878151835</v>
      </c>
      <c r="B706" s="40">
        <f t="shared" si="105"/>
        <v>32.933286051621081</v>
      </c>
      <c r="C706" s="41">
        <f t="shared" si="100"/>
        <v>0.49289226185293716</v>
      </c>
      <c r="D706" s="41">
        <f t="shared" si="101"/>
        <v>0.98069361229543572</v>
      </c>
      <c r="E706" s="39">
        <f>IF(_xlfn.NORM.INV(R706,C706,'Regressão Grupo 2'!$B$7)&lt;=0,0,IF(_xlfn.NORM.INV(R706,C706,'Regressão Grupo 2'!$B$7)&gt;100%,100%,_xlfn.NORM.INV(R706,C706,'Regressão Grupo 2'!$B$7)))</f>
        <v>0.48745913143950503</v>
      </c>
      <c r="F706" s="39">
        <f>IF(_xlfn.NORM.INV(S706,D706,'Regressão Grupo 2'!$B$7)&lt;=0,0,IF(_xlfn.NORM.INV(S706,D706,'Regressão Grupo 2'!$B$7)&gt;100%,100%,_xlfn.NORM.INV(S706,D706,'Regressão Grupo 2'!$B$7)))</f>
        <v>1</v>
      </c>
      <c r="G706" s="41">
        <v>1.9525764610568246E-2</v>
      </c>
      <c r="H706" s="41">
        <v>1.6184432088806853E-2</v>
      </c>
      <c r="I706" s="40">
        <f t="shared" si="102"/>
        <v>190.27765359824517</v>
      </c>
      <c r="J706" s="40">
        <f t="shared" si="102"/>
        <v>0</v>
      </c>
      <c r="K706" s="36">
        <v>0.17258155839270317</v>
      </c>
      <c r="L706" s="42">
        <f t="shared" si="109"/>
        <v>19991.322604477216</v>
      </c>
      <c r="M706" s="42">
        <f t="shared" si="109"/>
        <v>0</v>
      </c>
      <c r="N706" s="42">
        <f t="shared" si="103"/>
        <v>3450.1336094119515</v>
      </c>
      <c r="O706" s="36">
        <v>3.6282346150406326</v>
      </c>
      <c r="P706" s="42">
        <f t="shared" si="104"/>
        <v>8080.9666290823761</v>
      </c>
      <c r="Q706" s="42"/>
      <c r="R706">
        <v>0.48432874538407544</v>
      </c>
      <c r="S706">
        <v>0.63621936704611348</v>
      </c>
    </row>
    <row r="707" spans="1:19" x14ac:dyDescent="0.25">
      <c r="A707" s="40">
        <f t="shared" si="105"/>
        <v>64.229676878151835</v>
      </c>
      <c r="B707" s="40">
        <f t="shared" si="105"/>
        <v>32.933286051621081</v>
      </c>
      <c r="C707" s="41">
        <f t="shared" si="100"/>
        <v>0.49289226185293716</v>
      </c>
      <c r="D707" s="41">
        <f t="shared" si="101"/>
        <v>0.98069361229543572</v>
      </c>
      <c r="E707" s="39">
        <f>IF(_xlfn.NORM.INV(R707,C707,'Regressão Grupo 2'!$B$7)&lt;=0,0,IF(_xlfn.NORM.INV(R707,C707,'Regressão Grupo 2'!$B$7)&gt;100%,100%,_xlfn.NORM.INV(R707,C707,'Regressão Grupo 2'!$B$7)))</f>
        <v>0.40922374804056444</v>
      </c>
      <c r="F707" s="39">
        <f>IF(_xlfn.NORM.INV(S707,D707,'Regressão Grupo 2'!$B$7)&lt;=0,0,IF(_xlfn.NORM.INV(S707,D707,'Regressão Grupo 2'!$B$7)&gt;100%,100%,_xlfn.NORM.INV(S707,D707,'Regressão Grupo 2'!$B$7)))</f>
        <v>0.79761227412414271</v>
      </c>
      <c r="G707" s="41">
        <v>1.6642532239335178E-2</v>
      </c>
      <c r="H707" s="41">
        <v>1.9865465972393487E-2</v>
      </c>
      <c r="I707" s="40">
        <f t="shared" si="102"/>
        <v>136.15129082661161</v>
      </c>
      <c r="J707" s="40">
        <f t="shared" si="102"/>
        <v>0</v>
      </c>
      <c r="K707" s="36">
        <v>0.23206069888734041</v>
      </c>
      <c r="L707" s="42">
        <f t="shared" si="109"/>
        <v>19991.322604477216</v>
      </c>
      <c r="M707" s="42">
        <f t="shared" si="109"/>
        <v>0</v>
      </c>
      <c r="N707" s="42">
        <f t="shared" si="103"/>
        <v>4639.2002952772691</v>
      </c>
      <c r="O707" s="36">
        <v>4.7310730097707907</v>
      </c>
      <c r="P707" s="42">
        <f t="shared" si="104"/>
        <v>3461.6114237840375</v>
      </c>
      <c r="Q707" s="42"/>
      <c r="R707">
        <v>0.27256080813013095</v>
      </c>
      <c r="S707">
        <v>9.2745750297555468E-2</v>
      </c>
    </row>
    <row r="708" spans="1:19" x14ac:dyDescent="0.25">
      <c r="A708" s="40">
        <f t="shared" si="105"/>
        <v>64.229676878151835</v>
      </c>
      <c r="B708" s="40">
        <f t="shared" si="105"/>
        <v>32.933286051621081</v>
      </c>
      <c r="C708" s="41">
        <f t="shared" si="100"/>
        <v>0.49289226185293716</v>
      </c>
      <c r="D708" s="41">
        <f t="shared" si="101"/>
        <v>0.98069361229543572</v>
      </c>
      <c r="E708" s="39">
        <f>IF(_xlfn.NORM.INV(R708,C708,'Regressão Grupo 2'!$B$7)&lt;=0,0,IF(_xlfn.NORM.INV(R708,C708,'Regressão Grupo 2'!$B$7)&gt;100%,100%,_xlfn.NORM.INV(R708,C708,'Regressão Grupo 2'!$B$7)))</f>
        <v>0.69535879138797874</v>
      </c>
      <c r="F708" s="39">
        <f>IF(_xlfn.NORM.INV(S708,D708,'Regressão Grupo 2'!$B$7)&lt;=0,0,IF(_xlfn.NORM.INV(S708,D708,'Regressão Grupo 2'!$B$7)&gt;100%,100%,_xlfn.NORM.INV(S708,D708,'Regressão Grupo 2'!$B$7)))</f>
        <v>1</v>
      </c>
      <c r="G708" s="41">
        <v>1.9793578875337677E-2</v>
      </c>
      <c r="H708" s="41">
        <v>1.8512370149413315E-2</v>
      </c>
      <c r="I708" s="40">
        <f t="shared" si="102"/>
        <v>275.15334913978398</v>
      </c>
      <c r="J708" s="40">
        <f t="shared" si="102"/>
        <v>0</v>
      </c>
      <c r="K708" s="36">
        <v>0.44118669065734389</v>
      </c>
      <c r="L708" s="42">
        <f t="shared" si="109"/>
        <v>19991.322604477216</v>
      </c>
      <c r="M708" s="42">
        <f t="shared" si="109"/>
        <v>0</v>
      </c>
      <c r="N708" s="42">
        <f t="shared" si="103"/>
        <v>8819.9054617326565</v>
      </c>
      <c r="O708" s="36">
        <v>6.6998042783257876</v>
      </c>
      <c r="P708" s="42">
        <f t="shared" si="104"/>
        <v>7009.6316596945726</v>
      </c>
      <c r="Q708" s="42"/>
      <c r="R708">
        <v>0.92843409527878662</v>
      </c>
      <c r="S708">
        <v>0.58095034638508258</v>
      </c>
    </row>
    <row r="709" spans="1:19" x14ac:dyDescent="0.25">
      <c r="A709" s="40">
        <f t="shared" si="105"/>
        <v>64.229676878151835</v>
      </c>
      <c r="B709" s="40">
        <f t="shared" si="105"/>
        <v>32.933286051621081</v>
      </c>
      <c r="C709" s="41">
        <f t="shared" si="100"/>
        <v>0.49289226185293716</v>
      </c>
      <c r="D709" s="41">
        <f t="shared" si="101"/>
        <v>0.98069361229543572</v>
      </c>
      <c r="E709" s="39">
        <f>IF(_xlfn.NORM.INV(R709,C709,'Regressão Grupo 2'!$B$7)&lt;=0,0,IF(_xlfn.NORM.INV(R709,C709,'Regressão Grupo 2'!$B$7)&gt;100%,100%,_xlfn.NORM.INV(R709,C709,'Regressão Grupo 2'!$B$7)))</f>
        <v>0.4927811942778928</v>
      </c>
      <c r="F709" s="39">
        <f>IF(_xlfn.NORM.INV(S709,D709,'Regressão Grupo 2'!$B$7)&lt;=0,0,IF(_xlfn.NORM.INV(S709,D709,'Regressão Grupo 2'!$B$7)&gt;100%,100%,_xlfn.NORM.INV(S709,D709,'Regressão Grupo 2'!$B$7)))</f>
        <v>0.99796446315854137</v>
      </c>
      <c r="G709" s="41">
        <v>4.1484657760777156E-3</v>
      </c>
      <c r="H709" s="41">
        <v>2.610272637809969E-2</v>
      </c>
      <c r="I709" s="40">
        <f t="shared" si="102"/>
        <v>40.867979313645186</v>
      </c>
      <c r="J709" s="40">
        <f t="shared" si="102"/>
        <v>0</v>
      </c>
      <c r="K709" s="36">
        <v>0.44968778811709048</v>
      </c>
      <c r="L709" s="42">
        <f t="shared" si="109"/>
        <v>19991.322604477216</v>
      </c>
      <c r="M709" s="42">
        <f t="shared" si="109"/>
        <v>0</v>
      </c>
      <c r="N709" s="42">
        <f t="shared" si="103"/>
        <v>8989.8536435425522</v>
      </c>
      <c r="O709" s="36">
        <v>4.7782469620768282</v>
      </c>
      <c r="P709" s="42">
        <f t="shared" si="104"/>
        <v>-6560.1938355657721</v>
      </c>
      <c r="Q709" s="42"/>
      <c r="R709">
        <v>0.49967955565050204</v>
      </c>
      <c r="S709">
        <v>0.54969939268166146</v>
      </c>
    </row>
    <row r="710" spans="1:19" x14ac:dyDescent="0.25">
      <c r="A710" s="40">
        <f t="shared" si="105"/>
        <v>64.229676878151835</v>
      </c>
      <c r="B710" s="40">
        <f t="shared" si="105"/>
        <v>32.933286051621081</v>
      </c>
      <c r="C710" s="41">
        <f t="shared" ref="C710:C773" si="110">-0.007*A710 + 0.9425</f>
        <v>0.49289226185293716</v>
      </c>
      <c r="D710" s="41">
        <f t="shared" ref="D710:D773" si="111">-0.0059*B710+1.175</f>
        <v>0.98069361229543572</v>
      </c>
      <c r="E710" s="39">
        <f>IF(_xlfn.NORM.INV(R710,C710,'Regressão Grupo 2'!$B$7)&lt;=0,0,IF(_xlfn.NORM.INV(R710,C710,'Regressão Grupo 2'!$B$7)&gt;100%,100%,_xlfn.NORM.INV(R710,C710,'Regressão Grupo 2'!$B$7)))</f>
        <v>0.3641156221431614</v>
      </c>
      <c r="F710" s="39">
        <f>IF(_xlfn.NORM.INV(S710,D710,'Regressão Grupo 2'!$B$7)&lt;=0,0,IF(_xlfn.NORM.INV(S710,D710,'Regressão Grupo 2'!$B$7)&gt;100%,100%,_xlfn.NORM.INV(S710,D710,'Regressão Grupo 2'!$B$7)))</f>
        <v>1</v>
      </c>
      <c r="G710" s="41">
        <v>7.1839672196899896E-3</v>
      </c>
      <c r="H710" s="41">
        <v>1.6822402363603092E-2</v>
      </c>
      <c r="I710" s="40">
        <f t="shared" ref="I710:J773" si="112">IF(E710*G710*L710&gt;0,E710*G710*L710,0)</f>
        <v>52.293195587906737</v>
      </c>
      <c r="J710" s="40">
        <f t="shared" si="112"/>
        <v>0</v>
      </c>
      <c r="K710" s="36">
        <v>0.22731639357593017</v>
      </c>
      <c r="L710" s="42">
        <f t="shared" si="109"/>
        <v>19991.322604477216</v>
      </c>
      <c r="M710" s="42">
        <f t="shared" si="109"/>
        <v>0</v>
      </c>
      <c r="N710" s="42">
        <f t="shared" ref="N710:N773" si="113">(L710+M710)*K710</f>
        <v>4544.3553572627325</v>
      </c>
      <c r="O710" s="36">
        <v>3.3287087672197773</v>
      </c>
      <c r="P710" s="42">
        <f t="shared" ref="P710:P773" si="114">SUMPRODUCT(A710:B710,I710:J710)-SUM(I710:J710)*O710-N710</f>
        <v>-1359.6491203448913</v>
      </c>
      <c r="Q710" s="42"/>
      <c r="R710">
        <v>0.17584765160069582</v>
      </c>
      <c r="S710">
        <v>0.88421277504806661</v>
      </c>
    </row>
    <row r="711" spans="1:19" x14ac:dyDescent="0.25">
      <c r="A711" s="40">
        <f t="shared" ref="A711:B774" si="115">A710</f>
        <v>64.229676878151835</v>
      </c>
      <c r="B711" s="40">
        <f t="shared" si="115"/>
        <v>32.933286051621081</v>
      </c>
      <c r="C711" s="41">
        <f t="shared" si="110"/>
        <v>0.49289226185293716</v>
      </c>
      <c r="D711" s="41">
        <f t="shared" si="111"/>
        <v>0.98069361229543572</v>
      </c>
      <c r="E711" s="39">
        <f>IF(_xlfn.NORM.INV(R711,C711,'Regressão Grupo 2'!$B$7)&lt;=0,0,IF(_xlfn.NORM.INV(R711,C711,'Regressão Grupo 2'!$B$7)&gt;100%,100%,_xlfn.NORM.INV(R711,C711,'Regressão Grupo 2'!$B$7)))</f>
        <v>0.58707257251488065</v>
      </c>
      <c r="F711" s="39">
        <f>IF(_xlfn.NORM.INV(S711,D711,'Regressão Grupo 2'!$B$7)&lt;=0,0,IF(_xlfn.NORM.INV(S711,D711,'Regressão Grupo 2'!$B$7)&gt;100%,100%,_xlfn.NORM.INV(S711,D711,'Regressão Grupo 2'!$B$7)))</f>
        <v>0.94904008502774229</v>
      </c>
      <c r="G711" s="41">
        <v>2.8076591731153365E-2</v>
      </c>
      <c r="H711" s="41">
        <v>8.7598983091173987E-3</v>
      </c>
      <c r="I711" s="40">
        <f t="shared" si="112"/>
        <v>329.51690921735832</v>
      </c>
      <c r="J711" s="40">
        <f t="shared" si="112"/>
        <v>0</v>
      </c>
      <c r="K711" s="36">
        <v>0.36459919557796283</v>
      </c>
      <c r="L711" s="42">
        <f t="shared" ref="L711:M726" si="116">L710</f>
        <v>19991.322604477216</v>
      </c>
      <c r="M711" s="42">
        <f t="shared" si="116"/>
        <v>0</v>
      </c>
      <c r="N711" s="42">
        <f t="shared" si="113"/>
        <v>7288.8201401319375</v>
      </c>
      <c r="O711" s="36">
        <v>4.9744081585681652</v>
      </c>
      <c r="P711" s="42">
        <f t="shared" si="114"/>
        <v>12236.792863189286</v>
      </c>
      <c r="Q711" s="42"/>
      <c r="R711">
        <v>0.75209814752647486</v>
      </c>
      <c r="S711">
        <v>0.40946684163945435</v>
      </c>
    </row>
    <row r="712" spans="1:19" x14ac:dyDescent="0.25">
      <c r="A712" s="40">
        <f t="shared" si="115"/>
        <v>64.229676878151835</v>
      </c>
      <c r="B712" s="40">
        <f t="shared" si="115"/>
        <v>32.933286051621081</v>
      </c>
      <c r="C712" s="41">
        <f t="shared" si="110"/>
        <v>0.49289226185293716</v>
      </c>
      <c r="D712" s="41">
        <f t="shared" si="111"/>
        <v>0.98069361229543572</v>
      </c>
      <c r="E712" s="39">
        <f>IF(_xlfn.NORM.INV(R712,C712,'Regressão Grupo 2'!$B$7)&lt;=0,0,IF(_xlfn.NORM.INV(R712,C712,'Regressão Grupo 2'!$B$7)&gt;100%,100%,_xlfn.NORM.INV(R712,C712,'Regressão Grupo 2'!$B$7)))</f>
        <v>0.47029829774027809</v>
      </c>
      <c r="F712" s="39">
        <f>IF(_xlfn.NORM.INV(S712,D712,'Regressão Grupo 2'!$B$7)&lt;=0,0,IF(_xlfn.NORM.INV(S712,D712,'Regressão Grupo 2'!$B$7)&gt;100%,100%,_xlfn.NORM.INV(S712,D712,'Regressão Grupo 2'!$B$7)))</f>
        <v>0.98852011900155046</v>
      </c>
      <c r="G712" s="41">
        <v>1.3857149601332157E-2</v>
      </c>
      <c r="H712" s="41">
        <v>2.1461999524712325E-2</v>
      </c>
      <c r="I712" s="40">
        <f t="shared" si="112"/>
        <v>130.28332684735653</v>
      </c>
      <c r="J712" s="40">
        <f t="shared" si="112"/>
        <v>0</v>
      </c>
      <c r="K712" s="36">
        <v>0.37599348048459624</v>
      </c>
      <c r="L712" s="42">
        <f t="shared" si="116"/>
        <v>19991.322604477216</v>
      </c>
      <c r="M712" s="42">
        <f t="shared" si="116"/>
        <v>0</v>
      </c>
      <c r="N712" s="42">
        <f t="shared" si="113"/>
        <v>7516.6069655477722</v>
      </c>
      <c r="O712" s="36">
        <v>4.3867689336567359</v>
      </c>
      <c r="P712" s="42">
        <f t="shared" si="114"/>
        <v>279.9261696811518</v>
      </c>
      <c r="Q712" s="42"/>
      <c r="R712">
        <v>0.43510238959929198</v>
      </c>
      <c r="S712">
        <v>0.52256843775749995</v>
      </c>
    </row>
    <row r="713" spans="1:19" x14ac:dyDescent="0.25">
      <c r="A713" s="40">
        <f t="shared" si="115"/>
        <v>64.229676878151835</v>
      </c>
      <c r="B713" s="40">
        <f t="shared" si="115"/>
        <v>32.933286051621081</v>
      </c>
      <c r="C713" s="41">
        <f t="shared" si="110"/>
        <v>0.49289226185293716</v>
      </c>
      <c r="D713" s="41">
        <f t="shared" si="111"/>
        <v>0.98069361229543572</v>
      </c>
      <c r="E713" s="39">
        <f>IF(_xlfn.NORM.INV(R713,C713,'Regressão Grupo 2'!$B$7)&lt;=0,0,IF(_xlfn.NORM.INV(R713,C713,'Regressão Grupo 2'!$B$7)&gt;100%,100%,_xlfn.NORM.INV(R713,C713,'Regressão Grupo 2'!$B$7)))</f>
        <v>0.60630086878402512</v>
      </c>
      <c r="F713" s="39">
        <f>IF(_xlfn.NORM.INV(S713,D713,'Regressão Grupo 2'!$B$7)&lt;=0,0,IF(_xlfn.NORM.INV(S713,D713,'Regressão Grupo 2'!$B$7)&gt;100%,100%,_xlfn.NORM.INV(S713,D713,'Regressão Grupo 2'!$B$7)))</f>
        <v>1</v>
      </c>
      <c r="G713" s="41">
        <v>1.5001450706902149E-2</v>
      </c>
      <c r="H713" s="41">
        <v>1.4377670869244734E-2</v>
      </c>
      <c r="I713" s="40">
        <f t="shared" si="112"/>
        <v>181.82892761331419</v>
      </c>
      <c r="J713" s="40">
        <f t="shared" si="112"/>
        <v>0</v>
      </c>
      <c r="K713" s="36">
        <v>0.31688876311168646</v>
      </c>
      <c r="L713" s="42">
        <f t="shared" si="116"/>
        <v>19991.322604477216</v>
      </c>
      <c r="M713" s="42">
        <f t="shared" si="116"/>
        <v>0</v>
      </c>
      <c r="N713" s="42">
        <f t="shared" si="113"/>
        <v>6335.0254930994834</v>
      </c>
      <c r="O713" s="36">
        <v>5.7995356583674846</v>
      </c>
      <c r="P713" s="42">
        <f t="shared" si="114"/>
        <v>4289.2644251884103</v>
      </c>
      <c r="Q713" s="42"/>
      <c r="R713">
        <v>0.79393902401806693</v>
      </c>
      <c r="S713">
        <v>0.79799798577837455</v>
      </c>
    </row>
    <row r="714" spans="1:19" x14ac:dyDescent="0.25">
      <c r="A714" s="40">
        <f t="shared" si="115"/>
        <v>64.229676878151835</v>
      </c>
      <c r="B714" s="40">
        <f t="shared" si="115"/>
        <v>32.933286051621081</v>
      </c>
      <c r="C714" s="41">
        <f t="shared" si="110"/>
        <v>0.49289226185293716</v>
      </c>
      <c r="D714" s="41">
        <f t="shared" si="111"/>
        <v>0.98069361229543572</v>
      </c>
      <c r="E714" s="39">
        <f>IF(_xlfn.NORM.INV(R714,C714,'Regressão Grupo 2'!$B$7)&lt;=0,0,IF(_xlfn.NORM.INV(R714,C714,'Regressão Grupo 2'!$B$7)&gt;100%,100%,_xlfn.NORM.INV(R714,C714,'Regressão Grupo 2'!$B$7)))</f>
        <v>0.51829973649825245</v>
      </c>
      <c r="F714" s="39">
        <f>IF(_xlfn.NORM.INV(S714,D714,'Regressão Grupo 2'!$B$7)&lt;=0,0,IF(_xlfn.NORM.INV(S714,D714,'Regressão Grupo 2'!$B$7)&gt;100%,100%,_xlfn.NORM.INV(S714,D714,'Regressão Grupo 2'!$B$7)))</f>
        <v>1</v>
      </c>
      <c r="G714" s="41">
        <v>1.6886183953271478E-2</v>
      </c>
      <c r="H714" s="41">
        <v>1.7792304787668391E-2</v>
      </c>
      <c r="I714" s="40">
        <f t="shared" si="112"/>
        <v>174.96614839475072</v>
      </c>
      <c r="J714" s="40">
        <f t="shared" si="112"/>
        <v>0</v>
      </c>
      <c r="K714" s="36">
        <v>0.21375190565588006</v>
      </c>
      <c r="L714" s="42">
        <f t="shared" si="116"/>
        <v>19991.322604477216</v>
      </c>
      <c r="M714" s="42">
        <f t="shared" si="116"/>
        <v>0</v>
      </c>
      <c r="N714" s="42">
        <f t="shared" si="113"/>
        <v>4273.1833032884761</v>
      </c>
      <c r="O714" s="36">
        <v>8.5838455819821551</v>
      </c>
      <c r="P714" s="42">
        <f t="shared" si="114"/>
        <v>5462.9534728264107</v>
      </c>
      <c r="Q714" s="42"/>
      <c r="R714">
        <v>0.57289345988341933</v>
      </c>
      <c r="S714">
        <v>0.66188543351542706</v>
      </c>
    </row>
    <row r="715" spans="1:19" x14ac:dyDescent="0.25">
      <c r="A715" s="40">
        <f t="shared" si="115"/>
        <v>64.229676878151835</v>
      </c>
      <c r="B715" s="40">
        <f t="shared" si="115"/>
        <v>32.933286051621081</v>
      </c>
      <c r="C715" s="41">
        <f t="shared" si="110"/>
        <v>0.49289226185293716</v>
      </c>
      <c r="D715" s="41">
        <f t="shared" si="111"/>
        <v>0.98069361229543572</v>
      </c>
      <c r="E715" s="39">
        <f>IF(_xlfn.NORM.INV(R715,C715,'Regressão Grupo 2'!$B$7)&lt;=0,0,IF(_xlfn.NORM.INV(R715,C715,'Regressão Grupo 2'!$B$7)&gt;100%,100%,_xlfn.NORM.INV(R715,C715,'Regressão Grupo 2'!$B$7)))</f>
        <v>0.43175872971585483</v>
      </c>
      <c r="F715" s="39">
        <f>IF(_xlfn.NORM.INV(S715,D715,'Regressão Grupo 2'!$B$7)&lt;=0,0,IF(_xlfn.NORM.INV(S715,D715,'Regressão Grupo 2'!$B$7)&gt;100%,100%,_xlfn.NORM.INV(S715,D715,'Regressão Grupo 2'!$B$7)))</f>
        <v>0.98015942887752683</v>
      </c>
      <c r="G715" s="41">
        <v>1.8479868490258983E-2</v>
      </c>
      <c r="H715" s="41">
        <v>1.4571486111334986E-2</v>
      </c>
      <c r="I715" s="40">
        <f t="shared" si="112"/>
        <v>159.50765530347647</v>
      </c>
      <c r="J715" s="40">
        <f t="shared" si="112"/>
        <v>0</v>
      </c>
      <c r="K715" s="36">
        <v>0.26088624897407409</v>
      </c>
      <c r="L715" s="42">
        <f t="shared" si="116"/>
        <v>19991.322604477216</v>
      </c>
      <c r="M715" s="42">
        <f t="shared" si="116"/>
        <v>0</v>
      </c>
      <c r="N715" s="42">
        <f t="shared" si="113"/>
        <v>5215.461166312678</v>
      </c>
      <c r="O715" s="36">
        <v>5.2597723432322567</v>
      </c>
      <c r="P715" s="42">
        <f t="shared" si="114"/>
        <v>4190.6900395221892</v>
      </c>
      <c r="Q715" s="42"/>
      <c r="R715">
        <v>0.32920316171758174</v>
      </c>
      <c r="S715">
        <v>0.49845881527146213</v>
      </c>
    </row>
    <row r="716" spans="1:19" x14ac:dyDescent="0.25">
      <c r="A716" s="40">
        <f t="shared" si="115"/>
        <v>64.229676878151835</v>
      </c>
      <c r="B716" s="40">
        <f t="shared" si="115"/>
        <v>32.933286051621081</v>
      </c>
      <c r="C716" s="41">
        <f t="shared" si="110"/>
        <v>0.49289226185293716</v>
      </c>
      <c r="D716" s="41">
        <f t="shared" si="111"/>
        <v>0.98069361229543572</v>
      </c>
      <c r="E716" s="39">
        <f>IF(_xlfn.NORM.INV(R716,C716,'Regressão Grupo 2'!$B$7)&lt;=0,0,IF(_xlfn.NORM.INV(R716,C716,'Regressão Grupo 2'!$B$7)&gt;100%,100%,_xlfn.NORM.INV(R716,C716,'Regressão Grupo 2'!$B$7)))</f>
        <v>0.27159052766658731</v>
      </c>
      <c r="F716" s="39">
        <f>IF(_xlfn.NORM.INV(S716,D716,'Regressão Grupo 2'!$B$7)&lt;=0,0,IF(_xlfn.NORM.INV(S716,D716,'Regressão Grupo 2'!$B$7)&gt;100%,100%,_xlfn.NORM.INV(S716,D716,'Regressão Grupo 2'!$B$7)))</f>
        <v>1</v>
      </c>
      <c r="G716" s="41">
        <v>1.6318308968868513E-2</v>
      </c>
      <c r="H716" s="41">
        <v>2.311828421108501E-2</v>
      </c>
      <c r="I716" s="40">
        <f t="shared" si="112"/>
        <v>88.599505536520397</v>
      </c>
      <c r="J716" s="40">
        <f t="shared" si="112"/>
        <v>0</v>
      </c>
      <c r="K716" s="36">
        <v>0.36798142714105747</v>
      </c>
      <c r="L716" s="42">
        <f t="shared" si="116"/>
        <v>19991.322604477216</v>
      </c>
      <c r="M716" s="42">
        <f t="shared" si="116"/>
        <v>0</v>
      </c>
      <c r="N716" s="42">
        <f t="shared" si="113"/>
        <v>7356.4354224328081</v>
      </c>
      <c r="O716" s="36">
        <v>7.326530656583456</v>
      </c>
      <c r="P716" s="42">
        <f t="shared" si="114"/>
        <v>-2314.8448037295302</v>
      </c>
      <c r="Q716" s="42"/>
      <c r="R716">
        <v>5.4750205999938961E-2</v>
      </c>
      <c r="S716">
        <v>0.96081423383281961</v>
      </c>
    </row>
    <row r="717" spans="1:19" x14ac:dyDescent="0.25">
      <c r="A717" s="40">
        <f t="shared" si="115"/>
        <v>64.229676878151835</v>
      </c>
      <c r="B717" s="40">
        <f t="shared" si="115"/>
        <v>32.933286051621081</v>
      </c>
      <c r="C717" s="41">
        <f t="shared" si="110"/>
        <v>0.49289226185293716</v>
      </c>
      <c r="D717" s="41">
        <f t="shared" si="111"/>
        <v>0.98069361229543572</v>
      </c>
      <c r="E717" s="39">
        <f>IF(_xlfn.NORM.INV(R717,C717,'Regressão Grupo 2'!$B$7)&lt;=0,0,IF(_xlfn.NORM.INV(R717,C717,'Regressão Grupo 2'!$B$7)&gt;100%,100%,_xlfn.NORM.INV(R717,C717,'Regressão Grupo 2'!$B$7)))</f>
        <v>0.57209440037279613</v>
      </c>
      <c r="F717" s="39">
        <f>IF(_xlfn.NORM.INV(S717,D717,'Regressão Grupo 2'!$B$7)&lt;=0,0,IF(_xlfn.NORM.INV(S717,D717,'Regressão Grupo 2'!$B$7)&gt;100%,100%,_xlfn.NORM.INV(S717,D717,'Regressão Grupo 2'!$B$7)))</f>
        <v>1</v>
      </c>
      <c r="G717" s="41">
        <v>1.0561858659945281E-2</v>
      </c>
      <c r="H717" s="41">
        <v>6.9506797348349398E-3</v>
      </c>
      <c r="I717" s="40">
        <f t="shared" si="112"/>
        <v>120.795171814805</v>
      </c>
      <c r="J717" s="40">
        <f t="shared" si="112"/>
        <v>0</v>
      </c>
      <c r="K717" s="36">
        <v>0.25440106314752636</v>
      </c>
      <c r="L717" s="42">
        <f t="shared" si="116"/>
        <v>19991.322604477216</v>
      </c>
      <c r="M717" s="42">
        <f t="shared" si="116"/>
        <v>0</v>
      </c>
      <c r="N717" s="42">
        <f t="shared" si="113"/>
        <v>5085.8137243041792</v>
      </c>
      <c r="O717" s="36">
        <v>5.2309369359182778</v>
      </c>
      <c r="P717" s="42">
        <f t="shared" si="114"/>
        <v>2040.9492038749213</v>
      </c>
      <c r="Q717" s="42"/>
      <c r="R717">
        <v>0.71660512100589002</v>
      </c>
      <c r="S717">
        <v>0.93124179815057828</v>
      </c>
    </row>
    <row r="718" spans="1:19" x14ac:dyDescent="0.25">
      <c r="A718" s="40">
        <f t="shared" si="115"/>
        <v>64.229676878151835</v>
      </c>
      <c r="B718" s="40">
        <f t="shared" si="115"/>
        <v>32.933286051621081</v>
      </c>
      <c r="C718" s="41">
        <f t="shared" si="110"/>
        <v>0.49289226185293716</v>
      </c>
      <c r="D718" s="41">
        <f t="shared" si="111"/>
        <v>0.98069361229543572</v>
      </c>
      <c r="E718" s="39">
        <f>IF(_xlfn.NORM.INV(R718,C718,'Regressão Grupo 2'!$B$7)&lt;=0,0,IF(_xlfn.NORM.INV(R718,C718,'Regressão Grupo 2'!$B$7)&gt;100%,100%,_xlfn.NORM.INV(R718,C718,'Regressão Grupo 2'!$B$7)))</f>
        <v>0.53867646728578999</v>
      </c>
      <c r="F718" s="39">
        <f>IF(_xlfn.NORM.INV(S718,D718,'Regressão Grupo 2'!$B$7)&lt;=0,0,IF(_xlfn.NORM.INV(S718,D718,'Regressão Grupo 2'!$B$7)&gt;100%,100%,_xlfn.NORM.INV(S718,D718,'Regressão Grupo 2'!$B$7)))</f>
        <v>1</v>
      </c>
      <c r="G718" s="41">
        <v>1.8268469230903455E-2</v>
      </c>
      <c r="H718" s="41">
        <v>8.5876998411688627E-3</v>
      </c>
      <c r="I718" s="40">
        <f t="shared" si="112"/>
        <v>196.73049689458708</v>
      </c>
      <c r="J718" s="40">
        <f t="shared" si="112"/>
        <v>0</v>
      </c>
      <c r="K718" s="36">
        <v>0.32425812886833183</v>
      </c>
      <c r="L718" s="42">
        <f t="shared" si="116"/>
        <v>19991.322604477216</v>
      </c>
      <c r="M718" s="42">
        <f t="shared" si="116"/>
        <v>0</v>
      </c>
      <c r="N718" s="42">
        <f t="shared" si="113"/>
        <v>6482.3488613309682</v>
      </c>
      <c r="O718" s="36">
        <v>6.7198292080695206</v>
      </c>
      <c r="P718" s="42">
        <f t="shared" si="114"/>
        <v>4831.5920471363361</v>
      </c>
      <c r="Q718" s="42"/>
      <c r="R718">
        <v>0.62971892452772604</v>
      </c>
      <c r="S718">
        <v>0.64143803216650896</v>
      </c>
    </row>
    <row r="719" spans="1:19" x14ac:dyDescent="0.25">
      <c r="A719" s="40">
        <f t="shared" si="115"/>
        <v>64.229676878151835</v>
      </c>
      <c r="B719" s="40">
        <f t="shared" si="115"/>
        <v>32.933286051621081</v>
      </c>
      <c r="C719" s="41">
        <f t="shared" si="110"/>
        <v>0.49289226185293716</v>
      </c>
      <c r="D719" s="41">
        <f t="shared" si="111"/>
        <v>0.98069361229543572</v>
      </c>
      <c r="E719" s="39">
        <f>IF(_xlfn.NORM.INV(R719,C719,'Regressão Grupo 2'!$B$7)&lt;=0,0,IF(_xlfn.NORM.INV(R719,C719,'Regressão Grupo 2'!$B$7)&gt;100%,100%,_xlfn.NORM.INV(R719,C719,'Regressão Grupo 2'!$B$7)))</f>
        <v>0.45132228382329714</v>
      </c>
      <c r="F719" s="39">
        <f>IF(_xlfn.NORM.INV(S719,D719,'Regressão Grupo 2'!$B$7)&lt;=0,0,IF(_xlfn.NORM.INV(S719,D719,'Regressão Grupo 2'!$B$7)&gt;100%,100%,_xlfn.NORM.INV(S719,D719,'Regressão Grupo 2'!$B$7)))</f>
        <v>0.74222224050403374</v>
      </c>
      <c r="G719" s="41">
        <v>2.896676583868537E-2</v>
      </c>
      <c r="H719" s="41">
        <v>1.2696431272068391E-2</v>
      </c>
      <c r="I719" s="40">
        <f t="shared" si="112"/>
        <v>261.35349566382973</v>
      </c>
      <c r="J719" s="40">
        <f t="shared" si="112"/>
        <v>0</v>
      </c>
      <c r="K719" s="36">
        <v>0.27269957676290613</v>
      </c>
      <c r="L719" s="42">
        <f t="shared" si="116"/>
        <v>19991.322604477216</v>
      </c>
      <c r="M719" s="42">
        <f t="shared" si="116"/>
        <v>0</v>
      </c>
      <c r="N719" s="42">
        <f t="shared" si="113"/>
        <v>5451.6252131716547</v>
      </c>
      <c r="O719" s="36">
        <v>6.8551450778457301</v>
      </c>
      <c r="P719" s="42">
        <f t="shared" si="114"/>
        <v>9543.4092349139064</v>
      </c>
      <c r="Q719" s="42"/>
      <c r="R719">
        <v>0.3818475905636769</v>
      </c>
      <c r="S719">
        <v>4.2298654133732107E-2</v>
      </c>
    </row>
    <row r="720" spans="1:19" x14ac:dyDescent="0.25">
      <c r="A720" s="40">
        <f t="shared" si="115"/>
        <v>64.229676878151835</v>
      </c>
      <c r="B720" s="40">
        <f t="shared" si="115"/>
        <v>32.933286051621081</v>
      </c>
      <c r="C720" s="41">
        <f t="shared" si="110"/>
        <v>0.49289226185293716</v>
      </c>
      <c r="D720" s="41">
        <f t="shared" si="111"/>
        <v>0.98069361229543572</v>
      </c>
      <c r="E720" s="39">
        <f>IF(_xlfn.NORM.INV(R720,C720,'Regressão Grupo 2'!$B$7)&lt;=0,0,IF(_xlfn.NORM.INV(R720,C720,'Regressão Grupo 2'!$B$7)&gt;100%,100%,_xlfn.NORM.INV(R720,C720,'Regressão Grupo 2'!$B$7)))</f>
        <v>0.41651540471743076</v>
      </c>
      <c r="F720" s="39">
        <f>IF(_xlfn.NORM.INV(S720,D720,'Regressão Grupo 2'!$B$7)&lt;=0,0,IF(_xlfn.NORM.INV(S720,D720,'Regressão Grupo 2'!$B$7)&gt;100%,100%,_xlfn.NORM.INV(S720,D720,'Regressão Grupo 2'!$B$7)))</f>
        <v>1</v>
      </c>
      <c r="G720" s="41">
        <v>2.0248220569423915E-2</v>
      </c>
      <c r="H720" s="41">
        <v>1.8156985965592027E-2</v>
      </c>
      <c r="I720" s="40">
        <f t="shared" si="112"/>
        <v>168.60073319158047</v>
      </c>
      <c r="J720" s="40">
        <f t="shared" si="112"/>
        <v>0</v>
      </c>
      <c r="K720" s="36">
        <v>0.35784959543388367</v>
      </c>
      <c r="L720" s="42">
        <f t="shared" si="116"/>
        <v>19991.322604477216</v>
      </c>
      <c r="M720" s="42">
        <f t="shared" si="116"/>
        <v>0</v>
      </c>
      <c r="N720" s="42">
        <f t="shared" si="113"/>
        <v>7153.8867062004256</v>
      </c>
      <c r="O720" s="36">
        <v>4.9738892392996963</v>
      </c>
      <c r="P720" s="42">
        <f t="shared" si="114"/>
        <v>2836.682535554638</v>
      </c>
      <c r="Q720" s="42"/>
      <c r="R720">
        <v>0.29035309915463731</v>
      </c>
      <c r="S720">
        <v>0.73442793053987243</v>
      </c>
    </row>
    <row r="721" spans="1:19" x14ac:dyDescent="0.25">
      <c r="A721" s="40">
        <f t="shared" si="115"/>
        <v>64.229676878151835</v>
      </c>
      <c r="B721" s="40">
        <f t="shared" si="115"/>
        <v>32.933286051621081</v>
      </c>
      <c r="C721" s="41">
        <f t="shared" si="110"/>
        <v>0.49289226185293716</v>
      </c>
      <c r="D721" s="41">
        <f t="shared" si="111"/>
        <v>0.98069361229543572</v>
      </c>
      <c r="E721" s="39">
        <f>IF(_xlfn.NORM.INV(R721,C721,'Regressão Grupo 2'!$B$7)&lt;=0,0,IF(_xlfn.NORM.INV(R721,C721,'Regressão Grupo 2'!$B$7)&gt;100%,100%,_xlfn.NORM.INV(R721,C721,'Regressão Grupo 2'!$B$7)))</f>
        <v>0.56877675973625763</v>
      </c>
      <c r="F721" s="39">
        <f>IF(_xlfn.NORM.INV(S721,D721,'Regressão Grupo 2'!$B$7)&lt;=0,0,IF(_xlfn.NORM.INV(S721,D721,'Regressão Grupo 2'!$B$7)&gt;100%,100%,_xlfn.NORM.INV(S721,D721,'Regressão Grupo 2'!$B$7)))</f>
        <v>1</v>
      </c>
      <c r="G721" s="41">
        <v>2.4112971141252836E-2</v>
      </c>
      <c r="H721" s="41">
        <v>1.1180270581664641E-2</v>
      </c>
      <c r="I721" s="40">
        <f t="shared" si="112"/>
        <v>274.17894227574169</v>
      </c>
      <c r="J721" s="40">
        <f t="shared" si="112"/>
        <v>0</v>
      </c>
      <c r="K721" s="36">
        <v>0.3618067789904012</v>
      </c>
      <c r="L721" s="42">
        <f t="shared" si="116"/>
        <v>19991.322604477216</v>
      </c>
      <c r="M721" s="42">
        <f t="shared" si="116"/>
        <v>0</v>
      </c>
      <c r="N721" s="42">
        <f t="shared" si="113"/>
        <v>7232.9960392839002</v>
      </c>
      <c r="O721" s="36">
        <v>9.8874832368892083</v>
      </c>
      <c r="P721" s="42">
        <f t="shared" si="114"/>
        <v>7666.4891342210231</v>
      </c>
      <c r="Q721" s="42"/>
      <c r="R721">
        <v>0.70842616046632279</v>
      </c>
      <c r="S721">
        <v>0.75606555375835449</v>
      </c>
    </row>
    <row r="722" spans="1:19" x14ac:dyDescent="0.25">
      <c r="A722" s="40">
        <f t="shared" si="115"/>
        <v>64.229676878151835</v>
      </c>
      <c r="B722" s="40">
        <f t="shared" si="115"/>
        <v>32.933286051621081</v>
      </c>
      <c r="C722" s="41">
        <f t="shared" si="110"/>
        <v>0.49289226185293716</v>
      </c>
      <c r="D722" s="41">
        <f t="shared" si="111"/>
        <v>0.98069361229543572</v>
      </c>
      <c r="E722" s="39">
        <f>IF(_xlfn.NORM.INV(R722,C722,'Regressão Grupo 2'!$B$7)&lt;=0,0,IF(_xlfn.NORM.INV(R722,C722,'Regressão Grupo 2'!$B$7)&gt;100%,100%,_xlfn.NORM.INV(R722,C722,'Regressão Grupo 2'!$B$7)))</f>
        <v>0.50661839287499333</v>
      </c>
      <c r="F722" s="39">
        <f>IF(_xlfn.NORM.INV(S722,D722,'Regressão Grupo 2'!$B$7)&lt;=0,0,IF(_xlfn.NORM.INV(S722,D722,'Regressão Grupo 2'!$B$7)&gt;100%,100%,_xlfn.NORM.INV(S722,D722,'Regressão Grupo 2'!$B$7)))</f>
        <v>0.94687524462237416</v>
      </c>
      <c r="G722" s="41">
        <v>1.1915115059806504E-2</v>
      </c>
      <c r="H722" s="41">
        <v>1.0841719181618746E-2</v>
      </c>
      <c r="I722" s="40">
        <f t="shared" si="112"/>
        <v>120.67594847738405</v>
      </c>
      <c r="J722" s="40">
        <f t="shared" si="112"/>
        <v>0</v>
      </c>
      <c r="K722" s="36">
        <v>0.34101881925525379</v>
      </c>
      <c r="L722" s="42">
        <f t="shared" si="116"/>
        <v>19991.322604477216</v>
      </c>
      <c r="M722" s="42">
        <f t="shared" si="116"/>
        <v>0</v>
      </c>
      <c r="N722" s="42">
        <f t="shared" si="113"/>
        <v>6817.4172299296852</v>
      </c>
      <c r="O722" s="36">
        <v>2.6491001833398138</v>
      </c>
      <c r="P722" s="42">
        <f t="shared" si="114"/>
        <v>613.87727050104786</v>
      </c>
      <c r="Q722" s="42"/>
      <c r="R722">
        <v>0.53953672902615435</v>
      </c>
      <c r="S722">
        <v>0.40339365825373091</v>
      </c>
    </row>
    <row r="723" spans="1:19" x14ac:dyDescent="0.25">
      <c r="A723" s="40">
        <f t="shared" si="115"/>
        <v>64.229676878151835</v>
      </c>
      <c r="B723" s="40">
        <f t="shared" si="115"/>
        <v>32.933286051621081</v>
      </c>
      <c r="C723" s="41">
        <f t="shared" si="110"/>
        <v>0.49289226185293716</v>
      </c>
      <c r="D723" s="41">
        <f t="shared" si="111"/>
        <v>0.98069361229543572</v>
      </c>
      <c r="E723" s="39">
        <f>IF(_xlfn.NORM.INV(R723,C723,'Regressão Grupo 2'!$B$7)&lt;=0,0,IF(_xlfn.NORM.INV(R723,C723,'Regressão Grupo 2'!$B$7)&gt;100%,100%,_xlfn.NORM.INV(R723,C723,'Regressão Grupo 2'!$B$7)))</f>
        <v>0.56066503577416937</v>
      </c>
      <c r="F723" s="39">
        <f>IF(_xlfn.NORM.INV(S723,D723,'Regressão Grupo 2'!$B$7)&lt;=0,0,IF(_xlfn.NORM.INV(S723,D723,'Regressão Grupo 2'!$B$7)&gt;100%,100%,_xlfn.NORM.INV(S723,D723,'Regressão Grupo 2'!$B$7)))</f>
        <v>0.8365443659258841</v>
      </c>
      <c r="G723" s="41">
        <v>2.096939668693773E-2</v>
      </c>
      <c r="H723" s="41">
        <v>1.319429226280033E-2</v>
      </c>
      <c r="I723" s="40">
        <f t="shared" si="112"/>
        <v>235.03413240375238</v>
      </c>
      <c r="J723" s="40">
        <f t="shared" si="112"/>
        <v>0</v>
      </c>
      <c r="K723" s="36">
        <v>0.40905678154222014</v>
      </c>
      <c r="L723" s="42">
        <f t="shared" si="116"/>
        <v>19991.322604477216</v>
      </c>
      <c r="M723" s="42">
        <f t="shared" si="116"/>
        <v>0</v>
      </c>
      <c r="N723" s="42">
        <f t="shared" si="113"/>
        <v>8177.5860833596844</v>
      </c>
      <c r="O723" s="36">
        <v>4.234078220851587</v>
      </c>
      <c r="P723" s="42">
        <f t="shared" si="114"/>
        <v>5923.4273951026107</v>
      </c>
      <c r="Q723" s="42"/>
      <c r="R723">
        <v>0.68797875911740469</v>
      </c>
      <c r="S723">
        <v>0.14859462263863032</v>
      </c>
    </row>
    <row r="724" spans="1:19" x14ac:dyDescent="0.25">
      <c r="A724" s="40">
        <f t="shared" si="115"/>
        <v>64.229676878151835</v>
      </c>
      <c r="B724" s="40">
        <f t="shared" si="115"/>
        <v>32.933286051621081</v>
      </c>
      <c r="C724" s="41">
        <f t="shared" si="110"/>
        <v>0.49289226185293716</v>
      </c>
      <c r="D724" s="41">
        <f t="shared" si="111"/>
        <v>0.98069361229543572</v>
      </c>
      <c r="E724" s="39">
        <f>IF(_xlfn.NORM.INV(R724,C724,'Regressão Grupo 2'!$B$7)&lt;=0,0,IF(_xlfn.NORM.INV(R724,C724,'Regressão Grupo 2'!$B$7)&gt;100%,100%,_xlfn.NORM.INV(R724,C724,'Regressão Grupo 2'!$B$7)))</f>
        <v>0.49118389349338393</v>
      </c>
      <c r="F724" s="39">
        <f>IF(_xlfn.NORM.INV(S724,D724,'Regressão Grupo 2'!$B$7)&lt;=0,0,IF(_xlfn.NORM.INV(S724,D724,'Regressão Grupo 2'!$B$7)&gt;100%,100%,_xlfn.NORM.INV(S724,D724,'Regressão Grupo 2'!$B$7)))</f>
        <v>1</v>
      </c>
      <c r="G724" s="41">
        <v>2.2698453058561007E-2</v>
      </c>
      <c r="H724" s="41">
        <v>2.1690545518099659E-2</v>
      </c>
      <c r="I724" s="40">
        <f t="shared" si="112"/>
        <v>222.88554571494055</v>
      </c>
      <c r="J724" s="40">
        <f t="shared" si="112"/>
        <v>0</v>
      </c>
      <c r="K724" s="36">
        <v>0.22349361641019094</v>
      </c>
      <c r="L724" s="42">
        <f t="shared" si="116"/>
        <v>19991.322604477216</v>
      </c>
      <c r="M724" s="42">
        <f t="shared" si="116"/>
        <v>0</v>
      </c>
      <c r="N724" s="42">
        <f t="shared" si="113"/>
        <v>4467.93298569741</v>
      </c>
      <c r="O724" s="36">
        <v>8.6058413871735073</v>
      </c>
      <c r="P724" s="42">
        <f t="shared" si="114"/>
        <v>7929.8159424673731</v>
      </c>
      <c r="Q724" s="42"/>
      <c r="R724">
        <v>0.49507126071962643</v>
      </c>
      <c r="S724">
        <v>0.75652333140049444</v>
      </c>
    </row>
    <row r="725" spans="1:19" x14ac:dyDescent="0.25">
      <c r="A725" s="40">
        <f t="shared" si="115"/>
        <v>64.229676878151835</v>
      </c>
      <c r="B725" s="40">
        <f t="shared" si="115"/>
        <v>32.933286051621081</v>
      </c>
      <c r="C725" s="41">
        <f t="shared" si="110"/>
        <v>0.49289226185293716</v>
      </c>
      <c r="D725" s="41">
        <f t="shared" si="111"/>
        <v>0.98069361229543572</v>
      </c>
      <c r="E725" s="39">
        <f>IF(_xlfn.NORM.INV(R725,C725,'Regressão Grupo 2'!$B$7)&lt;=0,0,IF(_xlfn.NORM.INV(R725,C725,'Regressão Grupo 2'!$B$7)&gt;100%,100%,_xlfn.NORM.INV(R725,C725,'Regressão Grupo 2'!$B$7)))</f>
        <v>0.32480136485341937</v>
      </c>
      <c r="F725" s="39">
        <f>IF(_xlfn.NORM.INV(S725,D725,'Regressão Grupo 2'!$B$7)&lt;=0,0,IF(_xlfn.NORM.INV(S725,D725,'Regressão Grupo 2'!$B$7)&gt;100%,100%,_xlfn.NORM.INV(S725,D725,'Regressão Grupo 2'!$B$7)))</f>
        <v>1</v>
      </c>
      <c r="G725" s="41">
        <v>9.2295521956291052E-3</v>
      </c>
      <c r="H725" s="41">
        <v>2.4207090844983715E-2</v>
      </c>
      <c r="I725" s="40">
        <f t="shared" si="112"/>
        <v>59.929410156567698</v>
      </c>
      <c r="J725" s="40">
        <f t="shared" si="112"/>
        <v>0</v>
      </c>
      <c r="K725" s="36">
        <v>0.28999778244330648</v>
      </c>
      <c r="L725" s="42">
        <f t="shared" si="116"/>
        <v>19991.322604477216</v>
      </c>
      <c r="M725" s="42">
        <f t="shared" si="116"/>
        <v>0</v>
      </c>
      <c r="N725" s="42">
        <f t="shared" si="113"/>
        <v>5797.4392234071393</v>
      </c>
      <c r="O725" s="36">
        <v>5.5978777883280753</v>
      </c>
      <c r="P725" s="42">
        <f t="shared" si="114"/>
        <v>-2283.6700875356182</v>
      </c>
      <c r="Q725" s="42"/>
      <c r="R725">
        <v>0.1120639667958617</v>
      </c>
      <c r="S725">
        <v>0.99829096346934421</v>
      </c>
    </row>
    <row r="726" spans="1:19" x14ac:dyDescent="0.25">
      <c r="A726" s="40">
        <f t="shared" si="115"/>
        <v>64.229676878151835</v>
      </c>
      <c r="B726" s="40">
        <f t="shared" si="115"/>
        <v>32.933286051621081</v>
      </c>
      <c r="C726" s="41">
        <f t="shared" si="110"/>
        <v>0.49289226185293716</v>
      </c>
      <c r="D726" s="41">
        <f t="shared" si="111"/>
        <v>0.98069361229543572</v>
      </c>
      <c r="E726" s="39">
        <f>IF(_xlfn.NORM.INV(R726,C726,'Regressão Grupo 2'!$B$7)&lt;=0,0,IF(_xlfn.NORM.INV(R726,C726,'Regressão Grupo 2'!$B$7)&gt;100%,100%,_xlfn.NORM.INV(R726,C726,'Regressão Grupo 2'!$B$7)))</f>
        <v>0.64440318542803865</v>
      </c>
      <c r="F726" s="39">
        <f>IF(_xlfn.NORM.INV(S726,D726,'Regressão Grupo 2'!$B$7)&lt;=0,0,IF(_xlfn.NORM.INV(S726,D726,'Regressão Grupo 2'!$B$7)&gt;100%,100%,_xlfn.NORM.INV(S726,D726,'Regressão Grupo 2'!$B$7)))</f>
        <v>0.75311375834418004</v>
      </c>
      <c r="G726" s="41">
        <v>1.8609865081252945E-2</v>
      </c>
      <c r="H726" s="41">
        <v>1.1844113991008135E-2</v>
      </c>
      <c r="I726" s="40">
        <f t="shared" si="112"/>
        <v>239.74106522344658</v>
      </c>
      <c r="J726" s="40">
        <f t="shared" si="112"/>
        <v>0</v>
      </c>
      <c r="K726" s="36">
        <v>0.29555340367756422</v>
      </c>
      <c r="L726" s="42">
        <f t="shared" si="116"/>
        <v>19991.322604477216</v>
      </c>
      <c r="M726" s="42">
        <f t="shared" si="116"/>
        <v>0</v>
      </c>
      <c r="N726" s="42">
        <f t="shared" si="113"/>
        <v>5908.503439769469</v>
      </c>
      <c r="O726" s="36">
        <v>5.7558948709847435</v>
      </c>
      <c r="P726" s="42">
        <f t="shared" si="114"/>
        <v>8110.0633462723745</v>
      </c>
      <c r="Q726" s="42"/>
      <c r="R726">
        <v>0.86339915158543656</v>
      </c>
      <c r="S726">
        <v>4.9897762993255407E-2</v>
      </c>
    </row>
    <row r="727" spans="1:19" x14ac:dyDescent="0.25">
      <c r="A727" s="40">
        <f t="shared" si="115"/>
        <v>64.229676878151835</v>
      </c>
      <c r="B727" s="40">
        <f t="shared" si="115"/>
        <v>32.933286051621081</v>
      </c>
      <c r="C727" s="41">
        <f t="shared" si="110"/>
        <v>0.49289226185293716</v>
      </c>
      <c r="D727" s="41">
        <f t="shared" si="111"/>
        <v>0.98069361229543572</v>
      </c>
      <c r="E727" s="39">
        <f>IF(_xlfn.NORM.INV(R727,C727,'Regressão Grupo 2'!$B$7)&lt;=0,0,IF(_xlfn.NORM.INV(R727,C727,'Regressão Grupo 2'!$B$7)&gt;100%,100%,_xlfn.NORM.INV(R727,C727,'Regressão Grupo 2'!$B$7)))</f>
        <v>0.5228433344803094</v>
      </c>
      <c r="F727" s="39">
        <f>IF(_xlfn.NORM.INV(S727,D727,'Regressão Grupo 2'!$B$7)&lt;=0,0,IF(_xlfn.NORM.INV(S727,D727,'Regressão Grupo 2'!$B$7)&gt;100%,100%,_xlfn.NORM.INV(S727,D727,'Regressão Grupo 2'!$B$7)))</f>
        <v>1</v>
      </c>
      <c r="G727" s="41">
        <v>2.5486801192059479E-2</v>
      </c>
      <c r="H727" s="41">
        <v>2.2665145661487848E-2</v>
      </c>
      <c r="I727" s="40">
        <f t="shared" si="112"/>
        <v>266.3964508723285</v>
      </c>
      <c r="J727" s="40">
        <f t="shared" si="112"/>
        <v>0</v>
      </c>
      <c r="K727" s="36">
        <v>0.22256431292681672</v>
      </c>
      <c r="L727" s="42">
        <f t="shared" ref="L727:M742" si="117">L726</f>
        <v>19991.322604477216</v>
      </c>
      <c r="M727" s="42">
        <f t="shared" si="117"/>
        <v>0</v>
      </c>
      <c r="N727" s="42">
        <f t="shared" si="113"/>
        <v>4449.3549799638122</v>
      </c>
      <c r="O727" s="36">
        <v>4.5719617520761773</v>
      </c>
      <c r="P727" s="42">
        <f t="shared" si="114"/>
        <v>11443.248596775167</v>
      </c>
      <c r="Q727" s="42"/>
      <c r="R727">
        <v>0.58574175237281412</v>
      </c>
      <c r="S727">
        <v>0.86931974242378007</v>
      </c>
    </row>
    <row r="728" spans="1:19" x14ac:dyDescent="0.25">
      <c r="A728" s="40">
        <f t="shared" si="115"/>
        <v>64.229676878151835</v>
      </c>
      <c r="B728" s="40">
        <f t="shared" si="115"/>
        <v>32.933286051621081</v>
      </c>
      <c r="C728" s="41">
        <f t="shared" si="110"/>
        <v>0.49289226185293716</v>
      </c>
      <c r="D728" s="41">
        <f t="shared" si="111"/>
        <v>0.98069361229543572</v>
      </c>
      <c r="E728" s="39">
        <f>IF(_xlfn.NORM.INV(R728,C728,'Regressão Grupo 2'!$B$7)&lt;=0,0,IF(_xlfn.NORM.INV(R728,C728,'Regressão Grupo 2'!$B$7)&gt;100%,100%,_xlfn.NORM.INV(R728,C728,'Regressão Grupo 2'!$B$7)))</f>
        <v>0.42578666111747077</v>
      </c>
      <c r="F728" s="39">
        <f>IF(_xlfn.NORM.INV(S728,D728,'Regressão Grupo 2'!$B$7)&lt;=0,0,IF(_xlfn.NORM.INV(S728,D728,'Regressão Grupo 2'!$B$7)&gt;100%,100%,_xlfn.NORM.INV(S728,D728,'Regressão Grupo 2'!$B$7)))</f>
        <v>1</v>
      </c>
      <c r="G728" s="41">
        <v>2.0669463694552779E-2</v>
      </c>
      <c r="H728" s="41">
        <v>9.8707337881801058E-3</v>
      </c>
      <c r="I728" s="40">
        <f t="shared" si="112"/>
        <v>175.93927080610064</v>
      </c>
      <c r="J728" s="40">
        <f t="shared" si="112"/>
        <v>0</v>
      </c>
      <c r="K728" s="36">
        <v>0.400390625</v>
      </c>
      <c r="L728" s="42">
        <f t="shared" si="117"/>
        <v>19991.322604477216</v>
      </c>
      <c r="M728" s="42">
        <f t="shared" si="117"/>
        <v>0</v>
      </c>
      <c r="N728" s="42">
        <f t="shared" si="113"/>
        <v>8004.3381521832607</v>
      </c>
      <c r="O728" s="36">
        <v>9.5613362420523664</v>
      </c>
      <c r="P728" s="42">
        <f t="shared" si="114"/>
        <v>1613.9698355116006</v>
      </c>
      <c r="Q728" s="42"/>
      <c r="R728">
        <v>0.31373027741325116</v>
      </c>
      <c r="S728">
        <v>0.69035920285653252</v>
      </c>
    </row>
    <row r="729" spans="1:19" x14ac:dyDescent="0.25">
      <c r="A729" s="40">
        <f t="shared" si="115"/>
        <v>64.229676878151835</v>
      </c>
      <c r="B729" s="40">
        <f t="shared" si="115"/>
        <v>32.933286051621081</v>
      </c>
      <c r="C729" s="41">
        <f t="shared" si="110"/>
        <v>0.49289226185293716</v>
      </c>
      <c r="D729" s="41">
        <f t="shared" si="111"/>
        <v>0.98069361229543572</v>
      </c>
      <c r="E729" s="39">
        <f>IF(_xlfn.NORM.INV(R729,C729,'Regressão Grupo 2'!$B$7)&lt;=0,0,IF(_xlfn.NORM.INV(R729,C729,'Regressão Grupo 2'!$B$7)&gt;100%,100%,_xlfn.NORM.INV(R729,C729,'Regressão Grupo 2'!$B$7)))</f>
        <v>0.34653913331444058</v>
      </c>
      <c r="F729" s="39">
        <f>IF(_xlfn.NORM.INV(S729,D729,'Regressão Grupo 2'!$B$7)&lt;=0,0,IF(_xlfn.NORM.INV(S729,D729,'Regressão Grupo 2'!$B$7)&gt;100%,100%,_xlfn.NORM.INV(S729,D729,'Regressão Grupo 2'!$B$7)))</f>
        <v>0.94016275231155644</v>
      </c>
      <c r="G729" s="41">
        <v>2.4575436491880997E-2</v>
      </c>
      <c r="H729" s="41">
        <v>2.0881066261558178E-2</v>
      </c>
      <c r="I729" s="40">
        <f t="shared" si="112"/>
        <v>170.25310951303467</v>
      </c>
      <c r="J729" s="40">
        <f t="shared" si="112"/>
        <v>0</v>
      </c>
      <c r="K729" s="36">
        <v>0.46427442592817814</v>
      </c>
      <c r="L729" s="42">
        <f t="shared" si="117"/>
        <v>19991.322604477216</v>
      </c>
      <c r="M729" s="42">
        <f t="shared" si="117"/>
        <v>0</v>
      </c>
      <c r="N729" s="42">
        <f t="shared" si="113"/>
        <v>9281.4598257386715</v>
      </c>
      <c r="O729" s="36">
        <v>5.1303389235736221</v>
      </c>
      <c r="P729" s="42">
        <f t="shared" si="114"/>
        <v>780.3862311899793</v>
      </c>
      <c r="Q729" s="42"/>
      <c r="R729">
        <v>0.14493240150151065</v>
      </c>
      <c r="S729">
        <v>0.38471633045442061</v>
      </c>
    </row>
    <row r="730" spans="1:19" x14ac:dyDescent="0.25">
      <c r="A730" s="40">
        <f t="shared" si="115"/>
        <v>64.229676878151835</v>
      </c>
      <c r="B730" s="40">
        <f t="shared" si="115"/>
        <v>32.933286051621081</v>
      </c>
      <c r="C730" s="41">
        <f t="shared" si="110"/>
        <v>0.49289226185293716</v>
      </c>
      <c r="D730" s="41">
        <f t="shared" si="111"/>
        <v>0.98069361229543572</v>
      </c>
      <c r="E730" s="39">
        <f>IF(_xlfn.NORM.INV(R730,C730,'Regressão Grupo 2'!$B$7)&lt;=0,0,IF(_xlfn.NORM.INV(R730,C730,'Regressão Grupo 2'!$B$7)&gt;100%,100%,_xlfn.NORM.INV(R730,C730,'Regressão Grupo 2'!$B$7)))</f>
        <v>0.41392681407464949</v>
      </c>
      <c r="F730" s="39">
        <f>IF(_xlfn.NORM.INV(S730,D730,'Regressão Grupo 2'!$B$7)&lt;=0,0,IF(_xlfn.NORM.INV(S730,D730,'Regressão Grupo 2'!$B$7)&gt;100%,100%,_xlfn.NORM.INV(S730,D730,'Regressão Grupo 2'!$B$7)))</f>
        <v>1</v>
      </c>
      <c r="G730" s="41">
        <v>1.8046956247914712E-2</v>
      </c>
      <c r="H730" s="41">
        <v>1.4790211144772062E-2</v>
      </c>
      <c r="I730" s="40">
        <f t="shared" si="112"/>
        <v>149.33756089081567</v>
      </c>
      <c r="J730" s="40">
        <f t="shared" si="112"/>
        <v>0</v>
      </c>
      <c r="K730" s="36">
        <v>0.27051890054243166</v>
      </c>
      <c r="L730" s="42">
        <f t="shared" si="117"/>
        <v>19991.322604477216</v>
      </c>
      <c r="M730" s="42">
        <f t="shared" si="117"/>
        <v>0</v>
      </c>
      <c r="N730" s="42">
        <f t="shared" si="113"/>
        <v>5408.0306113522383</v>
      </c>
      <c r="O730" s="36">
        <v>7.2035603242992199</v>
      </c>
      <c r="P730" s="42">
        <f t="shared" si="114"/>
        <v>3108.1105418754778</v>
      </c>
      <c r="Q730" s="42"/>
      <c r="R730">
        <v>0.28397473067415385</v>
      </c>
      <c r="S730">
        <v>0.9429914242988372</v>
      </c>
    </row>
    <row r="731" spans="1:19" x14ac:dyDescent="0.25">
      <c r="A731" s="40">
        <f t="shared" si="115"/>
        <v>64.229676878151835</v>
      </c>
      <c r="B731" s="40">
        <f t="shared" si="115"/>
        <v>32.933286051621081</v>
      </c>
      <c r="C731" s="41">
        <f t="shared" si="110"/>
        <v>0.49289226185293716</v>
      </c>
      <c r="D731" s="41">
        <f t="shared" si="111"/>
        <v>0.98069361229543572</v>
      </c>
      <c r="E731" s="39">
        <f>IF(_xlfn.NORM.INV(R731,C731,'Regressão Grupo 2'!$B$7)&lt;=0,0,IF(_xlfn.NORM.INV(R731,C731,'Regressão Grupo 2'!$B$7)&gt;100%,100%,_xlfn.NORM.INV(R731,C731,'Regressão Grupo 2'!$B$7)))</f>
        <v>0.58994765688928485</v>
      </c>
      <c r="F731" s="39">
        <f>IF(_xlfn.NORM.INV(S731,D731,'Regressão Grupo 2'!$B$7)&lt;=0,0,IF(_xlfn.NORM.INV(S731,D731,'Regressão Grupo 2'!$B$7)&gt;100%,100%,_xlfn.NORM.INV(S731,D731,'Regressão Grupo 2'!$B$7)))</f>
        <v>1</v>
      </c>
      <c r="G731" s="41">
        <v>1.5115320844510146E-2</v>
      </c>
      <c r="H731" s="41">
        <v>2.6958196900000449E-2</v>
      </c>
      <c r="I731" s="40">
        <f t="shared" si="112"/>
        <v>178.26758381809887</v>
      </c>
      <c r="J731" s="40">
        <f t="shared" si="112"/>
        <v>0</v>
      </c>
      <c r="K731" s="36">
        <v>0.2995934287791775</v>
      </c>
      <c r="L731" s="42">
        <f t="shared" si="117"/>
        <v>19991.322604477216</v>
      </c>
      <c r="M731" s="42">
        <f t="shared" si="117"/>
        <v>0</v>
      </c>
      <c r="N731" s="42">
        <f t="shared" si="113"/>
        <v>5989.268884906006</v>
      </c>
      <c r="O731" s="36">
        <v>8.1282262245060544</v>
      </c>
      <c r="P731" s="42">
        <f t="shared" si="114"/>
        <v>4011.8011718097305</v>
      </c>
      <c r="Q731" s="42"/>
      <c r="R731">
        <v>0.75862910855433818</v>
      </c>
      <c r="S731">
        <v>0.84539323099459818</v>
      </c>
    </row>
    <row r="732" spans="1:19" x14ac:dyDescent="0.25">
      <c r="A732" s="40">
        <f t="shared" si="115"/>
        <v>64.229676878151835</v>
      </c>
      <c r="B732" s="40">
        <f t="shared" si="115"/>
        <v>32.933286051621081</v>
      </c>
      <c r="C732" s="41">
        <f t="shared" si="110"/>
        <v>0.49289226185293716</v>
      </c>
      <c r="D732" s="41">
        <f t="shared" si="111"/>
        <v>0.98069361229543572</v>
      </c>
      <c r="E732" s="39">
        <f>IF(_xlfn.NORM.INV(R732,C732,'Regressão Grupo 2'!$B$7)&lt;=0,0,IF(_xlfn.NORM.INV(R732,C732,'Regressão Grupo 2'!$B$7)&gt;100%,100%,_xlfn.NORM.INV(R732,C732,'Regressão Grupo 2'!$B$7)))</f>
        <v>0.58580925721685961</v>
      </c>
      <c r="F732" s="39">
        <f>IF(_xlfn.NORM.INV(S732,D732,'Regressão Grupo 2'!$B$7)&lt;=0,0,IF(_xlfn.NORM.INV(S732,D732,'Regressão Grupo 2'!$B$7)&gt;100%,100%,_xlfn.NORM.INV(S732,D732,'Regressão Grupo 2'!$B$7)))</f>
        <v>1</v>
      </c>
      <c r="G732" s="41">
        <v>9.0788292931706614E-3</v>
      </c>
      <c r="H732" s="41">
        <v>1.7698085138223695E-2</v>
      </c>
      <c r="I732" s="40">
        <f t="shared" si="112"/>
        <v>106.32309449214979</v>
      </c>
      <c r="J732" s="40">
        <f t="shared" si="112"/>
        <v>0</v>
      </c>
      <c r="K732" s="36">
        <v>0.31768802138368124</v>
      </c>
      <c r="L732" s="42">
        <f t="shared" si="117"/>
        <v>19991.322604477216</v>
      </c>
      <c r="M732" s="42">
        <f t="shared" si="117"/>
        <v>0</v>
      </c>
      <c r="N732" s="42">
        <f t="shared" si="113"/>
        <v>6351.0037230592279</v>
      </c>
      <c r="O732" s="36">
        <v>5.0298127012544267</v>
      </c>
      <c r="P732" s="42">
        <f t="shared" si="114"/>
        <v>-56.690970256531728</v>
      </c>
      <c r="Q732" s="42"/>
      <c r="R732">
        <v>0.7491988891262551</v>
      </c>
      <c r="S732">
        <v>0.75005340739158299</v>
      </c>
    </row>
    <row r="733" spans="1:19" x14ac:dyDescent="0.25">
      <c r="A733" s="40">
        <f t="shared" si="115"/>
        <v>64.229676878151835</v>
      </c>
      <c r="B733" s="40">
        <f t="shared" si="115"/>
        <v>32.933286051621081</v>
      </c>
      <c r="C733" s="41">
        <f t="shared" si="110"/>
        <v>0.49289226185293716</v>
      </c>
      <c r="D733" s="41">
        <f t="shared" si="111"/>
        <v>0.98069361229543572</v>
      </c>
      <c r="E733" s="39">
        <f>IF(_xlfn.NORM.INV(R733,C733,'Regressão Grupo 2'!$B$7)&lt;=0,0,IF(_xlfn.NORM.INV(R733,C733,'Regressão Grupo 2'!$B$7)&gt;100%,100%,_xlfn.NORM.INV(R733,C733,'Regressão Grupo 2'!$B$7)))</f>
        <v>0.49174455052278943</v>
      </c>
      <c r="F733" s="39">
        <f>IF(_xlfn.NORM.INV(S733,D733,'Regressão Grupo 2'!$B$7)&lt;=0,0,IF(_xlfn.NORM.INV(S733,D733,'Regressão Grupo 2'!$B$7)&gt;100%,100%,_xlfn.NORM.INV(S733,D733,'Regressão Grupo 2'!$B$7)))</f>
        <v>1</v>
      </c>
      <c r="G733" s="41">
        <v>1.9599160501446233E-2</v>
      </c>
      <c r="H733" s="41">
        <v>3.2116956720657426E-3</v>
      </c>
      <c r="I733" s="40">
        <f t="shared" si="112"/>
        <v>192.67197659590929</v>
      </c>
      <c r="J733" s="40">
        <f t="shared" si="112"/>
        <v>0</v>
      </c>
      <c r="K733" s="36">
        <v>0.27319372417453475</v>
      </c>
      <c r="L733" s="42">
        <f t="shared" si="117"/>
        <v>19991.322604477216</v>
      </c>
      <c r="M733" s="42">
        <f t="shared" si="117"/>
        <v>0</v>
      </c>
      <c r="N733" s="42">
        <f t="shared" si="113"/>
        <v>5461.5038734916907</v>
      </c>
      <c r="O733" s="36">
        <v>3.373169721205902</v>
      </c>
      <c r="P733" s="42">
        <f t="shared" si="114"/>
        <v>6263.8396491601816</v>
      </c>
      <c r="Q733" s="42"/>
      <c r="R733">
        <v>0.49668874172185429</v>
      </c>
      <c r="S733">
        <v>0.8503982665486618</v>
      </c>
    </row>
    <row r="734" spans="1:19" x14ac:dyDescent="0.25">
      <c r="A734" s="40">
        <f t="shared" si="115"/>
        <v>64.229676878151835</v>
      </c>
      <c r="B734" s="40">
        <f t="shared" si="115"/>
        <v>32.933286051621081</v>
      </c>
      <c r="C734" s="41">
        <f t="shared" si="110"/>
        <v>0.49289226185293716</v>
      </c>
      <c r="D734" s="41">
        <f t="shared" si="111"/>
        <v>0.98069361229543572</v>
      </c>
      <c r="E734" s="39">
        <f>IF(_xlfn.NORM.INV(R734,C734,'Regressão Grupo 2'!$B$7)&lt;=0,0,IF(_xlfn.NORM.INV(R734,C734,'Regressão Grupo 2'!$B$7)&gt;100%,100%,_xlfn.NORM.INV(R734,C734,'Regressão Grupo 2'!$B$7)))</f>
        <v>0.7915848519098454</v>
      </c>
      <c r="F734" s="39">
        <f>IF(_xlfn.NORM.INV(S734,D734,'Regressão Grupo 2'!$B$7)&lt;=0,0,IF(_xlfn.NORM.INV(S734,D734,'Regressão Grupo 2'!$B$7)&gt;100%,100%,_xlfn.NORM.INV(S734,D734,'Regressão Grupo 2'!$B$7)))</f>
        <v>1</v>
      </c>
      <c r="G734" s="41">
        <v>2.7228059769874351E-2</v>
      </c>
      <c r="H734" s="41">
        <v>1.68744023535119E-2</v>
      </c>
      <c r="I734" s="40">
        <f t="shared" si="112"/>
        <v>430.879366535043</v>
      </c>
      <c r="J734" s="40">
        <f t="shared" si="112"/>
        <v>0</v>
      </c>
      <c r="K734" s="36">
        <v>0.2336448348680257</v>
      </c>
      <c r="L734" s="42">
        <f t="shared" si="117"/>
        <v>19991.322604477216</v>
      </c>
      <c r="M734" s="42">
        <f t="shared" si="117"/>
        <v>0</v>
      </c>
      <c r="N734" s="42">
        <f t="shared" si="113"/>
        <v>4670.8692687165085</v>
      </c>
      <c r="O734" s="36">
        <v>3.4462504050106713</v>
      </c>
      <c r="P734" s="42">
        <f t="shared" si="114"/>
        <v>21519.455025859919</v>
      </c>
      <c r="Q734" s="42"/>
      <c r="R734">
        <v>0.98461867122409741</v>
      </c>
      <c r="S734">
        <v>0.56776635029145173</v>
      </c>
    </row>
    <row r="735" spans="1:19" x14ac:dyDescent="0.25">
      <c r="A735" s="40">
        <f t="shared" si="115"/>
        <v>64.229676878151835</v>
      </c>
      <c r="B735" s="40">
        <f t="shared" si="115"/>
        <v>32.933286051621081</v>
      </c>
      <c r="C735" s="41">
        <f t="shared" si="110"/>
        <v>0.49289226185293716</v>
      </c>
      <c r="D735" s="41">
        <f t="shared" si="111"/>
        <v>0.98069361229543572</v>
      </c>
      <c r="E735" s="39">
        <f>IF(_xlfn.NORM.INV(R735,C735,'Regressão Grupo 2'!$B$7)&lt;=0,0,IF(_xlfn.NORM.INV(R735,C735,'Regressão Grupo 2'!$B$7)&gt;100%,100%,_xlfn.NORM.INV(R735,C735,'Regressão Grupo 2'!$B$7)))</f>
        <v>0.54451810355922214</v>
      </c>
      <c r="F735" s="39">
        <f>IF(_xlfn.NORM.INV(S735,D735,'Regressão Grupo 2'!$B$7)&lt;=0,0,IF(_xlfn.NORM.INV(S735,D735,'Regressão Grupo 2'!$B$7)&gt;100%,100%,_xlfn.NORM.INV(S735,D735,'Regressão Grupo 2'!$B$7)))</f>
        <v>0.7829293296621922</v>
      </c>
      <c r="G735" s="41">
        <v>1.5302733595993519E-2</v>
      </c>
      <c r="H735" s="41">
        <v>2.6747730717261865E-2</v>
      </c>
      <c r="I735" s="40">
        <f t="shared" si="112"/>
        <v>166.58000413901485</v>
      </c>
      <c r="J735" s="40">
        <f t="shared" si="112"/>
        <v>0</v>
      </c>
      <c r="K735" s="36">
        <v>0.39012734414996586</v>
      </c>
      <c r="L735" s="42">
        <f t="shared" si="117"/>
        <v>19991.322604477216</v>
      </c>
      <c r="M735" s="42">
        <f t="shared" si="117"/>
        <v>0</v>
      </c>
      <c r="N735" s="42">
        <f t="shared" si="113"/>
        <v>7799.1615937298748</v>
      </c>
      <c r="O735" s="36">
        <v>4.2824739412698314</v>
      </c>
      <c r="P735" s="42">
        <f t="shared" si="114"/>
        <v>2186.8437196182922</v>
      </c>
      <c r="Q735" s="42"/>
      <c r="R735">
        <v>0.64555803094576858</v>
      </c>
      <c r="S735">
        <v>7.6326792199468974E-2</v>
      </c>
    </row>
    <row r="736" spans="1:19" x14ac:dyDescent="0.25">
      <c r="A736" s="40">
        <f t="shared" si="115"/>
        <v>64.229676878151835</v>
      </c>
      <c r="B736" s="40">
        <f t="shared" si="115"/>
        <v>32.933286051621081</v>
      </c>
      <c r="C736" s="41">
        <f t="shared" si="110"/>
        <v>0.49289226185293716</v>
      </c>
      <c r="D736" s="41">
        <f t="shared" si="111"/>
        <v>0.98069361229543572</v>
      </c>
      <c r="E736" s="39">
        <f>IF(_xlfn.NORM.INV(R736,C736,'Regressão Grupo 2'!$B$7)&lt;=0,0,IF(_xlfn.NORM.INV(R736,C736,'Regressão Grupo 2'!$B$7)&gt;100%,100%,_xlfn.NORM.INV(R736,C736,'Regressão Grupo 2'!$B$7)))</f>
        <v>0.63841460188522059</v>
      </c>
      <c r="F736" s="39">
        <f>IF(_xlfn.NORM.INV(S736,D736,'Regressão Grupo 2'!$B$7)&lt;=0,0,IF(_xlfn.NORM.INV(S736,D736,'Regressão Grupo 2'!$B$7)&gt;100%,100%,_xlfn.NORM.INV(S736,D736,'Regressão Grupo 2'!$B$7)))</f>
        <v>1</v>
      </c>
      <c r="G736" s="41">
        <v>2.5330721986899903E-2</v>
      </c>
      <c r="H736" s="41">
        <v>1.8637565150617173E-2</v>
      </c>
      <c r="I736" s="40">
        <f t="shared" si="112"/>
        <v>323.28972932870778</v>
      </c>
      <c r="J736" s="40">
        <f t="shared" si="112"/>
        <v>0</v>
      </c>
      <c r="K736" s="36">
        <v>0.30605591681217892</v>
      </c>
      <c r="L736" s="42">
        <f t="shared" si="117"/>
        <v>19991.322604477216</v>
      </c>
      <c r="M736" s="42">
        <f t="shared" si="117"/>
        <v>0</v>
      </c>
      <c r="N736" s="42">
        <f t="shared" si="113"/>
        <v>6118.4625680013105</v>
      </c>
      <c r="O736" s="36">
        <v>8.0753489335653494</v>
      </c>
      <c r="P736" s="42">
        <f t="shared" si="114"/>
        <v>12035.654913839544</v>
      </c>
      <c r="Q736" s="42"/>
      <c r="R736">
        <v>0.85369426557206951</v>
      </c>
      <c r="S736">
        <v>0.62642292550431833</v>
      </c>
    </row>
    <row r="737" spans="1:19" x14ac:dyDescent="0.25">
      <c r="A737" s="40">
        <f t="shared" si="115"/>
        <v>64.229676878151835</v>
      </c>
      <c r="B737" s="40">
        <f t="shared" si="115"/>
        <v>32.933286051621081</v>
      </c>
      <c r="C737" s="41">
        <f t="shared" si="110"/>
        <v>0.49289226185293716</v>
      </c>
      <c r="D737" s="41">
        <f t="shared" si="111"/>
        <v>0.98069361229543572</v>
      </c>
      <c r="E737" s="39">
        <f>IF(_xlfn.NORM.INV(R737,C737,'Regressão Grupo 2'!$B$7)&lt;=0,0,IF(_xlfn.NORM.INV(R737,C737,'Regressão Grupo 2'!$B$7)&gt;100%,100%,_xlfn.NORM.INV(R737,C737,'Regressão Grupo 2'!$B$7)))</f>
        <v>0.51090961666749168</v>
      </c>
      <c r="F737" s="39">
        <f>IF(_xlfn.NORM.INV(S737,D737,'Regressão Grupo 2'!$B$7)&lt;=0,0,IF(_xlfn.NORM.INV(S737,D737,'Regressão Grupo 2'!$B$7)&gt;100%,100%,_xlfn.NORM.INV(S737,D737,'Regressão Grupo 2'!$B$7)))</f>
        <v>1</v>
      </c>
      <c r="G737" s="41">
        <v>1.4209071208255937E-2</v>
      </c>
      <c r="H737" s="41">
        <v>2.2388263011516883E-2</v>
      </c>
      <c r="I737" s="40">
        <f t="shared" si="112"/>
        <v>145.12802848780004</v>
      </c>
      <c r="J737" s="40">
        <f t="shared" si="112"/>
        <v>0</v>
      </c>
      <c r="K737" s="36">
        <v>0.25353410527085907</v>
      </c>
      <c r="L737" s="42">
        <f t="shared" si="117"/>
        <v>19991.322604477216</v>
      </c>
      <c r="M737" s="42">
        <f t="shared" si="117"/>
        <v>0</v>
      </c>
      <c r="N737" s="42">
        <f t="shared" si="113"/>
        <v>5068.4820897072314</v>
      </c>
      <c r="O737" s="36">
        <v>4.5151090981461515</v>
      </c>
      <c r="P737" s="42">
        <f t="shared" si="114"/>
        <v>3597.7754042061006</v>
      </c>
      <c r="Q737" s="42"/>
      <c r="R737">
        <v>0.5518356883449812</v>
      </c>
      <c r="S737">
        <v>0.87041840876491594</v>
      </c>
    </row>
    <row r="738" spans="1:19" x14ac:dyDescent="0.25">
      <c r="A738" s="40">
        <f t="shared" si="115"/>
        <v>64.229676878151835</v>
      </c>
      <c r="B738" s="40">
        <f t="shared" si="115"/>
        <v>32.933286051621081</v>
      </c>
      <c r="C738" s="41">
        <f t="shared" si="110"/>
        <v>0.49289226185293716</v>
      </c>
      <c r="D738" s="41">
        <f t="shared" si="111"/>
        <v>0.98069361229543572</v>
      </c>
      <c r="E738" s="39">
        <f>IF(_xlfn.NORM.INV(R738,C738,'Regressão Grupo 2'!$B$7)&lt;=0,0,IF(_xlfn.NORM.INV(R738,C738,'Regressão Grupo 2'!$B$7)&gt;100%,100%,_xlfn.NORM.INV(R738,C738,'Regressão Grupo 2'!$B$7)))</f>
        <v>0.54734170438891017</v>
      </c>
      <c r="F738" s="39">
        <f>IF(_xlfn.NORM.INV(S738,D738,'Regressão Grupo 2'!$B$7)&lt;=0,0,IF(_xlfn.NORM.INV(S738,D738,'Regressão Grupo 2'!$B$7)&gt;100%,100%,_xlfn.NORM.INV(S738,D738,'Regressão Grupo 2'!$B$7)))</f>
        <v>0.98795865648705183</v>
      </c>
      <c r="G738" s="41">
        <v>2.0089302652145188E-2</v>
      </c>
      <c r="H738" s="41">
        <v>1.5368695199193129E-2</v>
      </c>
      <c r="I738" s="40">
        <f t="shared" si="112"/>
        <v>219.81884892010706</v>
      </c>
      <c r="J738" s="40">
        <f t="shared" si="112"/>
        <v>0</v>
      </c>
      <c r="K738" s="36">
        <v>0.20965812007062823</v>
      </c>
      <c r="L738" s="42">
        <f t="shared" si="117"/>
        <v>19991.322604477216</v>
      </c>
      <c r="M738" s="42">
        <f t="shared" si="117"/>
        <v>0</v>
      </c>
      <c r="N738" s="42">
        <f t="shared" si="113"/>
        <v>4191.3431149801481</v>
      </c>
      <c r="O738" s="36">
        <v>6.199809844088132</v>
      </c>
      <c r="P738" s="42">
        <f t="shared" si="114"/>
        <v>8564.715459434603</v>
      </c>
      <c r="Q738" s="42"/>
      <c r="R738">
        <v>0.65312662129581589</v>
      </c>
      <c r="S738">
        <v>0.52095095675527203</v>
      </c>
    </row>
    <row r="739" spans="1:19" x14ac:dyDescent="0.25">
      <c r="A739" s="40">
        <f t="shared" si="115"/>
        <v>64.229676878151835</v>
      </c>
      <c r="B739" s="40">
        <f t="shared" si="115"/>
        <v>32.933286051621081</v>
      </c>
      <c r="C739" s="41">
        <f t="shared" si="110"/>
        <v>0.49289226185293716</v>
      </c>
      <c r="D739" s="41">
        <f t="shared" si="111"/>
        <v>0.98069361229543572</v>
      </c>
      <c r="E739" s="39">
        <f>IF(_xlfn.NORM.INV(R739,C739,'Regressão Grupo 2'!$B$7)&lt;=0,0,IF(_xlfn.NORM.INV(R739,C739,'Regressão Grupo 2'!$B$7)&gt;100%,100%,_xlfn.NORM.INV(R739,C739,'Regressão Grupo 2'!$B$7)))</f>
        <v>0.4846313281606926</v>
      </c>
      <c r="F739" s="39">
        <f>IF(_xlfn.NORM.INV(S739,D739,'Regressão Grupo 2'!$B$7)&lt;=0,0,IF(_xlfn.NORM.INV(S739,D739,'Regressão Grupo 2'!$B$7)&gt;100%,100%,_xlfn.NORM.INV(S739,D739,'Regressão Grupo 2'!$B$7)))</f>
        <v>1</v>
      </c>
      <c r="G739" s="41">
        <v>1.8990156447201551E-2</v>
      </c>
      <c r="H739" s="41">
        <v>2.7578008100808269E-2</v>
      </c>
      <c r="I739" s="40">
        <f t="shared" si="112"/>
        <v>183.98463479856994</v>
      </c>
      <c r="J739" s="40">
        <f t="shared" si="112"/>
        <v>0</v>
      </c>
      <c r="K739" s="36">
        <v>0.33101403521519757</v>
      </c>
      <c r="L739" s="42">
        <f t="shared" si="117"/>
        <v>19991.322604477216</v>
      </c>
      <c r="M739" s="42">
        <f t="shared" si="117"/>
        <v>0</v>
      </c>
      <c r="N739" s="42">
        <f t="shared" si="113"/>
        <v>6617.4083645967967</v>
      </c>
      <c r="O739" s="36">
        <v>4.6610595245068733</v>
      </c>
      <c r="P739" s="42">
        <f t="shared" si="114"/>
        <v>4342.301944669327</v>
      </c>
      <c r="Q739" s="42"/>
      <c r="R739">
        <v>0.4761803033539842</v>
      </c>
      <c r="S739">
        <v>0.81472212897122109</v>
      </c>
    </row>
    <row r="740" spans="1:19" x14ac:dyDescent="0.25">
      <c r="A740" s="40">
        <f t="shared" si="115"/>
        <v>64.229676878151835</v>
      </c>
      <c r="B740" s="40">
        <f t="shared" si="115"/>
        <v>32.933286051621081</v>
      </c>
      <c r="C740" s="41">
        <f t="shared" si="110"/>
        <v>0.49289226185293716</v>
      </c>
      <c r="D740" s="41">
        <f t="shared" si="111"/>
        <v>0.98069361229543572</v>
      </c>
      <c r="E740" s="39">
        <f>IF(_xlfn.NORM.INV(R740,C740,'Regressão Grupo 2'!$B$7)&lt;=0,0,IF(_xlfn.NORM.INV(R740,C740,'Regressão Grupo 2'!$B$7)&gt;100%,100%,_xlfn.NORM.INV(R740,C740,'Regressão Grupo 2'!$B$7)))</f>
        <v>0.259014545339672</v>
      </c>
      <c r="F740" s="39">
        <f>IF(_xlfn.NORM.INV(S740,D740,'Regressão Grupo 2'!$B$7)&lt;=0,0,IF(_xlfn.NORM.INV(S740,D740,'Regressão Grupo 2'!$B$7)&gt;100%,100%,_xlfn.NORM.INV(S740,D740,'Regressão Grupo 2'!$B$7)))</f>
        <v>0.99379270593373226</v>
      </c>
      <c r="G740" s="41">
        <v>1.152145316932437E-2</v>
      </c>
      <c r="H740" s="41">
        <v>2.1479172502191703E-2</v>
      </c>
      <c r="I740" s="40">
        <f t="shared" si="112"/>
        <v>59.658583794517419</v>
      </c>
      <c r="J740" s="40">
        <f t="shared" si="112"/>
        <v>0</v>
      </c>
      <c r="K740" s="36">
        <v>0.25306647603115034</v>
      </c>
      <c r="L740" s="42">
        <f t="shared" si="117"/>
        <v>19991.322604477216</v>
      </c>
      <c r="M740" s="42">
        <f t="shared" si="117"/>
        <v>0</v>
      </c>
      <c r="N740" s="42">
        <f t="shared" si="113"/>
        <v>5059.1335627169274</v>
      </c>
      <c r="O740" s="36">
        <v>6.8883094929181601</v>
      </c>
      <c r="P740" s="42">
        <f t="shared" si="114"/>
        <v>-1638.228791672756</v>
      </c>
      <c r="Q740" s="42"/>
      <c r="R740">
        <v>4.5381023590807826E-2</v>
      </c>
      <c r="S740">
        <v>0.53773613696707057</v>
      </c>
    </row>
    <row r="741" spans="1:19" x14ac:dyDescent="0.25">
      <c r="A741" s="40">
        <f t="shared" si="115"/>
        <v>64.229676878151835</v>
      </c>
      <c r="B741" s="40">
        <f t="shared" si="115"/>
        <v>32.933286051621081</v>
      </c>
      <c r="C741" s="41">
        <f t="shared" si="110"/>
        <v>0.49289226185293716</v>
      </c>
      <c r="D741" s="41">
        <f t="shared" si="111"/>
        <v>0.98069361229543572</v>
      </c>
      <c r="E741" s="39">
        <f>IF(_xlfn.NORM.INV(R741,C741,'Regressão Grupo 2'!$B$7)&lt;=0,0,IF(_xlfn.NORM.INV(R741,C741,'Regressão Grupo 2'!$B$7)&gt;100%,100%,_xlfn.NORM.INV(R741,C741,'Regressão Grupo 2'!$B$7)))</f>
        <v>0.39416525558478444</v>
      </c>
      <c r="F741" s="39">
        <f>IF(_xlfn.NORM.INV(S741,D741,'Regressão Grupo 2'!$B$7)&lt;=0,0,IF(_xlfn.NORM.INV(S741,D741,'Regressão Grupo 2'!$B$7)&gt;100%,100%,_xlfn.NORM.INV(S741,D741,'Regressão Grupo 2'!$B$7)))</f>
        <v>1</v>
      </c>
      <c r="G741" s="41">
        <v>1.3773683611769278E-2</v>
      </c>
      <c r="H741" s="41">
        <v>2.1345405268645489E-2</v>
      </c>
      <c r="I741" s="40">
        <f t="shared" si="112"/>
        <v>108.5350399102429</v>
      </c>
      <c r="J741" s="40">
        <f t="shared" si="112"/>
        <v>0</v>
      </c>
      <c r="K741" s="36">
        <v>0.16610065829920223</v>
      </c>
      <c r="L741" s="42">
        <f t="shared" si="117"/>
        <v>19991.322604477216</v>
      </c>
      <c r="M741" s="42">
        <f t="shared" si="117"/>
        <v>0</v>
      </c>
      <c r="N741" s="42">
        <f t="shared" si="113"/>
        <v>3320.5718448753878</v>
      </c>
      <c r="O741" s="36">
        <v>4.0823853926932543</v>
      </c>
      <c r="P741" s="42">
        <f t="shared" si="114"/>
        <v>3207.5168369918729</v>
      </c>
      <c r="Q741" s="42"/>
      <c r="R741">
        <v>0.23761711478011413</v>
      </c>
      <c r="S741">
        <v>0.91717276528214364</v>
      </c>
    </row>
    <row r="742" spans="1:19" x14ac:dyDescent="0.25">
      <c r="A742" s="40">
        <f t="shared" si="115"/>
        <v>64.229676878151835</v>
      </c>
      <c r="B742" s="40">
        <f t="shared" si="115"/>
        <v>32.933286051621081</v>
      </c>
      <c r="C742" s="41">
        <f t="shared" si="110"/>
        <v>0.49289226185293716</v>
      </c>
      <c r="D742" s="41">
        <f t="shared" si="111"/>
        <v>0.98069361229543572</v>
      </c>
      <c r="E742" s="39">
        <f>IF(_xlfn.NORM.INV(R742,C742,'Regressão Grupo 2'!$B$7)&lt;=0,0,IF(_xlfn.NORM.INV(R742,C742,'Regressão Grupo 2'!$B$7)&gt;100%,100%,_xlfn.NORM.INV(R742,C742,'Regressão Grupo 2'!$B$7)))</f>
        <v>0.32386742242468347</v>
      </c>
      <c r="F742" s="39">
        <f>IF(_xlfn.NORM.INV(S742,D742,'Regressão Grupo 2'!$B$7)&lt;=0,0,IF(_xlfn.NORM.INV(S742,D742,'Regressão Grupo 2'!$B$7)&gt;100%,100%,_xlfn.NORM.INV(S742,D742,'Regressão Grupo 2'!$B$7)))</f>
        <v>1</v>
      </c>
      <c r="G742" s="41">
        <v>9.8955607460358263E-3</v>
      </c>
      <c r="H742" s="41">
        <v>2.2917253247407784E-2</v>
      </c>
      <c r="I742" s="40">
        <f t="shared" si="112"/>
        <v>64.06918529641851</v>
      </c>
      <c r="J742" s="40">
        <f t="shared" si="112"/>
        <v>0</v>
      </c>
      <c r="K742" s="36">
        <v>0.25556286594076555</v>
      </c>
      <c r="L742" s="42">
        <f t="shared" si="117"/>
        <v>19991.322604477216</v>
      </c>
      <c r="M742" s="42">
        <f t="shared" si="117"/>
        <v>0</v>
      </c>
      <c r="N742" s="42">
        <f t="shared" si="113"/>
        <v>5109.0396987466065</v>
      </c>
      <c r="O742" s="36">
        <v>6.3536710247997377</v>
      </c>
      <c r="P742" s="42">
        <f t="shared" si="114"/>
        <v>-1400.9711555115887</v>
      </c>
      <c r="Q742" s="42"/>
      <c r="R742">
        <v>0.11078218939786981</v>
      </c>
      <c r="S742">
        <v>0.62388988921781063</v>
      </c>
    </row>
    <row r="743" spans="1:19" x14ac:dyDescent="0.25">
      <c r="A743" s="40">
        <f t="shared" si="115"/>
        <v>64.229676878151835</v>
      </c>
      <c r="B743" s="40">
        <f t="shared" si="115"/>
        <v>32.933286051621081</v>
      </c>
      <c r="C743" s="41">
        <f t="shared" si="110"/>
        <v>0.49289226185293716</v>
      </c>
      <c r="D743" s="41">
        <f t="shared" si="111"/>
        <v>0.98069361229543572</v>
      </c>
      <c r="E743" s="39">
        <f>IF(_xlfn.NORM.INV(R743,C743,'Regressão Grupo 2'!$B$7)&lt;=0,0,IF(_xlfn.NORM.INV(R743,C743,'Regressão Grupo 2'!$B$7)&gt;100%,100%,_xlfn.NORM.INV(R743,C743,'Regressão Grupo 2'!$B$7)))</f>
        <v>0.69789557058560414</v>
      </c>
      <c r="F743" s="39">
        <f>IF(_xlfn.NORM.INV(S743,D743,'Regressão Grupo 2'!$B$7)&lt;=0,0,IF(_xlfn.NORM.INV(S743,D743,'Regressão Grupo 2'!$B$7)&gt;100%,100%,_xlfn.NORM.INV(S743,D743,'Regressão Grupo 2'!$B$7)))</f>
        <v>1</v>
      </c>
      <c r="G743" s="41">
        <v>2.1881847699606476E-2</v>
      </c>
      <c r="H743" s="41">
        <v>1.4195266866321936E-2</v>
      </c>
      <c r="I743" s="40">
        <f t="shared" si="112"/>
        <v>305.29237708628705</v>
      </c>
      <c r="J743" s="40">
        <f t="shared" si="112"/>
        <v>0</v>
      </c>
      <c r="K743" s="36">
        <v>0.24862658854823497</v>
      </c>
      <c r="L743" s="42">
        <f t="shared" ref="L743:M758" si="118">L742</f>
        <v>19991.322604477216</v>
      </c>
      <c r="M743" s="42">
        <f t="shared" si="118"/>
        <v>0</v>
      </c>
      <c r="N743" s="42">
        <f t="shared" si="113"/>
        <v>4970.3743397183862</v>
      </c>
      <c r="O743" s="36">
        <v>4.9690837170607969</v>
      </c>
      <c r="P743" s="42">
        <f t="shared" si="114"/>
        <v>13121.43301397446</v>
      </c>
      <c r="Q743" s="42"/>
      <c r="R743">
        <v>0.93090609454634232</v>
      </c>
      <c r="S743">
        <v>0.58568071535386212</v>
      </c>
    </row>
    <row r="744" spans="1:19" x14ac:dyDescent="0.25">
      <c r="A744" s="40">
        <f t="shared" si="115"/>
        <v>64.229676878151835</v>
      </c>
      <c r="B744" s="40">
        <f t="shared" si="115"/>
        <v>32.933286051621081</v>
      </c>
      <c r="C744" s="41">
        <f t="shared" si="110"/>
        <v>0.49289226185293716</v>
      </c>
      <c r="D744" s="41">
        <f t="shared" si="111"/>
        <v>0.98069361229543572</v>
      </c>
      <c r="E744" s="39">
        <f>IF(_xlfn.NORM.INV(R744,C744,'Regressão Grupo 2'!$B$7)&lt;=0,0,IF(_xlfn.NORM.INV(R744,C744,'Regressão Grupo 2'!$B$7)&gt;100%,100%,_xlfn.NORM.INV(R744,C744,'Regressão Grupo 2'!$B$7)))</f>
        <v>0.26494274465091855</v>
      </c>
      <c r="F744" s="39">
        <f>IF(_xlfn.NORM.INV(S744,D744,'Regressão Grupo 2'!$B$7)&lt;=0,0,IF(_xlfn.NORM.INV(S744,D744,'Regressão Grupo 2'!$B$7)&gt;100%,100%,_xlfn.NORM.INV(S744,D744,'Regressão Grupo 2'!$B$7)))</f>
        <v>0.94763766441232244</v>
      </c>
      <c r="G744" s="41">
        <v>1.0969510239558668E-2</v>
      </c>
      <c r="H744" s="41">
        <v>2.4001458881832936E-2</v>
      </c>
      <c r="I744" s="40">
        <f t="shared" si="112"/>
        <v>58.100623960407262</v>
      </c>
      <c r="J744" s="40">
        <f t="shared" si="112"/>
        <v>0</v>
      </c>
      <c r="K744" s="36">
        <v>0.27216627928304649</v>
      </c>
      <c r="L744" s="42">
        <f t="shared" si="118"/>
        <v>19991.322604477216</v>
      </c>
      <c r="M744" s="42">
        <f t="shared" si="118"/>
        <v>0</v>
      </c>
      <c r="N744" s="42">
        <f t="shared" si="113"/>
        <v>5440.9638912076261</v>
      </c>
      <c r="O744" s="36">
        <v>5.3430179943157148</v>
      </c>
      <c r="P744" s="42">
        <f t="shared" si="114"/>
        <v>-2019.6122671130879</v>
      </c>
      <c r="Q744" s="42"/>
      <c r="R744">
        <v>4.9623096407971433E-2</v>
      </c>
      <c r="S744">
        <v>0.40552995391705071</v>
      </c>
    </row>
    <row r="745" spans="1:19" x14ac:dyDescent="0.25">
      <c r="A745" s="40">
        <f t="shared" si="115"/>
        <v>64.229676878151835</v>
      </c>
      <c r="B745" s="40">
        <f t="shared" si="115"/>
        <v>32.933286051621081</v>
      </c>
      <c r="C745" s="41">
        <f t="shared" si="110"/>
        <v>0.49289226185293716</v>
      </c>
      <c r="D745" s="41">
        <f t="shared" si="111"/>
        <v>0.98069361229543572</v>
      </c>
      <c r="E745" s="39">
        <f>IF(_xlfn.NORM.INV(R745,C745,'Regressão Grupo 2'!$B$7)&lt;=0,0,IF(_xlfn.NORM.INV(R745,C745,'Regressão Grupo 2'!$B$7)&gt;100%,100%,_xlfn.NORM.INV(R745,C745,'Regressão Grupo 2'!$B$7)))</f>
        <v>0.49168108103447705</v>
      </c>
      <c r="F745" s="39">
        <f>IF(_xlfn.NORM.INV(S745,D745,'Regressão Grupo 2'!$B$7)&lt;=0,0,IF(_xlfn.NORM.INV(S745,D745,'Regressão Grupo 2'!$B$7)&gt;100%,100%,_xlfn.NORM.INV(S745,D745,'Regressão Grupo 2'!$B$7)))</f>
        <v>0.74194094052265847</v>
      </c>
      <c r="G745" s="41">
        <v>8.9233314942035145E-3</v>
      </c>
      <c r="H745" s="41">
        <v>1.1696460124797962E-2</v>
      </c>
      <c r="I745" s="40">
        <f t="shared" si="112"/>
        <v>87.71059401611825</v>
      </c>
      <c r="J745" s="40">
        <f t="shared" si="112"/>
        <v>0</v>
      </c>
      <c r="K745" s="36">
        <v>0.1337296686038926</v>
      </c>
      <c r="L745" s="42">
        <f t="shared" si="118"/>
        <v>19991.322604477216</v>
      </c>
      <c r="M745" s="42">
        <f t="shared" si="118"/>
        <v>0</v>
      </c>
      <c r="N745" s="42">
        <f t="shared" si="113"/>
        <v>2673.4329468502451</v>
      </c>
      <c r="O745" s="36">
        <v>4.715837200815967</v>
      </c>
      <c r="P745" s="42">
        <f t="shared" si="114"/>
        <v>2546.5612834289109</v>
      </c>
      <c r="Q745" s="42"/>
      <c r="R745">
        <v>0.49650563066499831</v>
      </c>
      <c r="S745">
        <v>4.2115543076876129E-2</v>
      </c>
    </row>
    <row r="746" spans="1:19" x14ac:dyDescent="0.25">
      <c r="A746" s="40">
        <f t="shared" si="115"/>
        <v>64.229676878151835</v>
      </c>
      <c r="B746" s="40">
        <f t="shared" si="115"/>
        <v>32.933286051621081</v>
      </c>
      <c r="C746" s="41">
        <f t="shared" si="110"/>
        <v>0.49289226185293716</v>
      </c>
      <c r="D746" s="41">
        <f t="shared" si="111"/>
        <v>0.98069361229543572</v>
      </c>
      <c r="E746" s="39">
        <f>IF(_xlfn.NORM.INV(R746,C746,'Regressão Grupo 2'!$B$7)&lt;=0,0,IF(_xlfn.NORM.INV(R746,C746,'Regressão Grupo 2'!$B$7)&gt;100%,100%,_xlfn.NORM.INV(R746,C746,'Regressão Grupo 2'!$B$7)))</f>
        <v>0.51594731323873866</v>
      </c>
      <c r="F746" s="39">
        <f>IF(_xlfn.NORM.INV(S746,D746,'Regressão Grupo 2'!$B$7)&lt;=0,0,IF(_xlfn.NORM.INV(S746,D746,'Regressão Grupo 2'!$B$7)&gt;100%,100%,_xlfn.NORM.INV(S746,D746,'Regressão Grupo 2'!$B$7)))</f>
        <v>0.84372608495450796</v>
      </c>
      <c r="G746" s="41">
        <v>9.1402004828053541E-3</v>
      </c>
      <c r="H746" s="41">
        <v>2.5558909565823122E-2</v>
      </c>
      <c r="I746" s="40">
        <f t="shared" si="112"/>
        <v>94.276316232559722</v>
      </c>
      <c r="J746" s="40">
        <f t="shared" si="112"/>
        <v>0</v>
      </c>
      <c r="K746" s="36">
        <v>0.40475298520258063</v>
      </c>
      <c r="L746" s="42">
        <f t="shared" si="118"/>
        <v>19991.322604477216</v>
      </c>
      <c r="M746" s="42">
        <f t="shared" si="118"/>
        <v>0</v>
      </c>
      <c r="N746" s="42">
        <f t="shared" si="113"/>
        <v>8091.5475023099825</v>
      </c>
      <c r="O746" s="36">
        <v>7.6457595319949467</v>
      </c>
      <c r="P746" s="42">
        <f t="shared" si="114"/>
        <v>-2757.0242169066742</v>
      </c>
      <c r="Q746" s="42"/>
      <c r="R746">
        <v>0.56620990630817591</v>
      </c>
      <c r="S746">
        <v>0.1609546189764092</v>
      </c>
    </row>
    <row r="747" spans="1:19" x14ac:dyDescent="0.25">
      <c r="A747" s="40">
        <f t="shared" si="115"/>
        <v>64.229676878151835</v>
      </c>
      <c r="B747" s="40">
        <f t="shared" si="115"/>
        <v>32.933286051621081</v>
      </c>
      <c r="C747" s="41">
        <f t="shared" si="110"/>
        <v>0.49289226185293716</v>
      </c>
      <c r="D747" s="41">
        <f t="shared" si="111"/>
        <v>0.98069361229543572</v>
      </c>
      <c r="E747" s="39">
        <f>IF(_xlfn.NORM.INV(R747,C747,'Regressão Grupo 2'!$B$7)&lt;=0,0,IF(_xlfn.NORM.INV(R747,C747,'Regressão Grupo 2'!$B$7)&gt;100%,100%,_xlfn.NORM.INV(R747,C747,'Regressão Grupo 2'!$B$7)))</f>
        <v>0.46714045381359115</v>
      </c>
      <c r="F747" s="39">
        <f>IF(_xlfn.NORM.INV(S747,D747,'Regressão Grupo 2'!$B$7)&lt;=0,0,IF(_xlfn.NORM.INV(S747,D747,'Regressão Grupo 2'!$B$7)&gt;100%,100%,_xlfn.NORM.INV(S747,D747,'Regressão Grupo 2'!$B$7)))</f>
        <v>0.92042202334459899</v>
      </c>
      <c r="G747" s="41">
        <v>1.0578006152072789E-2</v>
      </c>
      <c r="H747" s="41">
        <v>1.3356835642619162E-2</v>
      </c>
      <c r="I747" s="40">
        <f t="shared" si="112"/>
        <v>98.785413277567841</v>
      </c>
      <c r="J747" s="40">
        <f t="shared" si="112"/>
        <v>0</v>
      </c>
      <c r="K747" s="36">
        <v>0.19214499835444529</v>
      </c>
      <c r="L747" s="42">
        <f t="shared" si="118"/>
        <v>19991.322604477216</v>
      </c>
      <c r="M747" s="42">
        <f t="shared" si="118"/>
        <v>0</v>
      </c>
      <c r="N747" s="42">
        <f t="shared" si="113"/>
        <v>3841.2326489404595</v>
      </c>
      <c r="O747" s="36">
        <v>3.5434645423597786</v>
      </c>
      <c r="P747" s="42">
        <f t="shared" si="114"/>
        <v>2153.6799169009946</v>
      </c>
      <c r="Q747" s="42"/>
      <c r="R747">
        <v>0.42612994781334879</v>
      </c>
      <c r="S747">
        <v>0.33146153141880552</v>
      </c>
    </row>
    <row r="748" spans="1:19" x14ac:dyDescent="0.25">
      <c r="A748" s="40">
        <f t="shared" si="115"/>
        <v>64.229676878151835</v>
      </c>
      <c r="B748" s="40">
        <f t="shared" si="115"/>
        <v>32.933286051621081</v>
      </c>
      <c r="C748" s="41">
        <f t="shared" si="110"/>
        <v>0.49289226185293716</v>
      </c>
      <c r="D748" s="41">
        <f t="shared" si="111"/>
        <v>0.98069361229543572</v>
      </c>
      <c r="E748" s="39">
        <f>IF(_xlfn.NORM.INV(R748,C748,'Regressão Grupo 2'!$B$7)&lt;=0,0,IF(_xlfn.NORM.INV(R748,C748,'Regressão Grupo 2'!$B$7)&gt;100%,100%,_xlfn.NORM.INV(R748,C748,'Regressão Grupo 2'!$B$7)))</f>
        <v>0.48091904228329163</v>
      </c>
      <c r="F748" s="39">
        <f>IF(_xlfn.NORM.INV(S748,D748,'Regressão Grupo 2'!$B$7)&lt;=0,0,IF(_xlfn.NORM.INV(S748,D748,'Regressão Grupo 2'!$B$7)&gt;100%,100%,_xlfn.NORM.INV(S748,D748,'Regressão Grupo 2'!$B$7)))</f>
        <v>0.8405101537343288</v>
      </c>
      <c r="G748" s="41">
        <v>3.1432761773758128E-3</v>
      </c>
      <c r="H748" s="41">
        <v>1.2195481841080352E-2</v>
      </c>
      <c r="I748" s="40">
        <f t="shared" si="112"/>
        <v>30.220110093515167</v>
      </c>
      <c r="J748" s="40">
        <f t="shared" si="112"/>
        <v>0</v>
      </c>
      <c r="K748" s="36">
        <v>0.34020497935274319</v>
      </c>
      <c r="L748" s="42">
        <f t="shared" si="118"/>
        <v>19991.322604477216</v>
      </c>
      <c r="M748" s="42">
        <f t="shared" si="118"/>
        <v>0</v>
      </c>
      <c r="N748" s="42">
        <f t="shared" si="113"/>
        <v>6801.1474938901993</v>
      </c>
      <c r="O748" s="36">
        <v>4.8410321652022592</v>
      </c>
      <c r="P748" s="42">
        <f t="shared" si="114"/>
        <v>-5006.4161123602053</v>
      </c>
      <c r="Q748" s="42"/>
      <c r="R748">
        <v>0.46549882503738516</v>
      </c>
      <c r="S748">
        <v>0.15533921323282571</v>
      </c>
    </row>
    <row r="749" spans="1:19" x14ac:dyDescent="0.25">
      <c r="A749" s="40">
        <f t="shared" si="115"/>
        <v>64.229676878151835</v>
      </c>
      <c r="B749" s="40">
        <f t="shared" si="115"/>
        <v>32.933286051621081</v>
      </c>
      <c r="C749" s="41">
        <f t="shared" si="110"/>
        <v>0.49289226185293716</v>
      </c>
      <c r="D749" s="41">
        <f t="shared" si="111"/>
        <v>0.98069361229543572</v>
      </c>
      <c r="E749" s="39">
        <f>IF(_xlfn.NORM.INV(R749,C749,'Regressão Grupo 2'!$B$7)&lt;=0,0,IF(_xlfn.NORM.INV(R749,C749,'Regressão Grupo 2'!$B$7)&gt;100%,100%,_xlfn.NORM.INV(R749,C749,'Regressão Grupo 2'!$B$7)))</f>
        <v>0.45203001986575819</v>
      </c>
      <c r="F749" s="39">
        <f>IF(_xlfn.NORM.INV(S749,D749,'Regressão Grupo 2'!$B$7)&lt;=0,0,IF(_xlfn.NORM.INV(S749,D749,'Regressão Grupo 2'!$B$7)&gt;100%,100%,_xlfn.NORM.INV(S749,D749,'Regressão Grupo 2'!$B$7)))</f>
        <v>1</v>
      </c>
      <c r="G749" s="41">
        <v>1.6962386734878772E-2</v>
      </c>
      <c r="H749" s="41">
        <v>1.2056610329851175E-2</v>
      </c>
      <c r="I749" s="40">
        <f t="shared" si="112"/>
        <v>153.28362625505784</v>
      </c>
      <c r="J749" s="40">
        <f t="shared" si="112"/>
        <v>0</v>
      </c>
      <c r="K749" s="36">
        <v>0.30116656297386379</v>
      </c>
      <c r="L749" s="42">
        <f t="shared" si="118"/>
        <v>19991.322604477216</v>
      </c>
      <c r="M749" s="42">
        <f t="shared" si="118"/>
        <v>0</v>
      </c>
      <c r="N749" s="42">
        <f t="shared" si="113"/>
        <v>6020.7179180921139</v>
      </c>
      <c r="O749" s="36">
        <v>4.9579545447917397</v>
      </c>
      <c r="P749" s="42">
        <f t="shared" si="114"/>
        <v>3064.6666155482199</v>
      </c>
      <c r="Q749" s="42"/>
      <c r="R749">
        <v>0.38380077517014072</v>
      </c>
      <c r="S749">
        <v>0.58320871608630631</v>
      </c>
    </row>
    <row r="750" spans="1:19" x14ac:dyDescent="0.25">
      <c r="A750" s="40">
        <f t="shared" si="115"/>
        <v>64.229676878151835</v>
      </c>
      <c r="B750" s="40">
        <f t="shared" si="115"/>
        <v>32.933286051621081</v>
      </c>
      <c r="C750" s="41">
        <f t="shared" si="110"/>
        <v>0.49289226185293716</v>
      </c>
      <c r="D750" s="41">
        <f t="shared" si="111"/>
        <v>0.98069361229543572</v>
      </c>
      <c r="E750" s="39">
        <f>IF(_xlfn.NORM.INV(R750,C750,'Regressão Grupo 2'!$B$7)&lt;=0,0,IF(_xlfn.NORM.INV(R750,C750,'Regressão Grupo 2'!$B$7)&gt;100%,100%,_xlfn.NORM.INV(R750,C750,'Regressão Grupo 2'!$B$7)))</f>
        <v>0.49087710759268388</v>
      </c>
      <c r="F750" s="39">
        <f>IF(_xlfn.NORM.INV(S750,D750,'Regressão Grupo 2'!$B$7)&lt;=0,0,IF(_xlfn.NORM.INV(S750,D750,'Regressão Grupo 2'!$B$7)&gt;100%,100%,_xlfn.NORM.INV(S750,D750,'Regressão Grupo 2'!$B$7)))</f>
        <v>0.88428671159620986</v>
      </c>
      <c r="G750" s="41">
        <v>1.891942156534519E-2</v>
      </c>
      <c r="H750" s="41">
        <v>1.5275744095704789E-2</v>
      </c>
      <c r="I750" s="40">
        <f t="shared" si="112"/>
        <v>185.6616307716161</v>
      </c>
      <c r="J750" s="40">
        <f t="shared" si="112"/>
        <v>0</v>
      </c>
      <c r="K750" s="36">
        <v>0.2979556383278551</v>
      </c>
      <c r="L750" s="42">
        <f t="shared" si="118"/>
        <v>19991.322604477216</v>
      </c>
      <c r="M750" s="42">
        <f t="shared" si="118"/>
        <v>0</v>
      </c>
      <c r="N750" s="42">
        <f t="shared" si="113"/>
        <v>5956.5272876350873</v>
      </c>
      <c r="O750" s="36">
        <v>9.2467757023664063</v>
      </c>
      <c r="P750" s="42">
        <f t="shared" si="114"/>
        <v>4251.6878092158431</v>
      </c>
      <c r="Q750" s="42"/>
      <c r="R750">
        <v>0.49418622394482253</v>
      </c>
      <c r="S750">
        <v>0.24283577990050967</v>
      </c>
    </row>
    <row r="751" spans="1:19" x14ac:dyDescent="0.25">
      <c r="A751" s="40">
        <f t="shared" si="115"/>
        <v>64.229676878151835</v>
      </c>
      <c r="B751" s="40">
        <f t="shared" si="115"/>
        <v>32.933286051621081</v>
      </c>
      <c r="C751" s="41">
        <f t="shared" si="110"/>
        <v>0.49289226185293716</v>
      </c>
      <c r="D751" s="41">
        <f t="shared" si="111"/>
        <v>0.98069361229543572</v>
      </c>
      <c r="E751" s="39">
        <f>IF(_xlfn.NORM.INV(R751,C751,'Regressão Grupo 2'!$B$7)&lt;=0,0,IF(_xlfn.NORM.INV(R751,C751,'Regressão Grupo 2'!$B$7)&gt;100%,100%,_xlfn.NORM.INV(R751,C751,'Regressão Grupo 2'!$B$7)))</f>
        <v>0.22033184460047284</v>
      </c>
      <c r="F751" s="39">
        <f>IF(_xlfn.NORM.INV(S751,D751,'Regressão Grupo 2'!$B$7)&lt;=0,0,IF(_xlfn.NORM.INV(S751,D751,'Regressão Grupo 2'!$B$7)&gt;100%,100%,_xlfn.NORM.INV(S751,D751,'Regressão Grupo 2'!$B$7)))</f>
        <v>1</v>
      </c>
      <c r="G751" s="41">
        <v>2.011107411448057E-2</v>
      </c>
      <c r="H751" s="41">
        <v>2.5934002987569545E-2</v>
      </c>
      <c r="I751" s="40">
        <f t="shared" si="112"/>
        <v>88.583750636240907</v>
      </c>
      <c r="J751" s="40">
        <f t="shared" si="112"/>
        <v>0</v>
      </c>
      <c r="K751" s="36">
        <v>0.2802360057715696</v>
      </c>
      <c r="L751" s="42">
        <f t="shared" si="118"/>
        <v>19991.322604477216</v>
      </c>
      <c r="M751" s="42">
        <f t="shared" si="118"/>
        <v>0</v>
      </c>
      <c r="N751" s="42">
        <f t="shared" si="113"/>
        <v>5602.2883967695871</v>
      </c>
      <c r="O751" s="36">
        <v>5.4034786163550477</v>
      </c>
      <c r="P751" s="42">
        <f t="shared" si="114"/>
        <v>-391.24311906851199</v>
      </c>
      <c r="Q751" s="42"/>
      <c r="R751">
        <v>2.4353770561845761E-2</v>
      </c>
      <c r="S751">
        <v>0.68099002044740131</v>
      </c>
    </row>
    <row r="752" spans="1:19" x14ac:dyDescent="0.25">
      <c r="A752" s="40">
        <f t="shared" si="115"/>
        <v>64.229676878151835</v>
      </c>
      <c r="B752" s="40">
        <f t="shared" si="115"/>
        <v>32.933286051621081</v>
      </c>
      <c r="C752" s="41">
        <f t="shared" si="110"/>
        <v>0.49289226185293716</v>
      </c>
      <c r="D752" s="41">
        <f t="shared" si="111"/>
        <v>0.98069361229543572</v>
      </c>
      <c r="E752" s="39">
        <f>IF(_xlfn.NORM.INV(R752,C752,'Regressão Grupo 2'!$B$7)&lt;=0,0,IF(_xlfn.NORM.INV(R752,C752,'Regressão Grupo 2'!$B$7)&gt;100%,100%,_xlfn.NORM.INV(R752,C752,'Regressão Grupo 2'!$B$7)))</f>
        <v>0.73038677638850458</v>
      </c>
      <c r="F752" s="39">
        <f>IF(_xlfn.NORM.INV(S752,D752,'Regressão Grupo 2'!$B$7)&lt;=0,0,IF(_xlfn.NORM.INV(S752,D752,'Regressão Grupo 2'!$B$7)&gt;100%,100%,_xlfn.NORM.INV(S752,D752,'Regressão Grupo 2'!$B$7)))</f>
        <v>0.83288779738734031</v>
      </c>
      <c r="G752" s="41">
        <v>2.6774889406725417E-2</v>
      </c>
      <c r="H752" s="41">
        <v>1.2616528945601198E-2</v>
      </c>
      <c r="I752" s="40">
        <f t="shared" si="112"/>
        <v>390.95080787355425</v>
      </c>
      <c r="J752" s="40">
        <f t="shared" si="112"/>
        <v>0</v>
      </c>
      <c r="K752" s="36">
        <v>0.32545776292486289</v>
      </c>
      <c r="L752" s="42">
        <f t="shared" si="118"/>
        <v>19991.322604477216</v>
      </c>
      <c r="M752" s="42">
        <f t="shared" si="118"/>
        <v>0</v>
      </c>
      <c r="N752" s="42">
        <f t="shared" si="113"/>
        <v>6506.3311327623987</v>
      </c>
      <c r="O752" s="36">
        <v>3.6223519831120323</v>
      </c>
      <c r="P752" s="42">
        <f t="shared" si="114"/>
        <v>17188.151498008388</v>
      </c>
      <c r="Q752" s="42"/>
      <c r="R752">
        <v>0.95706045716727195</v>
      </c>
      <c r="S752">
        <v>0.14255195776238289</v>
      </c>
    </row>
    <row r="753" spans="1:19" x14ac:dyDescent="0.25">
      <c r="A753" s="40">
        <f t="shared" si="115"/>
        <v>64.229676878151835</v>
      </c>
      <c r="B753" s="40">
        <f t="shared" si="115"/>
        <v>32.933286051621081</v>
      </c>
      <c r="C753" s="41">
        <f t="shared" si="110"/>
        <v>0.49289226185293716</v>
      </c>
      <c r="D753" s="41">
        <f t="shared" si="111"/>
        <v>0.98069361229543572</v>
      </c>
      <c r="E753" s="39">
        <f>IF(_xlfn.NORM.INV(R753,C753,'Regressão Grupo 2'!$B$7)&lt;=0,0,IF(_xlfn.NORM.INV(R753,C753,'Regressão Grupo 2'!$B$7)&gt;100%,100%,_xlfn.NORM.INV(R753,C753,'Regressão Grupo 2'!$B$7)))</f>
        <v>0.60463588769632681</v>
      </c>
      <c r="F753" s="39">
        <f>IF(_xlfn.NORM.INV(S753,D753,'Regressão Grupo 2'!$B$7)&lt;=0,0,IF(_xlfn.NORM.INV(S753,D753,'Regressão Grupo 2'!$B$7)&gt;100%,100%,_xlfn.NORM.INV(S753,D753,'Regressão Grupo 2'!$B$7)))</f>
        <v>1</v>
      </c>
      <c r="G753" s="41">
        <v>1.716346864015892E-2</v>
      </c>
      <c r="H753" s="41">
        <v>2.6613099838944429E-2</v>
      </c>
      <c r="I753" s="40">
        <f t="shared" si="112"/>
        <v>207.46293097799813</v>
      </c>
      <c r="J753" s="40">
        <f t="shared" si="112"/>
        <v>0</v>
      </c>
      <c r="K753" s="36">
        <v>0.27159395301319145</v>
      </c>
      <c r="L753" s="42">
        <f t="shared" si="118"/>
        <v>19991.322604477216</v>
      </c>
      <c r="M753" s="42">
        <f t="shared" si="118"/>
        <v>0</v>
      </c>
      <c r="N753" s="42">
        <f t="shared" si="113"/>
        <v>5429.5223321119374</v>
      </c>
      <c r="O753" s="36">
        <v>7.793424241402235</v>
      </c>
      <c r="P753" s="42">
        <f t="shared" si="114"/>
        <v>6278.9080533229098</v>
      </c>
      <c r="Q753" s="42"/>
      <c r="R753">
        <v>0.79049043244727923</v>
      </c>
      <c r="S753">
        <v>0.99649037141026031</v>
      </c>
    </row>
    <row r="754" spans="1:19" x14ac:dyDescent="0.25">
      <c r="A754" s="40">
        <f t="shared" si="115"/>
        <v>64.229676878151835</v>
      </c>
      <c r="B754" s="40">
        <f t="shared" si="115"/>
        <v>32.933286051621081</v>
      </c>
      <c r="C754" s="41">
        <f t="shared" si="110"/>
        <v>0.49289226185293716</v>
      </c>
      <c r="D754" s="41">
        <f t="shared" si="111"/>
        <v>0.98069361229543572</v>
      </c>
      <c r="E754" s="39">
        <f>IF(_xlfn.NORM.INV(R754,C754,'Regressão Grupo 2'!$B$7)&lt;=0,0,IF(_xlfn.NORM.INV(R754,C754,'Regressão Grupo 2'!$B$7)&gt;100%,100%,_xlfn.NORM.INV(R754,C754,'Regressão Grupo 2'!$B$7)))</f>
        <v>0.3433327883814874</v>
      </c>
      <c r="F754" s="39">
        <f>IF(_xlfn.NORM.INV(S754,D754,'Regressão Grupo 2'!$B$7)&lt;=0,0,IF(_xlfn.NORM.INV(S754,D754,'Regressão Grupo 2'!$B$7)&gt;100%,100%,_xlfn.NORM.INV(S754,D754,'Regressão Grupo 2'!$B$7)))</f>
        <v>0.90609701431196499</v>
      </c>
      <c r="G754" s="41">
        <v>1.9577250821141812E-2</v>
      </c>
      <c r="H754" s="41">
        <v>2.0536092806876939E-2</v>
      </c>
      <c r="I754" s="40">
        <f t="shared" si="112"/>
        <v>134.37191704620966</v>
      </c>
      <c r="J754" s="40">
        <f t="shared" si="112"/>
        <v>0</v>
      </c>
      <c r="K754" s="36">
        <v>0.23499084229668057</v>
      </c>
      <c r="L754" s="42">
        <f t="shared" si="118"/>
        <v>19991.322604477216</v>
      </c>
      <c r="M754" s="42">
        <f t="shared" si="118"/>
        <v>0</v>
      </c>
      <c r="N754" s="42">
        <f t="shared" si="113"/>
        <v>4697.7777374507714</v>
      </c>
      <c r="O754" s="36">
        <v>4.186113299484914</v>
      </c>
      <c r="P754" s="42">
        <f t="shared" si="114"/>
        <v>3370.391006900677</v>
      </c>
      <c r="Q754" s="42"/>
      <c r="R754">
        <v>0.13971373638111514</v>
      </c>
      <c r="S754">
        <v>0.29477828302865688</v>
      </c>
    </row>
    <row r="755" spans="1:19" x14ac:dyDescent="0.25">
      <c r="A755" s="40">
        <f t="shared" si="115"/>
        <v>64.229676878151835</v>
      </c>
      <c r="B755" s="40">
        <f t="shared" si="115"/>
        <v>32.933286051621081</v>
      </c>
      <c r="C755" s="41">
        <f t="shared" si="110"/>
        <v>0.49289226185293716</v>
      </c>
      <c r="D755" s="41">
        <f t="shared" si="111"/>
        <v>0.98069361229543572</v>
      </c>
      <c r="E755" s="39">
        <f>IF(_xlfn.NORM.INV(R755,C755,'Regressão Grupo 2'!$B$7)&lt;=0,0,IF(_xlfn.NORM.INV(R755,C755,'Regressão Grupo 2'!$B$7)&gt;100%,100%,_xlfn.NORM.INV(R755,C755,'Regressão Grupo 2'!$B$7)))</f>
        <v>0.75173015402727772</v>
      </c>
      <c r="F755" s="39">
        <f>IF(_xlfn.NORM.INV(S755,D755,'Regressão Grupo 2'!$B$7)&lt;=0,0,IF(_xlfn.NORM.INV(S755,D755,'Regressão Grupo 2'!$B$7)&gt;100%,100%,_xlfn.NORM.INV(S755,D755,'Regressão Grupo 2'!$B$7)))</f>
        <v>0.92527121500217813</v>
      </c>
      <c r="G755" s="41">
        <v>2.2663137134744341E-2</v>
      </c>
      <c r="H755" s="41">
        <v>2.2730245225705457E-2</v>
      </c>
      <c r="I755" s="40">
        <f t="shared" si="112"/>
        <v>340.583438380416</v>
      </c>
      <c r="J755" s="40">
        <f t="shared" si="112"/>
        <v>0</v>
      </c>
      <c r="K755" s="36">
        <v>0.30195354634768068</v>
      </c>
      <c r="L755" s="42">
        <f t="shared" si="118"/>
        <v>19991.322604477216</v>
      </c>
      <c r="M755" s="42">
        <f t="shared" si="118"/>
        <v>0</v>
      </c>
      <c r="N755" s="42">
        <f t="shared" si="113"/>
        <v>6036.4507566024477</v>
      </c>
      <c r="O755" s="36">
        <v>6.0831083184885628</v>
      </c>
      <c r="P755" s="42">
        <f t="shared" si="114"/>
        <v>13767.307493470264</v>
      </c>
      <c r="Q755" s="42"/>
      <c r="R755">
        <v>0.9693899349955748</v>
      </c>
      <c r="S755">
        <v>0.34427930539872431</v>
      </c>
    </row>
    <row r="756" spans="1:19" x14ac:dyDescent="0.25">
      <c r="A756" s="40">
        <f t="shared" si="115"/>
        <v>64.229676878151835</v>
      </c>
      <c r="B756" s="40">
        <f t="shared" si="115"/>
        <v>32.933286051621081</v>
      </c>
      <c r="C756" s="41">
        <f t="shared" si="110"/>
        <v>0.49289226185293716</v>
      </c>
      <c r="D756" s="41">
        <f t="shared" si="111"/>
        <v>0.98069361229543572</v>
      </c>
      <c r="E756" s="39">
        <f>IF(_xlfn.NORM.INV(R756,C756,'Regressão Grupo 2'!$B$7)&lt;=0,0,IF(_xlfn.NORM.INV(R756,C756,'Regressão Grupo 2'!$B$7)&gt;100%,100%,_xlfn.NORM.INV(R756,C756,'Regressão Grupo 2'!$B$7)))</f>
        <v>0.28864777218934246</v>
      </c>
      <c r="F756" s="39">
        <f>IF(_xlfn.NORM.INV(S756,D756,'Regressão Grupo 2'!$B$7)&lt;=0,0,IF(_xlfn.NORM.INV(S756,D756,'Regressão Grupo 2'!$B$7)&gt;100%,100%,_xlfn.NORM.INV(S756,D756,'Regressão Grupo 2'!$B$7)))</f>
        <v>1</v>
      </c>
      <c r="G756" s="41">
        <v>1.0042466354712605E-2</v>
      </c>
      <c r="H756" s="41">
        <v>1.9320235841863563E-2</v>
      </c>
      <c r="I756" s="40">
        <f t="shared" si="112"/>
        <v>57.949557336682894</v>
      </c>
      <c r="J756" s="40">
        <f t="shared" si="112"/>
        <v>0</v>
      </c>
      <c r="K756" s="36">
        <v>0.30182192481444137</v>
      </c>
      <c r="L756" s="42">
        <f t="shared" si="118"/>
        <v>19991.322604477216</v>
      </c>
      <c r="M756" s="42">
        <f t="shared" si="118"/>
        <v>0</v>
      </c>
      <c r="N756" s="42">
        <f t="shared" si="113"/>
        <v>6033.8194680697643</v>
      </c>
      <c r="O756" s="36">
        <v>5.1641226162617198</v>
      </c>
      <c r="P756" s="42">
        <f t="shared" si="114"/>
        <v>-2610.9967447474082</v>
      </c>
      <c r="Q756" s="42"/>
      <c r="R756">
        <v>6.9826349681081576E-2</v>
      </c>
      <c r="S756">
        <v>0.70314645832697531</v>
      </c>
    </row>
    <row r="757" spans="1:19" x14ac:dyDescent="0.25">
      <c r="A757" s="40">
        <f t="shared" si="115"/>
        <v>64.229676878151835</v>
      </c>
      <c r="B757" s="40">
        <f t="shared" si="115"/>
        <v>32.933286051621081</v>
      </c>
      <c r="C757" s="41">
        <f t="shared" si="110"/>
        <v>0.49289226185293716</v>
      </c>
      <c r="D757" s="41">
        <f t="shared" si="111"/>
        <v>0.98069361229543572</v>
      </c>
      <c r="E757" s="39">
        <f>IF(_xlfn.NORM.INV(R757,C757,'Regressão Grupo 2'!$B$7)&lt;=0,0,IF(_xlfn.NORM.INV(R757,C757,'Regressão Grupo 2'!$B$7)&gt;100%,100%,_xlfn.NORM.INV(R757,C757,'Regressão Grupo 2'!$B$7)))</f>
        <v>0.60472388554783252</v>
      </c>
      <c r="F757" s="39">
        <f>IF(_xlfn.NORM.INV(S757,D757,'Regressão Grupo 2'!$B$7)&lt;=0,0,IF(_xlfn.NORM.INV(S757,D757,'Regressão Grupo 2'!$B$7)&gt;100%,100%,_xlfn.NORM.INV(S757,D757,'Regressão Grupo 2'!$B$7)))</f>
        <v>1</v>
      </c>
      <c r="G757" s="41">
        <v>1.807965163211761E-2</v>
      </c>
      <c r="H757" s="41">
        <v>1.5856440230308433E-3</v>
      </c>
      <c r="I757" s="40">
        <f t="shared" si="112"/>
        <v>218.56907201021048</v>
      </c>
      <c r="J757" s="40">
        <f t="shared" si="112"/>
        <v>0</v>
      </c>
      <c r="K757" s="36">
        <v>0.16518209041046722</v>
      </c>
      <c r="L757" s="42">
        <f t="shared" si="118"/>
        <v>19991.322604477216</v>
      </c>
      <c r="M757" s="42">
        <f t="shared" si="118"/>
        <v>0</v>
      </c>
      <c r="N757" s="42">
        <f t="shared" si="113"/>
        <v>3302.2084578775725</v>
      </c>
      <c r="O757" s="36">
        <v>5.1938725918673381</v>
      </c>
      <c r="P757" s="42">
        <f t="shared" si="114"/>
        <v>9601.1925003520355</v>
      </c>
      <c r="Q757" s="42"/>
      <c r="R757">
        <v>0.79067354350413521</v>
      </c>
      <c r="S757">
        <v>0.81337931455427714</v>
      </c>
    </row>
    <row r="758" spans="1:19" x14ac:dyDescent="0.25">
      <c r="A758" s="40">
        <f t="shared" si="115"/>
        <v>64.229676878151835</v>
      </c>
      <c r="B758" s="40">
        <f t="shared" si="115"/>
        <v>32.933286051621081</v>
      </c>
      <c r="C758" s="41">
        <f t="shared" si="110"/>
        <v>0.49289226185293716</v>
      </c>
      <c r="D758" s="41">
        <f t="shared" si="111"/>
        <v>0.98069361229543572</v>
      </c>
      <c r="E758" s="39">
        <f>IF(_xlfn.NORM.INV(R758,C758,'Regressão Grupo 2'!$B$7)&lt;=0,0,IF(_xlfn.NORM.INV(R758,C758,'Regressão Grupo 2'!$B$7)&gt;100%,100%,_xlfn.NORM.INV(R758,C758,'Regressão Grupo 2'!$B$7)))</f>
        <v>0.54498339437426535</v>
      </c>
      <c r="F758" s="39">
        <f>IF(_xlfn.NORM.INV(S758,D758,'Regressão Grupo 2'!$B$7)&lt;=0,0,IF(_xlfn.NORM.INV(S758,D758,'Regressão Grupo 2'!$B$7)&gt;100%,100%,_xlfn.NORM.INV(S758,D758,'Regressão Grupo 2'!$B$7)))</f>
        <v>1</v>
      </c>
      <c r="G758" s="41">
        <v>1.5000041723193315E-2</v>
      </c>
      <c r="H758" s="41">
        <v>1.5162247326562505E-2</v>
      </c>
      <c r="I758" s="40">
        <f t="shared" si="112"/>
        <v>163.42453733692443</v>
      </c>
      <c r="J758" s="40">
        <f t="shared" si="112"/>
        <v>0</v>
      </c>
      <c r="K758" s="36">
        <v>0.28493962875125978</v>
      </c>
      <c r="L758" s="42">
        <f t="shared" si="118"/>
        <v>19991.322604477216</v>
      </c>
      <c r="M758" s="42">
        <f t="shared" si="118"/>
        <v>0</v>
      </c>
      <c r="N758" s="42">
        <f t="shared" si="113"/>
        <v>5696.3200411664056</v>
      </c>
      <c r="O758" s="36">
        <v>5.5015076622929184</v>
      </c>
      <c r="P758" s="42">
        <f t="shared" si="114"/>
        <v>3901.3038415799456</v>
      </c>
      <c r="Q758" s="42"/>
      <c r="R758">
        <v>0.64680928983428454</v>
      </c>
      <c r="S758">
        <v>0.66988128299813832</v>
      </c>
    </row>
    <row r="759" spans="1:19" x14ac:dyDescent="0.25">
      <c r="A759" s="40">
        <f t="shared" si="115"/>
        <v>64.229676878151835</v>
      </c>
      <c r="B759" s="40">
        <f t="shared" si="115"/>
        <v>32.933286051621081</v>
      </c>
      <c r="C759" s="41">
        <f t="shared" si="110"/>
        <v>0.49289226185293716</v>
      </c>
      <c r="D759" s="41">
        <f t="shared" si="111"/>
        <v>0.98069361229543572</v>
      </c>
      <c r="E759" s="39">
        <f>IF(_xlfn.NORM.INV(R759,C759,'Regressão Grupo 2'!$B$7)&lt;=0,0,IF(_xlfn.NORM.INV(R759,C759,'Regressão Grupo 2'!$B$7)&gt;100%,100%,_xlfn.NORM.INV(R759,C759,'Regressão Grupo 2'!$B$7)))</f>
        <v>0.6340696435084141</v>
      </c>
      <c r="F759" s="39">
        <f>IF(_xlfn.NORM.INV(S759,D759,'Regressão Grupo 2'!$B$7)&lt;=0,0,IF(_xlfn.NORM.INV(S759,D759,'Regressão Grupo 2'!$B$7)&gt;100%,100%,_xlfn.NORM.INV(S759,D759,'Regressão Grupo 2'!$B$7)))</f>
        <v>1</v>
      </c>
      <c r="G759" s="41">
        <v>2.735856203032265E-2</v>
      </c>
      <c r="H759" s="41">
        <v>1.4505199338772061E-2</v>
      </c>
      <c r="I759" s="40">
        <f t="shared" si="112"/>
        <v>346.79414466157948</v>
      </c>
      <c r="J759" s="40">
        <f t="shared" si="112"/>
        <v>0</v>
      </c>
      <c r="K759" s="36">
        <v>0.21462431203787552</v>
      </c>
      <c r="L759" s="42">
        <f t="shared" ref="L759:M774" si="119">L758</f>
        <v>19991.322604477216</v>
      </c>
      <c r="M759" s="42">
        <f t="shared" si="119"/>
        <v>0</v>
      </c>
      <c r="N759" s="42">
        <f t="shared" si="113"/>
        <v>4290.6238607131527</v>
      </c>
      <c r="O759" s="36">
        <v>9.8619054880722175</v>
      </c>
      <c r="P759" s="42">
        <f t="shared" si="114"/>
        <v>14563.800915665801</v>
      </c>
      <c r="Q759" s="42"/>
      <c r="R759">
        <v>0.84636982329783017</v>
      </c>
      <c r="S759">
        <v>0.63212988677632986</v>
      </c>
    </row>
    <row r="760" spans="1:19" x14ac:dyDescent="0.25">
      <c r="A760" s="40">
        <f t="shared" si="115"/>
        <v>64.229676878151835</v>
      </c>
      <c r="B760" s="40">
        <f t="shared" si="115"/>
        <v>32.933286051621081</v>
      </c>
      <c r="C760" s="41">
        <f t="shared" si="110"/>
        <v>0.49289226185293716</v>
      </c>
      <c r="D760" s="41">
        <f t="shared" si="111"/>
        <v>0.98069361229543572</v>
      </c>
      <c r="E760" s="39">
        <f>IF(_xlfn.NORM.INV(R760,C760,'Regressão Grupo 2'!$B$7)&lt;=0,0,IF(_xlfn.NORM.INV(R760,C760,'Regressão Grupo 2'!$B$7)&gt;100%,100%,_xlfn.NORM.INV(R760,C760,'Regressão Grupo 2'!$B$7)))</f>
        <v>0.55462121964202427</v>
      </c>
      <c r="F760" s="39">
        <f>IF(_xlfn.NORM.INV(S760,D760,'Regressão Grupo 2'!$B$7)&lt;=0,0,IF(_xlfn.NORM.INV(S760,D760,'Regressão Grupo 2'!$B$7)&gt;100%,100%,_xlfn.NORM.INV(S760,D760,'Regressão Grupo 2'!$B$7)))</f>
        <v>1</v>
      </c>
      <c r="G760" s="41">
        <v>1.7873494971878488E-2</v>
      </c>
      <c r="H760" s="41">
        <v>2.0727256550203757E-2</v>
      </c>
      <c r="I760" s="40">
        <f t="shared" si="112"/>
        <v>198.17437241965101</v>
      </c>
      <c r="J760" s="40">
        <f t="shared" si="112"/>
        <v>0</v>
      </c>
      <c r="K760" s="36">
        <v>0.30835732872831156</v>
      </c>
      <c r="L760" s="42">
        <f t="shared" si="119"/>
        <v>19991.322604477216</v>
      </c>
      <c r="M760" s="42">
        <f t="shared" si="119"/>
        <v>0</v>
      </c>
      <c r="N760" s="42">
        <f t="shared" si="113"/>
        <v>6164.4708360625064</v>
      </c>
      <c r="O760" s="36">
        <v>6.4927867051348072</v>
      </c>
      <c r="P760" s="42">
        <f t="shared" si="114"/>
        <v>5277.5011394374596</v>
      </c>
      <c r="Q760" s="42"/>
      <c r="R760">
        <v>0.67235328226569413</v>
      </c>
      <c r="S760">
        <v>0.82943205053865166</v>
      </c>
    </row>
    <row r="761" spans="1:19" x14ac:dyDescent="0.25">
      <c r="A761" s="40">
        <f t="shared" si="115"/>
        <v>64.229676878151835</v>
      </c>
      <c r="B761" s="40">
        <f t="shared" si="115"/>
        <v>32.933286051621081</v>
      </c>
      <c r="C761" s="41">
        <f t="shared" si="110"/>
        <v>0.49289226185293716</v>
      </c>
      <c r="D761" s="41">
        <f t="shared" si="111"/>
        <v>0.98069361229543572</v>
      </c>
      <c r="E761" s="39">
        <f>IF(_xlfn.NORM.INV(R761,C761,'Regressão Grupo 2'!$B$7)&lt;=0,0,IF(_xlfn.NORM.INV(R761,C761,'Regressão Grupo 2'!$B$7)&gt;100%,100%,_xlfn.NORM.INV(R761,C761,'Regressão Grupo 2'!$B$7)))</f>
        <v>0.53312507698870437</v>
      </c>
      <c r="F761" s="39">
        <f>IF(_xlfn.NORM.INV(S761,D761,'Regressão Grupo 2'!$B$7)&lt;=0,0,IF(_xlfn.NORM.INV(S761,D761,'Regressão Grupo 2'!$B$7)&gt;100%,100%,_xlfn.NORM.INV(S761,D761,'Regressão Grupo 2'!$B$7)))</f>
        <v>1</v>
      </c>
      <c r="G761" s="41">
        <v>1.480370349683788E-2</v>
      </c>
      <c r="H761" s="41">
        <v>2.2274051979978449E-2</v>
      </c>
      <c r="I761" s="40">
        <f t="shared" si="112"/>
        <v>157.77602736659765</v>
      </c>
      <c r="J761" s="40">
        <f t="shared" si="112"/>
        <v>0</v>
      </c>
      <c r="K761" s="36">
        <v>0.25003504343765287</v>
      </c>
      <c r="L761" s="42">
        <f t="shared" si="119"/>
        <v>19991.322604477216</v>
      </c>
      <c r="M761" s="42">
        <f t="shared" si="119"/>
        <v>0</v>
      </c>
      <c r="N761" s="42">
        <f t="shared" si="113"/>
        <v>4998.5312157865928</v>
      </c>
      <c r="O761" s="36">
        <v>8.3308289808621829</v>
      </c>
      <c r="P761" s="42">
        <f t="shared" si="114"/>
        <v>3820.9669398174583</v>
      </c>
      <c r="Q761" s="42"/>
      <c r="R761">
        <v>0.61445966978972744</v>
      </c>
      <c r="S761">
        <v>0.72261726737266152</v>
      </c>
    </row>
    <row r="762" spans="1:19" x14ac:dyDescent="0.25">
      <c r="A762" s="40">
        <f t="shared" si="115"/>
        <v>64.229676878151835</v>
      </c>
      <c r="B762" s="40">
        <f t="shared" si="115"/>
        <v>32.933286051621081</v>
      </c>
      <c r="C762" s="41">
        <f t="shared" si="110"/>
        <v>0.49289226185293716</v>
      </c>
      <c r="D762" s="41">
        <f t="shared" si="111"/>
        <v>0.98069361229543572</v>
      </c>
      <c r="E762" s="39">
        <f>IF(_xlfn.NORM.INV(R762,C762,'Regressão Grupo 2'!$B$7)&lt;=0,0,IF(_xlfn.NORM.INV(R762,C762,'Regressão Grupo 2'!$B$7)&gt;100%,100%,_xlfn.NORM.INV(R762,C762,'Regressão Grupo 2'!$B$7)))</f>
        <v>0.61552844901910542</v>
      </c>
      <c r="F762" s="39">
        <f>IF(_xlfn.NORM.INV(S762,D762,'Regressão Grupo 2'!$B$7)&lt;=0,0,IF(_xlfn.NORM.INV(S762,D762,'Regressão Grupo 2'!$B$7)&gt;100%,100%,_xlfn.NORM.INV(S762,D762,'Regressão Grupo 2'!$B$7)))</f>
        <v>0.9411224525998072</v>
      </c>
      <c r="G762" s="41">
        <v>1.5017848125148558E-2</v>
      </c>
      <c r="H762" s="41">
        <v>6.9101924086638761E-3</v>
      </c>
      <c r="I762" s="40">
        <f t="shared" si="112"/>
        <v>184.79804219431145</v>
      </c>
      <c r="J762" s="40">
        <f t="shared" si="112"/>
        <v>0</v>
      </c>
      <c r="K762" s="36">
        <v>0.37823430585869289</v>
      </c>
      <c r="L762" s="42">
        <f t="shared" si="119"/>
        <v>19991.322604477216</v>
      </c>
      <c r="M762" s="42">
        <f t="shared" si="119"/>
        <v>0</v>
      </c>
      <c r="N762" s="42">
        <f t="shared" si="113"/>
        <v>7561.4040285016363</v>
      </c>
      <c r="O762" s="36">
        <v>5.1713162196593601</v>
      </c>
      <c r="P762" s="42">
        <f t="shared" si="114"/>
        <v>3352.4653963933179</v>
      </c>
      <c r="Q762" s="42"/>
      <c r="R762">
        <v>0.81243324076052126</v>
      </c>
      <c r="S762">
        <v>0.38737144077883234</v>
      </c>
    </row>
    <row r="763" spans="1:19" x14ac:dyDescent="0.25">
      <c r="A763" s="40">
        <f t="shared" si="115"/>
        <v>64.229676878151835</v>
      </c>
      <c r="B763" s="40">
        <f t="shared" si="115"/>
        <v>32.933286051621081</v>
      </c>
      <c r="C763" s="41">
        <f t="shared" si="110"/>
        <v>0.49289226185293716</v>
      </c>
      <c r="D763" s="41">
        <f t="shared" si="111"/>
        <v>0.98069361229543572</v>
      </c>
      <c r="E763" s="39">
        <f>IF(_xlfn.NORM.INV(R763,C763,'Regressão Grupo 2'!$B$7)&lt;=0,0,IF(_xlfn.NORM.INV(R763,C763,'Regressão Grupo 2'!$B$7)&gt;100%,100%,_xlfn.NORM.INV(R763,C763,'Regressão Grupo 2'!$B$7)))</f>
        <v>0.44595554331507342</v>
      </c>
      <c r="F763" s="39">
        <f>IF(_xlfn.NORM.INV(S763,D763,'Regressão Grupo 2'!$B$7)&lt;=0,0,IF(_xlfn.NORM.INV(S763,D763,'Regressão Grupo 2'!$B$7)&gt;100%,100%,_xlfn.NORM.INV(S763,D763,'Regressão Grupo 2'!$B$7)))</f>
        <v>0.80392579149068988</v>
      </c>
      <c r="G763" s="41">
        <v>1.5463400407015092E-2</v>
      </c>
      <c r="H763" s="41">
        <v>1.0717984208313359E-2</v>
      </c>
      <c r="I763" s="40">
        <f t="shared" si="112"/>
        <v>137.85994337497695</v>
      </c>
      <c r="J763" s="40">
        <f t="shared" si="112"/>
        <v>0</v>
      </c>
      <c r="K763" s="36">
        <v>0.21584914879352407</v>
      </c>
      <c r="L763" s="42">
        <f t="shared" si="119"/>
        <v>19991.322604477216</v>
      </c>
      <c r="M763" s="42">
        <f t="shared" si="119"/>
        <v>0</v>
      </c>
      <c r="N763" s="42">
        <f t="shared" si="113"/>
        <v>4315.1099674331435</v>
      </c>
      <c r="O763" s="36">
        <v>4.9638116118045499</v>
      </c>
      <c r="P763" s="42">
        <f t="shared" si="114"/>
        <v>3855.2788622545067</v>
      </c>
      <c r="Q763" s="42"/>
      <c r="R763">
        <v>0.36713766899624622</v>
      </c>
      <c r="S763">
        <v>0.10055848872341075</v>
      </c>
    </row>
    <row r="764" spans="1:19" x14ac:dyDescent="0.25">
      <c r="A764" s="40">
        <f t="shared" si="115"/>
        <v>64.229676878151835</v>
      </c>
      <c r="B764" s="40">
        <f t="shared" si="115"/>
        <v>32.933286051621081</v>
      </c>
      <c r="C764" s="41">
        <f t="shared" si="110"/>
        <v>0.49289226185293716</v>
      </c>
      <c r="D764" s="41">
        <f t="shared" si="111"/>
        <v>0.98069361229543572</v>
      </c>
      <c r="E764" s="39">
        <f>IF(_xlfn.NORM.INV(R764,C764,'Regressão Grupo 2'!$B$7)&lt;=0,0,IF(_xlfn.NORM.INV(R764,C764,'Regressão Grupo 2'!$B$7)&gt;100%,100%,_xlfn.NORM.INV(R764,C764,'Regressão Grupo 2'!$B$7)))</f>
        <v>0.21512306072556664</v>
      </c>
      <c r="F764" s="39">
        <f>IF(_xlfn.NORM.INV(S764,D764,'Regressão Grupo 2'!$B$7)&lt;=0,0,IF(_xlfn.NORM.INV(S764,D764,'Regressão Grupo 2'!$B$7)&gt;100%,100%,_xlfn.NORM.INV(S764,D764,'Regressão Grupo 2'!$B$7)))</f>
        <v>1</v>
      </c>
      <c r="G764" s="41">
        <v>1.607707669146469E-2</v>
      </c>
      <c r="H764" s="41">
        <v>1.7052702385865082E-2</v>
      </c>
      <c r="I764" s="40">
        <f t="shared" si="112"/>
        <v>69.140987701939579</v>
      </c>
      <c r="J764" s="40">
        <f t="shared" si="112"/>
        <v>0</v>
      </c>
      <c r="K764" s="36">
        <v>0.30883033894026912</v>
      </c>
      <c r="L764" s="42">
        <f t="shared" si="119"/>
        <v>19991.322604477216</v>
      </c>
      <c r="M764" s="42">
        <f t="shared" si="119"/>
        <v>0</v>
      </c>
      <c r="N764" s="42">
        <f t="shared" si="113"/>
        <v>6173.9269358049623</v>
      </c>
      <c r="O764" s="36">
        <v>4.5522817430766995</v>
      </c>
      <c r="P764" s="42">
        <f t="shared" si="114"/>
        <v>-2047.7728926869431</v>
      </c>
      <c r="Q764" s="42"/>
      <c r="R764">
        <v>2.2278511917477952E-2</v>
      </c>
      <c r="S764">
        <v>0.97085482345042273</v>
      </c>
    </row>
    <row r="765" spans="1:19" x14ac:dyDescent="0.25">
      <c r="A765" s="40">
        <f t="shared" si="115"/>
        <v>64.229676878151835</v>
      </c>
      <c r="B765" s="40">
        <f t="shared" si="115"/>
        <v>32.933286051621081</v>
      </c>
      <c r="C765" s="41">
        <f t="shared" si="110"/>
        <v>0.49289226185293716</v>
      </c>
      <c r="D765" s="41">
        <f t="shared" si="111"/>
        <v>0.98069361229543572</v>
      </c>
      <c r="E765" s="39">
        <f>IF(_xlfn.NORM.INV(R765,C765,'Regressão Grupo 2'!$B$7)&lt;=0,0,IF(_xlfn.NORM.INV(R765,C765,'Regressão Grupo 2'!$B$7)&gt;100%,100%,_xlfn.NORM.INV(R765,C765,'Regressão Grupo 2'!$B$7)))</f>
        <v>0.39760174472954096</v>
      </c>
      <c r="F765" s="39">
        <f>IF(_xlfn.NORM.INV(S765,D765,'Regressão Grupo 2'!$B$7)&lt;=0,0,IF(_xlfn.NORM.INV(S765,D765,'Regressão Grupo 2'!$B$7)&gt;100%,100%,_xlfn.NORM.INV(S765,D765,'Regressão Grupo 2'!$B$7)))</f>
        <v>1</v>
      </c>
      <c r="G765" s="41">
        <v>9.3490584995921579E-3</v>
      </c>
      <c r="H765" s="41">
        <v>1.9566478239426987E-2</v>
      </c>
      <c r="I765" s="40">
        <f t="shared" si="112"/>
        <v>74.31178378858715</v>
      </c>
      <c r="J765" s="40">
        <f t="shared" si="112"/>
        <v>0</v>
      </c>
      <c r="K765" s="36">
        <v>0.27141299489189863</v>
      </c>
      <c r="L765" s="42">
        <f t="shared" si="119"/>
        <v>19991.322604477216</v>
      </c>
      <c r="M765" s="42">
        <f t="shared" si="119"/>
        <v>0</v>
      </c>
      <c r="N765" s="42">
        <f t="shared" si="113"/>
        <v>5425.9047399312722</v>
      </c>
      <c r="O765" s="36">
        <v>4.3364115460479358</v>
      </c>
      <c r="P765" s="42">
        <f t="shared" si="114"/>
        <v>-975.12935617948551</v>
      </c>
      <c r="Q765" s="42"/>
      <c r="R765">
        <v>0.24536881618701742</v>
      </c>
      <c r="S765">
        <v>0.77742851039155247</v>
      </c>
    </row>
    <row r="766" spans="1:19" x14ac:dyDescent="0.25">
      <c r="A766" s="40">
        <f t="shared" si="115"/>
        <v>64.229676878151835</v>
      </c>
      <c r="B766" s="40">
        <f t="shared" si="115"/>
        <v>32.933286051621081</v>
      </c>
      <c r="C766" s="41">
        <f t="shared" si="110"/>
        <v>0.49289226185293716</v>
      </c>
      <c r="D766" s="41">
        <f t="shared" si="111"/>
        <v>0.98069361229543572</v>
      </c>
      <c r="E766" s="39">
        <f>IF(_xlfn.NORM.INV(R766,C766,'Regressão Grupo 2'!$B$7)&lt;=0,0,IF(_xlfn.NORM.INV(R766,C766,'Regressão Grupo 2'!$B$7)&gt;100%,100%,_xlfn.NORM.INV(R766,C766,'Regressão Grupo 2'!$B$7)))</f>
        <v>0.48088718918691103</v>
      </c>
      <c r="F766" s="39">
        <f>IF(_xlfn.NORM.INV(S766,D766,'Regressão Grupo 2'!$B$7)&lt;=0,0,IF(_xlfn.NORM.INV(S766,D766,'Regressão Grupo 2'!$B$7)&gt;100%,100%,_xlfn.NORM.INV(S766,D766,'Regressão Grupo 2'!$B$7)))</f>
        <v>1</v>
      </c>
      <c r="G766" s="41">
        <v>1.7641956654133754E-2</v>
      </c>
      <c r="H766" s="41">
        <v>1.1001792501573581E-2</v>
      </c>
      <c r="I766" s="40">
        <f t="shared" si="112"/>
        <v>169.60220173369291</v>
      </c>
      <c r="J766" s="40">
        <f t="shared" si="112"/>
        <v>0</v>
      </c>
      <c r="K766" s="36">
        <v>0.21151167879395544</v>
      </c>
      <c r="L766" s="42">
        <f t="shared" si="119"/>
        <v>19991.322604477216</v>
      </c>
      <c r="M766" s="42">
        <f t="shared" si="119"/>
        <v>0</v>
      </c>
      <c r="N766" s="42">
        <f t="shared" si="113"/>
        <v>4228.3982053845257</v>
      </c>
      <c r="O766" s="36">
        <v>7.0211331462132769</v>
      </c>
      <c r="P766" s="42">
        <f t="shared" si="114"/>
        <v>5474.2967695305115</v>
      </c>
      <c r="Q766" s="42"/>
      <c r="R766">
        <v>0.46540726950895717</v>
      </c>
      <c r="S766">
        <v>0.99600207525864437</v>
      </c>
    </row>
    <row r="767" spans="1:19" x14ac:dyDescent="0.25">
      <c r="A767" s="40">
        <f t="shared" si="115"/>
        <v>64.229676878151835</v>
      </c>
      <c r="B767" s="40">
        <f t="shared" si="115"/>
        <v>32.933286051621081</v>
      </c>
      <c r="C767" s="41">
        <f t="shared" si="110"/>
        <v>0.49289226185293716</v>
      </c>
      <c r="D767" s="41">
        <f t="shared" si="111"/>
        <v>0.98069361229543572</v>
      </c>
      <c r="E767" s="39">
        <f>IF(_xlfn.NORM.INV(R767,C767,'Regressão Grupo 2'!$B$7)&lt;=0,0,IF(_xlfn.NORM.INV(R767,C767,'Regressão Grupo 2'!$B$7)&gt;100%,100%,_xlfn.NORM.INV(R767,C767,'Regressão Grupo 2'!$B$7)))</f>
        <v>0.5997921370642767</v>
      </c>
      <c r="F767" s="39">
        <f>IF(_xlfn.NORM.INV(S767,D767,'Regressão Grupo 2'!$B$7)&lt;=0,0,IF(_xlfn.NORM.INV(S767,D767,'Regressão Grupo 2'!$B$7)&gt;100%,100%,_xlfn.NORM.INV(S767,D767,'Regressão Grupo 2'!$B$7)))</f>
        <v>0.91617058443846011</v>
      </c>
      <c r="G767" s="41">
        <v>4.8813486575268426E-3</v>
      </c>
      <c r="H767" s="41">
        <v>7.0002904218645096E-3</v>
      </c>
      <c r="I767" s="40">
        <f t="shared" si="112"/>
        <v>58.530485229817735</v>
      </c>
      <c r="J767" s="40">
        <f t="shared" si="112"/>
        <v>0</v>
      </c>
      <c r="K767" s="36">
        <v>0.38907206401949057</v>
      </c>
      <c r="L767" s="42">
        <f t="shared" si="119"/>
        <v>19991.322604477216</v>
      </c>
      <c r="M767" s="42">
        <f t="shared" si="119"/>
        <v>0</v>
      </c>
      <c r="N767" s="42">
        <f t="shared" si="113"/>
        <v>7778.0651482034482</v>
      </c>
      <c r="O767" s="36">
        <v>4.2608311547061346</v>
      </c>
      <c r="P767" s="42">
        <f t="shared" si="114"/>
        <v>-4268.0595093380907</v>
      </c>
      <c r="Q767" s="42"/>
      <c r="R767">
        <v>0.78026673177282024</v>
      </c>
      <c r="S767">
        <v>0.32038331247901852</v>
      </c>
    </row>
    <row r="768" spans="1:19" x14ac:dyDescent="0.25">
      <c r="A768" s="40">
        <f t="shared" si="115"/>
        <v>64.229676878151835</v>
      </c>
      <c r="B768" s="40">
        <f t="shared" si="115"/>
        <v>32.933286051621081</v>
      </c>
      <c r="C768" s="41">
        <f t="shared" si="110"/>
        <v>0.49289226185293716</v>
      </c>
      <c r="D768" s="41">
        <f t="shared" si="111"/>
        <v>0.98069361229543572</v>
      </c>
      <c r="E768" s="39">
        <f>IF(_xlfn.NORM.INV(R768,C768,'Regressão Grupo 2'!$B$7)&lt;=0,0,IF(_xlfn.NORM.INV(R768,C768,'Regressão Grupo 2'!$B$7)&gt;100%,100%,_xlfn.NORM.INV(R768,C768,'Regressão Grupo 2'!$B$7)))</f>
        <v>0.47832609387452368</v>
      </c>
      <c r="F768" s="39">
        <f>IF(_xlfn.NORM.INV(S768,D768,'Regressão Grupo 2'!$B$7)&lt;=0,0,IF(_xlfn.NORM.INV(S768,D768,'Regressão Grupo 2'!$B$7)&gt;100%,100%,_xlfn.NORM.INV(S768,D768,'Regressão Grupo 2'!$B$7)))</f>
        <v>1</v>
      </c>
      <c r="G768" s="41">
        <v>2.4162436838103728E-2</v>
      </c>
      <c r="H768" s="41">
        <v>1.9476504696462997E-2</v>
      </c>
      <c r="I768" s="40">
        <f t="shared" si="112"/>
        <v>231.05019141791774</v>
      </c>
      <c r="J768" s="40">
        <f t="shared" si="112"/>
        <v>0</v>
      </c>
      <c r="K768" s="36">
        <v>0.13610839018392823</v>
      </c>
      <c r="L768" s="42">
        <f t="shared" si="119"/>
        <v>19991.322604477216</v>
      </c>
      <c r="M768" s="42">
        <f t="shared" si="119"/>
        <v>0</v>
      </c>
      <c r="N768" s="42">
        <f t="shared" si="113"/>
        <v>2720.9867373429693</v>
      </c>
      <c r="O768" s="36">
        <v>7.6203507022133241</v>
      </c>
      <c r="P768" s="42">
        <f t="shared" si="114"/>
        <v>10358.608911646963</v>
      </c>
      <c r="Q768" s="42"/>
      <c r="R768">
        <v>0.45805230872524189</v>
      </c>
      <c r="S768">
        <v>0.95986816003906372</v>
      </c>
    </row>
    <row r="769" spans="1:19" x14ac:dyDescent="0.25">
      <c r="A769" s="40">
        <f t="shared" si="115"/>
        <v>64.229676878151835</v>
      </c>
      <c r="B769" s="40">
        <f t="shared" si="115"/>
        <v>32.933286051621081</v>
      </c>
      <c r="C769" s="41">
        <f t="shared" si="110"/>
        <v>0.49289226185293716</v>
      </c>
      <c r="D769" s="41">
        <f t="shared" si="111"/>
        <v>0.98069361229543572</v>
      </c>
      <c r="E769" s="39">
        <f>IF(_xlfn.NORM.INV(R769,C769,'Regressão Grupo 2'!$B$7)&lt;=0,0,IF(_xlfn.NORM.INV(R769,C769,'Regressão Grupo 2'!$B$7)&gt;100%,100%,_xlfn.NORM.INV(R769,C769,'Regressão Grupo 2'!$B$7)))</f>
        <v>0.54366846782165568</v>
      </c>
      <c r="F769" s="39">
        <f>IF(_xlfn.NORM.INV(S769,D769,'Regressão Grupo 2'!$B$7)&lt;=0,0,IF(_xlfn.NORM.INV(S769,D769,'Regressão Grupo 2'!$B$7)&gt;100%,100%,_xlfn.NORM.INV(S769,D769,'Regressão Grupo 2'!$B$7)))</f>
        <v>1</v>
      </c>
      <c r="G769" s="41">
        <v>2.1955415625820318E-2</v>
      </c>
      <c r="H769" s="41">
        <v>1.1370638294068569E-2</v>
      </c>
      <c r="I769" s="40">
        <f t="shared" si="112"/>
        <v>238.6257660267367</v>
      </c>
      <c r="J769" s="40">
        <f t="shared" si="112"/>
        <v>0</v>
      </c>
      <c r="K769" s="36">
        <v>0.2839387419979823</v>
      </c>
      <c r="L769" s="42">
        <f t="shared" si="119"/>
        <v>19991.322604477216</v>
      </c>
      <c r="M769" s="42">
        <f t="shared" si="119"/>
        <v>0</v>
      </c>
      <c r="N769" s="42">
        <f t="shared" si="113"/>
        <v>5676.3109911910879</v>
      </c>
      <c r="O769" s="36">
        <v>4.7777606313229226</v>
      </c>
      <c r="P769" s="42">
        <f t="shared" si="114"/>
        <v>8510.4480649658544</v>
      </c>
      <c r="Q769" s="42"/>
      <c r="R769">
        <v>0.64326914273506886</v>
      </c>
      <c r="S769">
        <v>0.72728659932248907</v>
      </c>
    </row>
    <row r="770" spans="1:19" x14ac:dyDescent="0.25">
      <c r="A770" s="40">
        <f t="shared" si="115"/>
        <v>64.229676878151835</v>
      </c>
      <c r="B770" s="40">
        <f t="shared" si="115"/>
        <v>32.933286051621081</v>
      </c>
      <c r="C770" s="41">
        <f t="shared" si="110"/>
        <v>0.49289226185293716</v>
      </c>
      <c r="D770" s="41">
        <f t="shared" si="111"/>
        <v>0.98069361229543572</v>
      </c>
      <c r="E770" s="39">
        <f>IF(_xlfn.NORM.INV(R770,C770,'Regressão Grupo 2'!$B$7)&lt;=0,0,IF(_xlfn.NORM.INV(R770,C770,'Regressão Grupo 2'!$B$7)&gt;100%,100%,_xlfn.NORM.INV(R770,C770,'Regressão Grupo 2'!$B$7)))</f>
        <v>0.48259578247720475</v>
      </c>
      <c r="F770" s="39">
        <f>IF(_xlfn.NORM.INV(S770,D770,'Regressão Grupo 2'!$B$7)&lt;=0,0,IF(_xlfn.NORM.INV(S770,D770,'Regressão Grupo 2'!$B$7)&gt;100%,100%,_xlfn.NORM.INV(S770,D770,'Regressão Grupo 2'!$B$7)))</f>
        <v>1</v>
      </c>
      <c r="G770" s="41">
        <v>2.3993897977939029E-2</v>
      </c>
      <c r="H770" s="41">
        <v>2.5630343839786008E-2</v>
      </c>
      <c r="I770" s="40">
        <f t="shared" si="112"/>
        <v>231.48660075254384</v>
      </c>
      <c r="J770" s="40">
        <f t="shared" si="112"/>
        <v>0</v>
      </c>
      <c r="K770" s="36">
        <v>0.33348207594289558</v>
      </c>
      <c r="L770" s="42">
        <f t="shared" si="119"/>
        <v>19991.322604477216</v>
      </c>
      <c r="M770" s="42">
        <f t="shared" si="119"/>
        <v>0</v>
      </c>
      <c r="N770" s="42">
        <f t="shared" si="113"/>
        <v>6666.7477629851965</v>
      </c>
      <c r="O770" s="36">
        <v>4.0689839400815409</v>
      </c>
      <c r="P770" s="42">
        <f t="shared" si="114"/>
        <v>7259.6465441662658</v>
      </c>
      <c r="Q770" s="42"/>
      <c r="R770">
        <v>0.47032074953459274</v>
      </c>
      <c r="S770">
        <v>0.56202887050996431</v>
      </c>
    </row>
    <row r="771" spans="1:19" x14ac:dyDescent="0.25">
      <c r="A771" s="40">
        <f t="shared" si="115"/>
        <v>64.229676878151835</v>
      </c>
      <c r="B771" s="40">
        <f t="shared" si="115"/>
        <v>32.933286051621081</v>
      </c>
      <c r="C771" s="41">
        <f t="shared" si="110"/>
        <v>0.49289226185293716</v>
      </c>
      <c r="D771" s="41">
        <f t="shared" si="111"/>
        <v>0.98069361229543572</v>
      </c>
      <c r="E771" s="39">
        <f>IF(_xlfn.NORM.INV(R771,C771,'Regressão Grupo 2'!$B$7)&lt;=0,0,IF(_xlfn.NORM.INV(R771,C771,'Regressão Grupo 2'!$B$7)&gt;100%,100%,_xlfn.NORM.INV(R771,C771,'Regressão Grupo 2'!$B$7)))</f>
        <v>0.67506267620673055</v>
      </c>
      <c r="F771" s="39">
        <f>IF(_xlfn.NORM.INV(S771,D771,'Regressão Grupo 2'!$B$7)&lt;=0,0,IF(_xlfn.NORM.INV(S771,D771,'Regressão Grupo 2'!$B$7)&gt;100%,100%,_xlfn.NORM.INV(S771,D771,'Regressão Grupo 2'!$B$7)))</f>
        <v>1</v>
      </c>
      <c r="G771" s="41">
        <v>2.7169125497215438E-2</v>
      </c>
      <c r="H771" s="41">
        <v>2.2374172708958882E-2</v>
      </c>
      <c r="I771" s="40">
        <f t="shared" si="112"/>
        <v>366.65810044820086</v>
      </c>
      <c r="J771" s="40">
        <f t="shared" si="112"/>
        <v>0</v>
      </c>
      <c r="K771" s="36">
        <v>0.29941333318533991</v>
      </c>
      <c r="L771" s="42">
        <f t="shared" si="119"/>
        <v>19991.322604477216</v>
      </c>
      <c r="M771" s="42">
        <f t="shared" si="119"/>
        <v>0</v>
      </c>
      <c r="N771" s="42">
        <f t="shared" si="113"/>
        <v>5985.6685357899541</v>
      </c>
      <c r="O771" s="36">
        <v>6.7411546612464415</v>
      </c>
      <c r="P771" s="42">
        <f t="shared" si="114"/>
        <v>15092.963817834767</v>
      </c>
      <c r="Q771" s="42"/>
      <c r="R771">
        <v>0.90615558336130864</v>
      </c>
      <c r="S771">
        <v>0.77169103061006505</v>
      </c>
    </row>
    <row r="772" spans="1:19" x14ac:dyDescent="0.25">
      <c r="A772" s="40">
        <f t="shared" si="115"/>
        <v>64.229676878151835</v>
      </c>
      <c r="B772" s="40">
        <f t="shared" si="115"/>
        <v>32.933286051621081</v>
      </c>
      <c r="C772" s="41">
        <f t="shared" si="110"/>
        <v>0.49289226185293716</v>
      </c>
      <c r="D772" s="41">
        <f t="shared" si="111"/>
        <v>0.98069361229543572</v>
      </c>
      <c r="E772" s="39">
        <f>IF(_xlfn.NORM.INV(R772,C772,'Regressão Grupo 2'!$B$7)&lt;=0,0,IF(_xlfn.NORM.INV(R772,C772,'Regressão Grupo 2'!$B$7)&gt;100%,100%,_xlfn.NORM.INV(R772,C772,'Regressão Grupo 2'!$B$7)))</f>
        <v>0.57150932320705672</v>
      </c>
      <c r="F772" s="39">
        <f>IF(_xlfn.NORM.INV(S772,D772,'Regressão Grupo 2'!$B$7)&lt;=0,0,IF(_xlfn.NORM.INV(S772,D772,'Regressão Grupo 2'!$B$7)&gt;100%,100%,_xlfn.NORM.INV(S772,D772,'Regressão Grupo 2'!$B$7)))</f>
        <v>0.76863333679406032</v>
      </c>
      <c r="G772" s="41">
        <v>1.3910538087278455E-2</v>
      </c>
      <c r="H772" s="41">
        <v>1.4043414834355936E-2</v>
      </c>
      <c r="I772" s="40">
        <f t="shared" si="112"/>
        <v>158.93105884056664</v>
      </c>
      <c r="J772" s="40">
        <f t="shared" si="112"/>
        <v>0</v>
      </c>
      <c r="K772" s="36">
        <v>0.21969605099084405</v>
      </c>
      <c r="L772" s="42">
        <f t="shared" si="119"/>
        <v>19991.322604477216</v>
      </c>
      <c r="M772" s="42">
        <f t="shared" si="119"/>
        <v>0</v>
      </c>
      <c r="N772" s="42">
        <f t="shared" si="113"/>
        <v>4392.0146302876401</v>
      </c>
      <c r="O772" s="36">
        <v>8.6710428534601576</v>
      </c>
      <c r="P772" s="42">
        <f t="shared" si="114"/>
        <v>4437.9779029921392</v>
      </c>
      <c r="Q772" s="42"/>
      <c r="R772">
        <v>0.71517075106051819</v>
      </c>
      <c r="S772">
        <v>6.2562944425794242E-2</v>
      </c>
    </row>
    <row r="773" spans="1:19" x14ac:dyDescent="0.25">
      <c r="A773" s="40">
        <f t="shared" si="115"/>
        <v>64.229676878151835</v>
      </c>
      <c r="B773" s="40">
        <f t="shared" si="115"/>
        <v>32.933286051621081</v>
      </c>
      <c r="C773" s="41">
        <f t="shared" si="110"/>
        <v>0.49289226185293716</v>
      </c>
      <c r="D773" s="41">
        <f t="shared" si="111"/>
        <v>0.98069361229543572</v>
      </c>
      <c r="E773" s="39">
        <f>IF(_xlfn.NORM.INV(R773,C773,'Regressão Grupo 2'!$B$7)&lt;=0,0,IF(_xlfn.NORM.INV(R773,C773,'Regressão Grupo 2'!$B$7)&gt;100%,100%,_xlfn.NORM.INV(R773,C773,'Regressão Grupo 2'!$B$7)))</f>
        <v>0.52496942686577441</v>
      </c>
      <c r="F773" s="39">
        <f>IF(_xlfn.NORM.INV(S773,D773,'Regressão Grupo 2'!$B$7)&lt;=0,0,IF(_xlfn.NORM.INV(S773,D773,'Regressão Grupo 2'!$B$7)&gt;100%,100%,_xlfn.NORM.INV(S773,D773,'Regressão Grupo 2'!$B$7)))</f>
        <v>0.9721147537735999</v>
      </c>
      <c r="G773" s="41">
        <v>1.8607319600631139E-2</v>
      </c>
      <c r="H773" s="41">
        <v>2.2674404426284267E-2</v>
      </c>
      <c r="I773" s="40">
        <f t="shared" si="112"/>
        <v>195.28071494877295</v>
      </c>
      <c r="J773" s="40">
        <f t="shared" si="112"/>
        <v>0</v>
      </c>
      <c r="K773" s="36">
        <v>0.27924387694984515</v>
      </c>
      <c r="L773" s="42">
        <f t="shared" si="119"/>
        <v>19991.322604477216</v>
      </c>
      <c r="M773" s="42">
        <f t="shared" si="119"/>
        <v>0</v>
      </c>
      <c r="N773" s="42">
        <f t="shared" si="113"/>
        <v>5582.4544294292937</v>
      </c>
      <c r="O773" s="36">
        <v>4.4991228233690066</v>
      </c>
      <c r="P773" s="42">
        <f t="shared" si="114"/>
        <v>6081.7708706750273</v>
      </c>
      <c r="Q773" s="42"/>
      <c r="R773">
        <v>0.59172338023010951</v>
      </c>
      <c r="S773">
        <v>0.47526474806970426</v>
      </c>
    </row>
    <row r="774" spans="1:19" x14ac:dyDescent="0.25">
      <c r="A774" s="40">
        <f t="shared" si="115"/>
        <v>64.229676878151835</v>
      </c>
      <c r="B774" s="40">
        <f t="shared" si="115"/>
        <v>32.933286051621081</v>
      </c>
      <c r="C774" s="41">
        <f t="shared" ref="C774:C837" si="120">-0.007*A774 + 0.9425</f>
        <v>0.49289226185293716</v>
      </c>
      <c r="D774" s="41">
        <f t="shared" ref="D774:D837" si="121">-0.0059*B774+1.175</f>
        <v>0.98069361229543572</v>
      </c>
      <c r="E774" s="39">
        <f>IF(_xlfn.NORM.INV(R774,C774,'Regressão Grupo 2'!$B$7)&lt;=0,0,IF(_xlfn.NORM.INV(R774,C774,'Regressão Grupo 2'!$B$7)&gt;100%,100%,_xlfn.NORM.INV(R774,C774,'Regressão Grupo 2'!$B$7)))</f>
        <v>0.44202551991857175</v>
      </c>
      <c r="F774" s="39">
        <f>IF(_xlfn.NORM.INV(S774,D774,'Regressão Grupo 2'!$B$7)&lt;=0,0,IF(_xlfn.NORM.INV(S774,D774,'Regressão Grupo 2'!$B$7)&gt;100%,100%,_xlfn.NORM.INV(S774,D774,'Regressão Grupo 2'!$B$7)))</f>
        <v>1</v>
      </c>
      <c r="G774" s="41">
        <v>2.7518091094210922E-2</v>
      </c>
      <c r="H774" s="41">
        <v>7.4440514376163261E-3</v>
      </c>
      <c r="I774" s="40">
        <f t="shared" ref="I774:J837" si="122">IF(E774*G774*L774&gt;0,E774*G774*L774,0)</f>
        <v>243.16842123859934</v>
      </c>
      <c r="J774" s="40">
        <f t="shared" si="122"/>
        <v>0</v>
      </c>
      <c r="K774" s="36">
        <v>0.34521351908098374</v>
      </c>
      <c r="L774" s="42">
        <f t="shared" si="119"/>
        <v>19991.322604477216</v>
      </c>
      <c r="M774" s="42">
        <f t="shared" si="119"/>
        <v>0</v>
      </c>
      <c r="N774" s="42">
        <f t="shared" ref="N774:N837" si="123">(L774+M774)*K774</f>
        <v>6901.2748273747975</v>
      </c>
      <c r="O774" s="36">
        <v>6.3618274580021659</v>
      </c>
      <c r="P774" s="42">
        <f t="shared" ref="P774:P837" si="124">SUMPRODUCT(A774:B774,I774:J774)-SUM(I774:J774)*O774-N774</f>
        <v>7170.3587565959924</v>
      </c>
      <c r="Q774" s="42"/>
      <c r="R774">
        <v>0.35648670918912323</v>
      </c>
      <c r="S774">
        <v>0.78283028656880393</v>
      </c>
    </row>
    <row r="775" spans="1:19" x14ac:dyDescent="0.25">
      <c r="A775" s="40">
        <f t="shared" ref="A775:B838" si="125">A774</f>
        <v>64.229676878151835</v>
      </c>
      <c r="B775" s="40">
        <f t="shared" si="125"/>
        <v>32.933286051621081</v>
      </c>
      <c r="C775" s="41">
        <f t="shared" si="120"/>
        <v>0.49289226185293716</v>
      </c>
      <c r="D775" s="41">
        <f t="shared" si="121"/>
        <v>0.98069361229543572</v>
      </c>
      <c r="E775" s="39">
        <f>IF(_xlfn.NORM.INV(R775,C775,'Regressão Grupo 2'!$B$7)&lt;=0,0,IF(_xlfn.NORM.INV(R775,C775,'Regressão Grupo 2'!$B$7)&gt;100%,100%,_xlfn.NORM.INV(R775,C775,'Regressão Grupo 2'!$B$7)))</f>
        <v>0.607922642113228</v>
      </c>
      <c r="F775" s="39">
        <f>IF(_xlfn.NORM.INV(S775,D775,'Regressão Grupo 2'!$B$7)&lt;=0,0,IF(_xlfn.NORM.INV(S775,D775,'Regressão Grupo 2'!$B$7)&gt;100%,100%,_xlfn.NORM.INV(S775,D775,'Regressão Grupo 2'!$B$7)))</f>
        <v>1</v>
      </c>
      <c r="G775" s="41">
        <v>1.9907083742416769E-2</v>
      </c>
      <c r="H775" s="41">
        <v>1.3594414267259438E-2</v>
      </c>
      <c r="I775" s="40">
        <f t="shared" si="122"/>
        <v>241.9343253553964</v>
      </c>
      <c r="J775" s="40">
        <f t="shared" si="122"/>
        <v>0</v>
      </c>
      <c r="K775" s="36">
        <v>0.39303310129094332</v>
      </c>
      <c r="L775" s="42">
        <f t="shared" ref="L775:M790" si="126">L774</f>
        <v>19991.322604477216</v>
      </c>
      <c r="M775" s="42">
        <f t="shared" si="126"/>
        <v>0</v>
      </c>
      <c r="N775" s="42">
        <f t="shared" si="123"/>
        <v>7857.2515221454187</v>
      </c>
      <c r="O775" s="36">
        <v>5.4219031775408872</v>
      </c>
      <c r="P775" s="42">
        <f t="shared" si="124"/>
        <v>6370.3675337647137</v>
      </c>
      <c r="Q775" s="42"/>
      <c r="R775">
        <v>0.79726554155095064</v>
      </c>
      <c r="S775">
        <v>0.86336863307596057</v>
      </c>
    </row>
    <row r="776" spans="1:19" x14ac:dyDescent="0.25">
      <c r="A776" s="40">
        <f t="shared" si="125"/>
        <v>64.229676878151835</v>
      </c>
      <c r="B776" s="40">
        <f t="shared" si="125"/>
        <v>32.933286051621081</v>
      </c>
      <c r="C776" s="41">
        <f t="shared" si="120"/>
        <v>0.49289226185293716</v>
      </c>
      <c r="D776" s="41">
        <f t="shared" si="121"/>
        <v>0.98069361229543572</v>
      </c>
      <c r="E776" s="39">
        <f>IF(_xlfn.NORM.INV(R776,C776,'Regressão Grupo 2'!$B$7)&lt;=0,0,IF(_xlfn.NORM.INV(R776,C776,'Regressão Grupo 2'!$B$7)&gt;100%,100%,_xlfn.NORM.INV(R776,C776,'Regressão Grupo 2'!$B$7)))</f>
        <v>0.64713183560545973</v>
      </c>
      <c r="F776" s="39">
        <f>IF(_xlfn.NORM.INV(S776,D776,'Regressão Grupo 2'!$B$7)&lt;=0,0,IF(_xlfn.NORM.INV(S776,D776,'Regressão Grupo 2'!$B$7)&gt;100%,100%,_xlfn.NORM.INV(S776,D776,'Regressão Grupo 2'!$B$7)))</f>
        <v>0.84010281434902612</v>
      </c>
      <c r="G776" s="41">
        <v>2.0413868801143271E-2</v>
      </c>
      <c r="H776" s="41">
        <v>2.4114297125469614E-2</v>
      </c>
      <c r="I776" s="40">
        <f t="shared" si="122"/>
        <v>264.09465535731363</v>
      </c>
      <c r="J776" s="40">
        <f t="shared" si="122"/>
        <v>0</v>
      </c>
      <c r="K776" s="36">
        <v>0.39191363192396933</v>
      </c>
      <c r="L776" s="42">
        <f t="shared" si="126"/>
        <v>19991.322604477216</v>
      </c>
      <c r="M776" s="42">
        <f t="shared" si="126"/>
        <v>0</v>
      </c>
      <c r="N776" s="42">
        <f t="shared" si="123"/>
        <v>7834.8718488844115</v>
      </c>
      <c r="O776" s="36">
        <v>9.1077558026669241</v>
      </c>
      <c r="P776" s="42">
        <f t="shared" si="124"/>
        <v>6722.5329001788195</v>
      </c>
      <c r="Q776" s="42"/>
      <c r="R776">
        <v>0.86767174291207616</v>
      </c>
      <c r="S776">
        <v>0.15463728751487776</v>
      </c>
    </row>
    <row r="777" spans="1:19" x14ac:dyDescent="0.25">
      <c r="A777" s="40">
        <f t="shared" si="125"/>
        <v>64.229676878151835</v>
      </c>
      <c r="B777" s="40">
        <f t="shared" si="125"/>
        <v>32.933286051621081</v>
      </c>
      <c r="C777" s="41">
        <f t="shared" si="120"/>
        <v>0.49289226185293716</v>
      </c>
      <c r="D777" s="41">
        <f t="shared" si="121"/>
        <v>0.98069361229543572</v>
      </c>
      <c r="E777" s="39">
        <f>IF(_xlfn.NORM.INV(R777,C777,'Regressão Grupo 2'!$B$7)&lt;=0,0,IF(_xlfn.NORM.INV(R777,C777,'Regressão Grupo 2'!$B$7)&gt;100%,100%,_xlfn.NORM.INV(R777,C777,'Regressão Grupo 2'!$B$7)))</f>
        <v>0.36144769267727006</v>
      </c>
      <c r="F777" s="39">
        <f>IF(_xlfn.NORM.INV(S777,D777,'Regressão Grupo 2'!$B$7)&lt;=0,0,IF(_xlfn.NORM.INV(S777,D777,'Regressão Grupo 2'!$B$7)&gt;100%,100%,_xlfn.NORM.INV(S777,D777,'Regressão Grupo 2'!$B$7)))</f>
        <v>1</v>
      </c>
      <c r="G777" s="41">
        <v>2.6596651665735875E-2</v>
      </c>
      <c r="H777" s="41">
        <v>1.6629873751667478E-2</v>
      </c>
      <c r="I777" s="40">
        <f t="shared" si="122"/>
        <v>192.18254915812579</v>
      </c>
      <c r="J777" s="40">
        <f t="shared" si="122"/>
        <v>0</v>
      </c>
      <c r="K777" s="36">
        <v>0.34386718566757102</v>
      </c>
      <c r="L777" s="42">
        <f t="shared" si="126"/>
        <v>19991.322604477216</v>
      </c>
      <c r="M777" s="42">
        <f t="shared" si="126"/>
        <v>0</v>
      </c>
      <c r="N777" s="42">
        <f t="shared" si="123"/>
        <v>6874.3598417740768</v>
      </c>
      <c r="O777" s="36">
        <v>4.1044593755372407</v>
      </c>
      <c r="P777" s="42">
        <f t="shared" si="124"/>
        <v>4680.6577265651567</v>
      </c>
      <c r="Q777" s="42"/>
      <c r="R777">
        <v>0.17090365306558428</v>
      </c>
      <c r="S777">
        <v>0.6598406933805353</v>
      </c>
    </row>
    <row r="778" spans="1:19" x14ac:dyDescent="0.25">
      <c r="A778" s="40">
        <f t="shared" si="125"/>
        <v>64.229676878151835</v>
      </c>
      <c r="B778" s="40">
        <f t="shared" si="125"/>
        <v>32.933286051621081</v>
      </c>
      <c r="C778" s="41">
        <f t="shared" si="120"/>
        <v>0.49289226185293716</v>
      </c>
      <c r="D778" s="41">
        <f t="shared" si="121"/>
        <v>0.98069361229543572</v>
      </c>
      <c r="E778" s="39">
        <f>IF(_xlfn.NORM.INV(R778,C778,'Regressão Grupo 2'!$B$7)&lt;=0,0,IF(_xlfn.NORM.INV(R778,C778,'Regressão Grupo 2'!$B$7)&gt;100%,100%,_xlfn.NORM.INV(R778,C778,'Regressão Grupo 2'!$B$7)))</f>
        <v>0.51788029287431248</v>
      </c>
      <c r="F778" s="39">
        <f>IF(_xlfn.NORM.INV(S778,D778,'Regressão Grupo 2'!$B$7)&lt;=0,0,IF(_xlfn.NORM.INV(S778,D778,'Regressão Grupo 2'!$B$7)&gt;100%,100%,_xlfn.NORM.INV(S778,D778,'Regressão Grupo 2'!$B$7)))</f>
        <v>0.87625840277950351</v>
      </c>
      <c r="G778" s="41">
        <v>1.890925958812862E-2</v>
      </c>
      <c r="H778" s="41">
        <v>2.4260854164269534E-2</v>
      </c>
      <c r="I778" s="40">
        <f t="shared" si="122"/>
        <v>195.76968245416285</v>
      </c>
      <c r="J778" s="40">
        <f t="shared" si="122"/>
        <v>0</v>
      </c>
      <c r="K778" s="36">
        <v>0.4366947172612598</v>
      </c>
      <c r="L778" s="42">
        <f t="shared" si="126"/>
        <v>19991.322604477216</v>
      </c>
      <c r="M778" s="42">
        <f t="shared" si="126"/>
        <v>0</v>
      </c>
      <c r="N778" s="42">
        <f t="shared" si="123"/>
        <v>8730.1049724408094</v>
      </c>
      <c r="O778" s="36">
        <v>6.7559239497315744</v>
      </c>
      <c r="P778" s="42">
        <f t="shared" si="124"/>
        <v>2521.5133878050383</v>
      </c>
      <c r="Q778" s="42"/>
      <c r="R778">
        <v>0.57170323801385536</v>
      </c>
      <c r="S778">
        <v>0.22504348887600328</v>
      </c>
    </row>
    <row r="779" spans="1:19" x14ac:dyDescent="0.25">
      <c r="A779" s="40">
        <f t="shared" si="125"/>
        <v>64.229676878151835</v>
      </c>
      <c r="B779" s="40">
        <f t="shared" si="125"/>
        <v>32.933286051621081</v>
      </c>
      <c r="C779" s="41">
        <f t="shared" si="120"/>
        <v>0.49289226185293716</v>
      </c>
      <c r="D779" s="41">
        <f t="shared" si="121"/>
        <v>0.98069361229543572</v>
      </c>
      <c r="E779" s="39">
        <f>IF(_xlfn.NORM.INV(R779,C779,'Regressão Grupo 2'!$B$7)&lt;=0,0,IF(_xlfn.NORM.INV(R779,C779,'Regressão Grupo 2'!$B$7)&gt;100%,100%,_xlfn.NORM.INV(R779,C779,'Regressão Grupo 2'!$B$7)))</f>
        <v>0.21777624437367016</v>
      </c>
      <c r="F779" s="39">
        <f>IF(_xlfn.NORM.INV(S779,D779,'Regressão Grupo 2'!$B$7)&lt;=0,0,IF(_xlfn.NORM.INV(S779,D779,'Regressão Grupo 2'!$B$7)&gt;100%,100%,_xlfn.NORM.INV(S779,D779,'Regressão Grupo 2'!$B$7)))</f>
        <v>0.78424407736673174</v>
      </c>
      <c r="G779" s="41">
        <v>1.7937222561701039E-2</v>
      </c>
      <c r="H779" s="41">
        <v>9.3325588864365018E-3</v>
      </c>
      <c r="I779" s="40">
        <f t="shared" si="122"/>
        <v>78.092122761142818</v>
      </c>
      <c r="J779" s="40">
        <f t="shared" si="122"/>
        <v>0</v>
      </c>
      <c r="K779" s="36">
        <v>0.36031252252975748</v>
      </c>
      <c r="L779" s="42">
        <f t="shared" si="126"/>
        <v>19991.322604477216</v>
      </c>
      <c r="M779" s="42">
        <f t="shared" si="126"/>
        <v>0</v>
      </c>
      <c r="N779" s="42">
        <f t="shared" si="123"/>
        <v>7203.1238763253468</v>
      </c>
      <c r="O779" s="36">
        <v>4.8915258704948865</v>
      </c>
      <c r="P779" s="42">
        <f t="shared" si="124"/>
        <v>-2569.2817034161699</v>
      </c>
      <c r="Q779" s="42"/>
      <c r="R779">
        <v>2.3316141239661855E-2</v>
      </c>
      <c r="S779">
        <v>7.770012512588885E-2</v>
      </c>
    </row>
    <row r="780" spans="1:19" x14ac:dyDescent="0.25">
      <c r="A780" s="40">
        <f t="shared" si="125"/>
        <v>64.229676878151835</v>
      </c>
      <c r="B780" s="40">
        <f t="shared" si="125"/>
        <v>32.933286051621081</v>
      </c>
      <c r="C780" s="41">
        <f t="shared" si="120"/>
        <v>0.49289226185293716</v>
      </c>
      <c r="D780" s="41">
        <f t="shared" si="121"/>
        <v>0.98069361229543572</v>
      </c>
      <c r="E780" s="39">
        <f>IF(_xlfn.NORM.INV(R780,C780,'Regressão Grupo 2'!$B$7)&lt;=0,0,IF(_xlfn.NORM.INV(R780,C780,'Regressão Grupo 2'!$B$7)&gt;100%,100%,_xlfn.NORM.INV(R780,C780,'Regressão Grupo 2'!$B$7)))</f>
        <v>0.66577861876034872</v>
      </c>
      <c r="F780" s="39">
        <f>IF(_xlfn.NORM.INV(S780,D780,'Regressão Grupo 2'!$B$7)&lt;=0,0,IF(_xlfn.NORM.INV(S780,D780,'Regressão Grupo 2'!$B$7)&gt;100%,100%,_xlfn.NORM.INV(S780,D780,'Regressão Grupo 2'!$B$7)))</f>
        <v>0.70212424089331371</v>
      </c>
      <c r="G780" s="41">
        <v>2.0959724184589551E-2</v>
      </c>
      <c r="H780" s="41">
        <v>1.5131174167220863E-2</v>
      </c>
      <c r="I780" s="40">
        <f t="shared" si="122"/>
        <v>278.96963531418442</v>
      </c>
      <c r="J780" s="40">
        <f t="shared" si="122"/>
        <v>0</v>
      </c>
      <c r="K780" s="36">
        <v>0.28176199846921912</v>
      </c>
      <c r="L780" s="42">
        <f t="shared" si="126"/>
        <v>19991.322604477216</v>
      </c>
      <c r="M780" s="42">
        <f t="shared" si="126"/>
        <v>0</v>
      </c>
      <c r="N780" s="42">
        <f t="shared" si="123"/>
        <v>5632.7950090803752</v>
      </c>
      <c r="O780" s="36">
        <v>4.7864008151859014</v>
      </c>
      <c r="P780" s="42">
        <f t="shared" si="124"/>
        <v>10950.074036085622</v>
      </c>
      <c r="Q780" s="42"/>
      <c r="R780">
        <v>0.89440595721304972</v>
      </c>
      <c r="S780">
        <v>2.1973326822717978E-2</v>
      </c>
    </row>
    <row r="781" spans="1:19" x14ac:dyDescent="0.25">
      <c r="A781" s="40">
        <f t="shared" si="125"/>
        <v>64.229676878151835</v>
      </c>
      <c r="B781" s="40">
        <f t="shared" si="125"/>
        <v>32.933286051621081</v>
      </c>
      <c r="C781" s="41">
        <f t="shared" si="120"/>
        <v>0.49289226185293716</v>
      </c>
      <c r="D781" s="41">
        <f t="shared" si="121"/>
        <v>0.98069361229543572</v>
      </c>
      <c r="E781" s="39">
        <f>IF(_xlfn.NORM.INV(R781,C781,'Regressão Grupo 2'!$B$7)&lt;=0,0,IF(_xlfn.NORM.INV(R781,C781,'Regressão Grupo 2'!$B$7)&gt;100%,100%,_xlfn.NORM.INV(R781,C781,'Regressão Grupo 2'!$B$7)))</f>
        <v>0.63928243700721155</v>
      </c>
      <c r="F781" s="39">
        <f>IF(_xlfn.NORM.INV(S781,D781,'Regressão Grupo 2'!$B$7)&lt;=0,0,IF(_xlfn.NORM.INV(S781,D781,'Regressão Grupo 2'!$B$7)&gt;100%,100%,_xlfn.NORM.INV(S781,D781,'Regressão Grupo 2'!$B$7)))</f>
        <v>0.93183622880617867</v>
      </c>
      <c r="G781" s="41">
        <v>9.6217118133255768E-3</v>
      </c>
      <c r="H781" s="41">
        <v>1.8001115923304667E-2</v>
      </c>
      <c r="I781" s="40">
        <f t="shared" si="122"/>
        <v>122.96645293904848</v>
      </c>
      <c r="J781" s="40">
        <f t="shared" si="122"/>
        <v>0</v>
      </c>
      <c r="K781" s="36">
        <v>0.40624598193831923</v>
      </c>
      <c r="L781" s="42">
        <f t="shared" si="126"/>
        <v>19991.322604477216</v>
      </c>
      <c r="M781" s="42">
        <f t="shared" si="126"/>
        <v>0</v>
      </c>
      <c r="N781" s="42">
        <f t="shared" si="123"/>
        <v>8121.3944817015645</v>
      </c>
      <c r="O781" s="36">
        <v>4.922620168308705</v>
      </c>
      <c r="P781" s="42">
        <f t="shared" si="124"/>
        <v>-828.61608383715975</v>
      </c>
      <c r="Q781" s="42"/>
      <c r="R781">
        <v>0.85512863551744134</v>
      </c>
      <c r="S781">
        <v>0.36191900387585069</v>
      </c>
    </row>
    <row r="782" spans="1:19" x14ac:dyDescent="0.25">
      <c r="A782" s="40">
        <f t="shared" si="125"/>
        <v>64.229676878151835</v>
      </c>
      <c r="B782" s="40">
        <f t="shared" si="125"/>
        <v>32.933286051621081</v>
      </c>
      <c r="C782" s="41">
        <f t="shared" si="120"/>
        <v>0.49289226185293716</v>
      </c>
      <c r="D782" s="41">
        <f t="shared" si="121"/>
        <v>0.98069361229543572</v>
      </c>
      <c r="E782" s="39">
        <f>IF(_xlfn.NORM.INV(R782,C782,'Regressão Grupo 2'!$B$7)&lt;=0,0,IF(_xlfn.NORM.INV(R782,C782,'Regressão Grupo 2'!$B$7)&gt;100%,100%,_xlfn.NORM.INV(R782,C782,'Regressão Grupo 2'!$B$7)))</f>
        <v>0.44382089491304749</v>
      </c>
      <c r="F782" s="39">
        <f>IF(_xlfn.NORM.INV(S782,D782,'Regressão Grupo 2'!$B$7)&lt;=0,0,IF(_xlfn.NORM.INV(S782,D782,'Regressão Grupo 2'!$B$7)&gt;100%,100%,_xlfn.NORM.INV(S782,D782,'Regressão Grupo 2'!$B$7)))</f>
        <v>1</v>
      </c>
      <c r="G782" s="41">
        <v>1.5096552760373297E-2</v>
      </c>
      <c r="H782" s="41">
        <v>1.2729707108100089E-2</v>
      </c>
      <c r="I782" s="40">
        <f t="shared" si="122"/>
        <v>133.9451711376189</v>
      </c>
      <c r="J782" s="40">
        <f t="shared" si="122"/>
        <v>0</v>
      </c>
      <c r="K782" s="36">
        <v>0.17182821326658027</v>
      </c>
      <c r="L782" s="42">
        <f t="shared" si="126"/>
        <v>19991.322604477216</v>
      </c>
      <c r="M782" s="42">
        <f t="shared" si="126"/>
        <v>0</v>
      </c>
      <c r="N782" s="42">
        <f t="shared" si="123"/>
        <v>3435.0732439631179</v>
      </c>
      <c r="O782" s="36">
        <v>6.2691154883190015</v>
      </c>
      <c r="P782" s="42">
        <f t="shared" si="124"/>
        <v>4328.4640706305072</v>
      </c>
      <c r="Q782" s="42"/>
      <c r="R782">
        <v>0.36133915219580676</v>
      </c>
      <c r="S782">
        <v>0.68779564806054871</v>
      </c>
    </row>
    <row r="783" spans="1:19" x14ac:dyDescent="0.25">
      <c r="A783" s="40">
        <f t="shared" si="125"/>
        <v>64.229676878151835</v>
      </c>
      <c r="B783" s="40">
        <f t="shared" si="125"/>
        <v>32.933286051621081</v>
      </c>
      <c r="C783" s="41">
        <f t="shared" si="120"/>
        <v>0.49289226185293716</v>
      </c>
      <c r="D783" s="41">
        <f t="shared" si="121"/>
        <v>0.98069361229543572</v>
      </c>
      <c r="E783" s="39">
        <f>IF(_xlfn.NORM.INV(R783,C783,'Regressão Grupo 2'!$B$7)&lt;=0,0,IF(_xlfn.NORM.INV(R783,C783,'Regressão Grupo 2'!$B$7)&gt;100%,100%,_xlfn.NORM.INV(R783,C783,'Regressão Grupo 2'!$B$7)))</f>
        <v>0.52132904993611651</v>
      </c>
      <c r="F783" s="39">
        <f>IF(_xlfn.NORM.INV(S783,D783,'Regressão Grupo 2'!$B$7)&lt;=0,0,IF(_xlfn.NORM.INV(S783,D783,'Regressão Grupo 2'!$B$7)&gt;100%,100%,_xlfn.NORM.INV(S783,D783,'Regressão Grupo 2'!$B$7)))</f>
        <v>0.88300115808636248</v>
      </c>
      <c r="G783" s="41">
        <v>1.9438753449480969E-2</v>
      </c>
      <c r="H783" s="41">
        <v>2.1572717919667701E-2</v>
      </c>
      <c r="I783" s="40">
        <f t="shared" si="122"/>
        <v>202.59180074293218</v>
      </c>
      <c r="J783" s="40">
        <f t="shared" si="122"/>
        <v>0</v>
      </c>
      <c r="K783" s="36">
        <v>0.2361166113868795</v>
      </c>
      <c r="L783" s="42">
        <f t="shared" si="126"/>
        <v>19991.322604477216</v>
      </c>
      <c r="M783" s="42">
        <f t="shared" si="126"/>
        <v>0</v>
      </c>
      <c r="N783" s="42">
        <f t="shared" si="123"/>
        <v>4720.2833505110866</v>
      </c>
      <c r="O783" s="36">
        <v>5.703350645837415</v>
      </c>
      <c r="P783" s="42">
        <f t="shared" si="124"/>
        <v>7136.6704717618013</v>
      </c>
      <c r="Q783" s="42"/>
      <c r="R783">
        <v>0.58146916104617452</v>
      </c>
      <c r="S783">
        <v>0.23993652150028993</v>
      </c>
    </row>
    <row r="784" spans="1:19" x14ac:dyDescent="0.25">
      <c r="A784" s="40">
        <f t="shared" si="125"/>
        <v>64.229676878151835</v>
      </c>
      <c r="B784" s="40">
        <f t="shared" si="125"/>
        <v>32.933286051621081</v>
      </c>
      <c r="C784" s="41">
        <f t="shared" si="120"/>
        <v>0.49289226185293716</v>
      </c>
      <c r="D784" s="41">
        <f t="shared" si="121"/>
        <v>0.98069361229543572</v>
      </c>
      <c r="E784" s="39">
        <f>IF(_xlfn.NORM.INV(R784,C784,'Regressão Grupo 2'!$B$7)&lt;=0,0,IF(_xlfn.NORM.INV(R784,C784,'Regressão Grupo 2'!$B$7)&gt;100%,100%,_xlfn.NORM.INV(R784,C784,'Regressão Grupo 2'!$B$7)))</f>
        <v>0.64907820561403384</v>
      </c>
      <c r="F784" s="39">
        <f>IF(_xlfn.NORM.INV(S784,D784,'Regressão Grupo 2'!$B$7)&lt;=0,0,IF(_xlfn.NORM.INV(S784,D784,'Regressão Grupo 2'!$B$7)&gt;100%,100%,_xlfn.NORM.INV(S784,D784,'Regressão Grupo 2'!$B$7)))</f>
        <v>1</v>
      </c>
      <c r="G784" s="41">
        <v>1.6704995745533021E-2</v>
      </c>
      <c r="H784" s="41">
        <v>2.1225887552137154E-2</v>
      </c>
      <c r="I784" s="40">
        <f t="shared" si="122"/>
        <v>216.76288557956769</v>
      </c>
      <c r="J784" s="40">
        <f t="shared" si="122"/>
        <v>0</v>
      </c>
      <c r="K784" s="36">
        <v>0.34412441098982949</v>
      </c>
      <c r="L784" s="42">
        <f t="shared" si="126"/>
        <v>19991.322604477216</v>
      </c>
      <c r="M784" s="42">
        <f t="shared" si="126"/>
        <v>0</v>
      </c>
      <c r="N784" s="42">
        <f t="shared" si="123"/>
        <v>6879.5021161733857</v>
      </c>
      <c r="O784" s="36">
        <v>4.3310092239197386</v>
      </c>
      <c r="P784" s="42">
        <f t="shared" si="124"/>
        <v>6104.305926929479</v>
      </c>
      <c r="Q784" s="42"/>
      <c r="R784">
        <v>0.87066255684072391</v>
      </c>
      <c r="S784">
        <v>0.7865230262153996</v>
      </c>
    </row>
    <row r="785" spans="1:19" x14ac:dyDescent="0.25">
      <c r="A785" s="40">
        <f t="shared" si="125"/>
        <v>64.229676878151835</v>
      </c>
      <c r="B785" s="40">
        <f t="shared" si="125"/>
        <v>32.933286051621081</v>
      </c>
      <c r="C785" s="41">
        <f t="shared" si="120"/>
        <v>0.49289226185293716</v>
      </c>
      <c r="D785" s="41">
        <f t="shared" si="121"/>
        <v>0.98069361229543572</v>
      </c>
      <c r="E785" s="39">
        <f>IF(_xlfn.NORM.INV(R785,C785,'Regressão Grupo 2'!$B$7)&lt;=0,0,IF(_xlfn.NORM.INV(R785,C785,'Regressão Grupo 2'!$B$7)&gt;100%,100%,_xlfn.NORM.INV(R785,C785,'Regressão Grupo 2'!$B$7)))</f>
        <v>0.39320746582925831</v>
      </c>
      <c r="F785" s="39">
        <f>IF(_xlfn.NORM.INV(S785,D785,'Regressão Grupo 2'!$B$7)&lt;=0,0,IF(_xlfn.NORM.INV(S785,D785,'Regressão Grupo 2'!$B$7)&gt;100%,100%,_xlfn.NORM.INV(S785,D785,'Regressão Grupo 2'!$B$7)))</f>
        <v>1</v>
      </c>
      <c r="G785" s="41">
        <v>2.1854537907284977E-2</v>
      </c>
      <c r="H785" s="41">
        <v>2.5709720471559058E-2</v>
      </c>
      <c r="I785" s="40">
        <f t="shared" si="122"/>
        <v>171.79278129947258</v>
      </c>
      <c r="J785" s="40">
        <f t="shared" si="122"/>
        <v>0</v>
      </c>
      <c r="K785" s="36">
        <v>0.29903995643771636</v>
      </c>
      <c r="L785" s="42">
        <f t="shared" si="126"/>
        <v>19991.322604477216</v>
      </c>
      <c r="M785" s="42">
        <f t="shared" si="126"/>
        <v>0</v>
      </c>
      <c r="N785" s="42">
        <f t="shared" si="123"/>
        <v>5978.2042407752015</v>
      </c>
      <c r="O785" s="36">
        <v>5.4550833384668369</v>
      </c>
      <c r="P785" s="42">
        <f t="shared" si="124"/>
        <v>4118.8466531532977</v>
      </c>
      <c r="Q785" s="42"/>
      <c r="R785">
        <v>0.23548081911679433</v>
      </c>
      <c r="S785">
        <v>0.93713187047944579</v>
      </c>
    </row>
    <row r="786" spans="1:19" x14ac:dyDescent="0.25">
      <c r="A786" s="40">
        <f t="shared" si="125"/>
        <v>64.229676878151835</v>
      </c>
      <c r="B786" s="40">
        <f t="shared" si="125"/>
        <v>32.933286051621081</v>
      </c>
      <c r="C786" s="41">
        <f t="shared" si="120"/>
        <v>0.49289226185293716</v>
      </c>
      <c r="D786" s="41">
        <f t="shared" si="121"/>
        <v>0.98069361229543572</v>
      </c>
      <c r="E786" s="39">
        <f>IF(_xlfn.NORM.INV(R786,C786,'Regressão Grupo 2'!$B$7)&lt;=0,0,IF(_xlfn.NORM.INV(R786,C786,'Regressão Grupo 2'!$B$7)&gt;100%,100%,_xlfn.NORM.INV(R786,C786,'Regressão Grupo 2'!$B$7)))</f>
        <v>0.40903312540299258</v>
      </c>
      <c r="F786" s="39">
        <f>IF(_xlfn.NORM.INV(S786,D786,'Regressão Grupo 2'!$B$7)&lt;=0,0,IF(_xlfn.NORM.INV(S786,D786,'Regressão Grupo 2'!$B$7)&gt;100%,100%,_xlfn.NORM.INV(S786,D786,'Regressão Grupo 2'!$B$7)))</f>
        <v>1</v>
      </c>
      <c r="G786" s="41">
        <v>1.8411189234240479E-2</v>
      </c>
      <c r="H786" s="41">
        <v>1.1617847149404763E-2</v>
      </c>
      <c r="I786" s="40">
        <f t="shared" si="122"/>
        <v>150.55037788624168</v>
      </c>
      <c r="J786" s="40">
        <f t="shared" si="122"/>
        <v>0</v>
      </c>
      <c r="K786" s="36">
        <v>0.10439290334431348</v>
      </c>
      <c r="L786" s="42">
        <f t="shared" si="126"/>
        <v>19991.322604477216</v>
      </c>
      <c r="M786" s="42">
        <f t="shared" si="126"/>
        <v>0</v>
      </c>
      <c r="N786" s="42">
        <f t="shared" si="123"/>
        <v>2086.952208374179</v>
      </c>
      <c r="O786" s="36">
        <v>4.4745006100809359</v>
      </c>
      <c r="P786" s="42">
        <f t="shared" si="124"/>
        <v>6909.2121594428754</v>
      </c>
      <c r="Q786" s="42"/>
      <c r="R786">
        <v>0.27210303048799095</v>
      </c>
      <c r="S786">
        <v>0.69109164708395643</v>
      </c>
    </row>
    <row r="787" spans="1:19" x14ac:dyDescent="0.25">
      <c r="A787" s="40">
        <f t="shared" si="125"/>
        <v>64.229676878151835</v>
      </c>
      <c r="B787" s="40">
        <f t="shared" si="125"/>
        <v>32.933286051621081</v>
      </c>
      <c r="C787" s="41">
        <f t="shared" si="120"/>
        <v>0.49289226185293716</v>
      </c>
      <c r="D787" s="41">
        <f t="shared" si="121"/>
        <v>0.98069361229543572</v>
      </c>
      <c r="E787" s="39">
        <f>IF(_xlfn.NORM.INV(R787,C787,'Regressão Grupo 2'!$B$7)&lt;=0,0,IF(_xlfn.NORM.INV(R787,C787,'Regressão Grupo 2'!$B$7)&gt;100%,100%,_xlfn.NORM.INV(R787,C787,'Regressão Grupo 2'!$B$7)))</f>
        <v>0.46893573691594004</v>
      </c>
      <c r="F787" s="39">
        <f>IF(_xlfn.NORM.INV(S787,D787,'Regressão Grupo 2'!$B$7)&lt;=0,0,IF(_xlfn.NORM.INV(S787,D787,'Regressão Grupo 2'!$B$7)&gt;100%,100%,_xlfn.NORM.INV(S787,D787,'Regressão Grupo 2'!$B$7)))</f>
        <v>1</v>
      </c>
      <c r="G787" s="41">
        <v>1.065265590432778E-2</v>
      </c>
      <c r="H787" s="41">
        <v>1.3502717221509312E-2</v>
      </c>
      <c r="I787" s="40">
        <f t="shared" si="122"/>
        <v>99.864873774707434</v>
      </c>
      <c r="J787" s="40">
        <f t="shared" si="122"/>
        <v>0</v>
      </c>
      <c r="K787" s="36">
        <v>0.32396742413459911</v>
      </c>
      <c r="L787" s="42">
        <f t="shared" si="126"/>
        <v>19991.322604477216</v>
      </c>
      <c r="M787" s="42">
        <f t="shared" si="126"/>
        <v>0</v>
      </c>
      <c r="N787" s="42">
        <f t="shared" si="123"/>
        <v>6476.5372892162686</v>
      </c>
      <c r="O787" s="36">
        <v>7.0509396366898853</v>
      </c>
      <c r="P787" s="42">
        <f t="shared" si="124"/>
        <v>-766.38991200050805</v>
      </c>
      <c r="Q787" s="42"/>
      <c r="R787">
        <v>0.43122653889584034</v>
      </c>
      <c r="S787">
        <v>0.91265602587969608</v>
      </c>
    </row>
    <row r="788" spans="1:19" x14ac:dyDescent="0.25">
      <c r="A788" s="40">
        <f t="shared" si="125"/>
        <v>64.229676878151835</v>
      </c>
      <c r="B788" s="40">
        <f t="shared" si="125"/>
        <v>32.933286051621081</v>
      </c>
      <c r="C788" s="41">
        <f t="shared" si="120"/>
        <v>0.49289226185293716</v>
      </c>
      <c r="D788" s="41">
        <f t="shared" si="121"/>
        <v>0.98069361229543572</v>
      </c>
      <c r="E788" s="39">
        <f>IF(_xlfn.NORM.INV(R788,C788,'Regressão Grupo 2'!$B$7)&lt;=0,0,IF(_xlfn.NORM.INV(R788,C788,'Regressão Grupo 2'!$B$7)&gt;100%,100%,_xlfn.NORM.INV(R788,C788,'Regressão Grupo 2'!$B$7)))</f>
        <v>0.60171359474275343</v>
      </c>
      <c r="F788" s="39">
        <f>IF(_xlfn.NORM.INV(S788,D788,'Regressão Grupo 2'!$B$7)&lt;=0,0,IF(_xlfn.NORM.INV(S788,D788,'Regressão Grupo 2'!$B$7)&gt;100%,100%,_xlfn.NORM.INV(S788,D788,'Regressão Grupo 2'!$B$7)))</f>
        <v>0.96578702489197465</v>
      </c>
      <c r="G788" s="41">
        <v>1.772507949079544E-2</v>
      </c>
      <c r="H788" s="41">
        <v>2.9075580294376641E-2</v>
      </c>
      <c r="I788" s="40">
        <f t="shared" si="122"/>
        <v>213.21587787113594</v>
      </c>
      <c r="J788" s="40">
        <f t="shared" si="122"/>
        <v>0</v>
      </c>
      <c r="K788" s="36">
        <v>0.20129161215095093</v>
      </c>
      <c r="L788" s="42">
        <f t="shared" si="126"/>
        <v>19991.322604477216</v>
      </c>
      <c r="M788" s="42">
        <f t="shared" si="126"/>
        <v>0</v>
      </c>
      <c r="N788" s="42">
        <f t="shared" si="123"/>
        <v>4024.0855560849659</v>
      </c>
      <c r="O788" s="36">
        <v>4.2620964327906208</v>
      </c>
      <c r="P788" s="42">
        <f t="shared" si="124"/>
        <v>8761.9547523806905</v>
      </c>
      <c r="Q788" s="42"/>
      <c r="R788">
        <v>0.78435621204260386</v>
      </c>
      <c r="S788">
        <v>0.45707571642200995</v>
      </c>
    </row>
    <row r="789" spans="1:19" x14ac:dyDescent="0.25">
      <c r="A789" s="40">
        <f t="shared" si="125"/>
        <v>64.229676878151835</v>
      </c>
      <c r="B789" s="40">
        <f t="shared" si="125"/>
        <v>32.933286051621081</v>
      </c>
      <c r="C789" s="41">
        <f t="shared" si="120"/>
        <v>0.49289226185293716</v>
      </c>
      <c r="D789" s="41">
        <f t="shared" si="121"/>
        <v>0.98069361229543572</v>
      </c>
      <c r="E789" s="39">
        <f>IF(_xlfn.NORM.INV(R789,C789,'Regressão Grupo 2'!$B$7)&lt;=0,0,IF(_xlfn.NORM.INV(R789,C789,'Regressão Grupo 2'!$B$7)&gt;100%,100%,_xlfn.NORM.INV(R789,C789,'Regressão Grupo 2'!$B$7)))</f>
        <v>0.44613478650918492</v>
      </c>
      <c r="F789" s="39">
        <f>IF(_xlfn.NORM.INV(S789,D789,'Regressão Grupo 2'!$B$7)&lt;=0,0,IF(_xlfn.NORM.INV(S789,D789,'Regressão Grupo 2'!$B$7)&gt;100%,100%,_xlfn.NORM.INV(S789,D789,'Regressão Grupo 2'!$B$7)))</f>
        <v>1</v>
      </c>
      <c r="G789" s="41">
        <v>2.2705850297362211E-2</v>
      </c>
      <c r="H789" s="41">
        <v>1.8584243524040461E-2</v>
      </c>
      <c r="I789" s="40">
        <f t="shared" si="122"/>
        <v>202.50949261270048</v>
      </c>
      <c r="J789" s="40">
        <f t="shared" si="122"/>
        <v>0</v>
      </c>
      <c r="K789" s="36">
        <v>0.26487718577523134</v>
      </c>
      <c r="L789" s="42">
        <f t="shared" si="126"/>
        <v>19991.322604477216</v>
      </c>
      <c r="M789" s="42">
        <f t="shared" si="126"/>
        <v>0</v>
      </c>
      <c r="N789" s="42">
        <f t="shared" si="123"/>
        <v>5295.2452713986931</v>
      </c>
      <c r="O789" s="36">
        <v>5.441012923859387</v>
      </c>
      <c r="P789" s="42">
        <f t="shared" si="124"/>
        <v>6610.0172373636251</v>
      </c>
      <c r="Q789" s="42"/>
      <c r="R789">
        <v>0.36762596514786217</v>
      </c>
      <c r="S789">
        <v>0.97247230445265054</v>
      </c>
    </row>
    <row r="790" spans="1:19" x14ac:dyDescent="0.25">
      <c r="A790" s="40">
        <f t="shared" si="125"/>
        <v>64.229676878151835</v>
      </c>
      <c r="B790" s="40">
        <f t="shared" si="125"/>
        <v>32.933286051621081</v>
      </c>
      <c r="C790" s="41">
        <f t="shared" si="120"/>
        <v>0.49289226185293716</v>
      </c>
      <c r="D790" s="41">
        <f t="shared" si="121"/>
        <v>0.98069361229543572</v>
      </c>
      <c r="E790" s="39">
        <f>IF(_xlfn.NORM.INV(R790,C790,'Regressão Grupo 2'!$B$7)&lt;=0,0,IF(_xlfn.NORM.INV(R790,C790,'Regressão Grupo 2'!$B$7)&gt;100%,100%,_xlfn.NORM.INV(R790,C790,'Regressão Grupo 2'!$B$7)))</f>
        <v>0.41272851264092575</v>
      </c>
      <c r="F790" s="39">
        <f>IF(_xlfn.NORM.INV(S790,D790,'Regressão Grupo 2'!$B$7)&lt;=0,0,IF(_xlfn.NORM.INV(S790,D790,'Regressão Grupo 2'!$B$7)&gt;100%,100%,_xlfn.NORM.INV(S790,D790,'Regressão Grupo 2'!$B$7)))</f>
        <v>0.79441213452302928</v>
      </c>
      <c r="G790" s="41">
        <v>2.0732229252878522E-2</v>
      </c>
      <c r="H790" s="41">
        <v>2.0730199728527979E-2</v>
      </c>
      <c r="I790" s="40">
        <f t="shared" si="122"/>
        <v>171.0613922823654</v>
      </c>
      <c r="J790" s="40">
        <f t="shared" si="122"/>
        <v>0</v>
      </c>
      <c r="K790" s="36">
        <v>0.26289737239191413</v>
      </c>
      <c r="L790" s="42">
        <f t="shared" si="126"/>
        <v>19991.322604477216</v>
      </c>
      <c r="M790" s="42">
        <f t="shared" si="126"/>
        <v>0</v>
      </c>
      <c r="N790" s="42">
        <f t="shared" si="123"/>
        <v>5255.6661833561375</v>
      </c>
      <c r="O790" s="36">
        <v>8.812787156560498</v>
      </c>
      <c r="P790" s="42">
        <f t="shared" si="124"/>
        <v>4224.0241283775831</v>
      </c>
      <c r="Q790" s="42"/>
      <c r="R790">
        <v>0.28104495376445815</v>
      </c>
      <c r="S790">
        <v>8.8961455122531813E-2</v>
      </c>
    </row>
    <row r="791" spans="1:19" x14ac:dyDescent="0.25">
      <c r="A791" s="40">
        <f t="shared" si="125"/>
        <v>64.229676878151835</v>
      </c>
      <c r="B791" s="40">
        <f t="shared" si="125"/>
        <v>32.933286051621081</v>
      </c>
      <c r="C791" s="41">
        <f t="shared" si="120"/>
        <v>0.49289226185293716</v>
      </c>
      <c r="D791" s="41">
        <f t="shared" si="121"/>
        <v>0.98069361229543572</v>
      </c>
      <c r="E791" s="39">
        <f>IF(_xlfn.NORM.INV(R791,C791,'Regressão Grupo 2'!$B$7)&lt;=0,0,IF(_xlfn.NORM.INV(R791,C791,'Regressão Grupo 2'!$B$7)&gt;100%,100%,_xlfn.NORM.INV(R791,C791,'Regressão Grupo 2'!$B$7)))</f>
        <v>0.5480053077471555</v>
      </c>
      <c r="F791" s="39">
        <f>IF(_xlfn.NORM.INV(S791,D791,'Regressão Grupo 2'!$B$7)&lt;=0,0,IF(_xlfn.NORM.INV(S791,D791,'Regressão Grupo 2'!$B$7)&gt;100%,100%,_xlfn.NORM.INV(S791,D791,'Regressão Grupo 2'!$B$7)))</f>
        <v>1</v>
      </c>
      <c r="G791" s="41">
        <v>1.7804401966197345E-2</v>
      </c>
      <c r="H791" s="41">
        <v>2.4991264226032577E-2</v>
      </c>
      <c r="I791" s="40">
        <f t="shared" si="122"/>
        <v>195.05347103560268</v>
      </c>
      <c r="J791" s="40">
        <f t="shared" si="122"/>
        <v>0</v>
      </c>
      <c r="K791" s="36">
        <v>0.37265709251261259</v>
      </c>
      <c r="L791" s="42">
        <f t="shared" ref="L791:M806" si="127">L790</f>
        <v>19991.322604477216</v>
      </c>
      <c r="M791" s="42">
        <f t="shared" si="127"/>
        <v>0</v>
      </c>
      <c r="N791" s="42">
        <f t="shared" si="123"/>
        <v>7449.9081572661489</v>
      </c>
      <c r="O791" s="36">
        <v>5.8503252858977444</v>
      </c>
      <c r="P791" s="42">
        <f t="shared" si="124"/>
        <v>3937.1870076108498</v>
      </c>
      <c r="Q791" s="42"/>
      <c r="R791">
        <v>0.65489669484542379</v>
      </c>
      <c r="S791">
        <v>0.91537217322305975</v>
      </c>
    </row>
    <row r="792" spans="1:19" x14ac:dyDescent="0.25">
      <c r="A792" s="40">
        <f t="shared" si="125"/>
        <v>64.229676878151835</v>
      </c>
      <c r="B792" s="40">
        <f t="shared" si="125"/>
        <v>32.933286051621081</v>
      </c>
      <c r="C792" s="41">
        <f t="shared" si="120"/>
        <v>0.49289226185293716</v>
      </c>
      <c r="D792" s="41">
        <f t="shared" si="121"/>
        <v>0.98069361229543572</v>
      </c>
      <c r="E792" s="39">
        <f>IF(_xlfn.NORM.INV(R792,C792,'Regressão Grupo 2'!$B$7)&lt;=0,0,IF(_xlfn.NORM.INV(R792,C792,'Regressão Grupo 2'!$B$7)&gt;100%,100%,_xlfn.NORM.INV(R792,C792,'Regressão Grupo 2'!$B$7)))</f>
        <v>0.77034398277522076</v>
      </c>
      <c r="F792" s="39">
        <f>IF(_xlfn.NORM.INV(S792,D792,'Regressão Grupo 2'!$B$7)&lt;=0,0,IF(_xlfn.NORM.INV(S792,D792,'Regressão Grupo 2'!$B$7)&gt;100%,100%,_xlfn.NORM.INV(S792,D792,'Regressão Grupo 2'!$B$7)))</f>
        <v>1</v>
      </c>
      <c r="G792" s="41">
        <v>1.4460730948433703E-2</v>
      </c>
      <c r="H792" s="41">
        <v>2.2176792615797206E-2</v>
      </c>
      <c r="I792" s="40">
        <f t="shared" si="122"/>
        <v>222.69807754854702</v>
      </c>
      <c r="J792" s="40">
        <f t="shared" si="122"/>
        <v>0</v>
      </c>
      <c r="K792" s="36">
        <v>0.19184885704064505</v>
      </c>
      <c r="L792" s="42">
        <f t="shared" si="127"/>
        <v>19991.322604477216</v>
      </c>
      <c r="M792" s="42">
        <f t="shared" si="127"/>
        <v>0</v>
      </c>
      <c r="N792" s="42">
        <f t="shared" si="123"/>
        <v>3835.3123923997655</v>
      </c>
      <c r="O792" s="36">
        <v>5.92998268034468</v>
      </c>
      <c r="P792" s="42">
        <f t="shared" si="124"/>
        <v>9147.9174271200682</v>
      </c>
      <c r="Q792" s="42"/>
      <c r="R792">
        <v>0.97759941404461803</v>
      </c>
      <c r="S792">
        <v>0.60512100589007234</v>
      </c>
    </row>
    <row r="793" spans="1:19" x14ac:dyDescent="0.25">
      <c r="A793" s="40">
        <f t="shared" si="125"/>
        <v>64.229676878151835</v>
      </c>
      <c r="B793" s="40">
        <f t="shared" si="125"/>
        <v>32.933286051621081</v>
      </c>
      <c r="C793" s="41">
        <f t="shared" si="120"/>
        <v>0.49289226185293716</v>
      </c>
      <c r="D793" s="41">
        <f t="shared" si="121"/>
        <v>0.98069361229543572</v>
      </c>
      <c r="E793" s="39">
        <f>IF(_xlfn.NORM.INV(R793,C793,'Regressão Grupo 2'!$B$7)&lt;=0,0,IF(_xlfn.NORM.INV(R793,C793,'Regressão Grupo 2'!$B$7)&gt;100%,100%,_xlfn.NORM.INV(R793,C793,'Regressão Grupo 2'!$B$7)))</f>
        <v>0.58367264661590501</v>
      </c>
      <c r="F793" s="39">
        <f>IF(_xlfn.NORM.INV(S793,D793,'Regressão Grupo 2'!$B$7)&lt;=0,0,IF(_xlfn.NORM.INV(S793,D793,'Regressão Grupo 2'!$B$7)&gt;100%,100%,_xlfn.NORM.INV(S793,D793,'Regressão Grupo 2'!$B$7)))</f>
        <v>0.93430557842676543</v>
      </c>
      <c r="G793" s="41">
        <v>1.7700982606413236E-2</v>
      </c>
      <c r="H793" s="41">
        <v>2.2348454422099914E-2</v>
      </c>
      <c r="I793" s="40">
        <f t="shared" si="122"/>
        <v>206.54193611121605</v>
      </c>
      <c r="J793" s="40">
        <f t="shared" si="122"/>
        <v>0</v>
      </c>
      <c r="K793" s="36">
        <v>0.48392864711718747</v>
      </c>
      <c r="L793" s="42">
        <f t="shared" si="127"/>
        <v>19991.322604477216</v>
      </c>
      <c r="M793" s="42">
        <f t="shared" si="127"/>
        <v>0</v>
      </c>
      <c r="N793" s="42">
        <f t="shared" si="123"/>
        <v>9674.3737020679073</v>
      </c>
      <c r="O793" s="36">
        <v>4.8803587915028803</v>
      </c>
      <c r="P793" s="42">
        <f t="shared" si="124"/>
        <v>2583.74936242898</v>
      </c>
      <c r="Q793" s="42"/>
      <c r="R793">
        <v>0.74425489059114358</v>
      </c>
      <c r="S793">
        <v>0.3686330759605701</v>
      </c>
    </row>
    <row r="794" spans="1:19" x14ac:dyDescent="0.25">
      <c r="A794" s="40">
        <f t="shared" si="125"/>
        <v>64.229676878151835</v>
      </c>
      <c r="B794" s="40">
        <f t="shared" si="125"/>
        <v>32.933286051621081</v>
      </c>
      <c r="C794" s="41">
        <f t="shared" si="120"/>
        <v>0.49289226185293716</v>
      </c>
      <c r="D794" s="41">
        <f t="shared" si="121"/>
        <v>0.98069361229543572</v>
      </c>
      <c r="E794" s="39">
        <f>IF(_xlfn.NORM.INV(R794,C794,'Regressão Grupo 2'!$B$7)&lt;=0,0,IF(_xlfn.NORM.INV(R794,C794,'Regressão Grupo 2'!$B$7)&gt;100%,100%,_xlfn.NORM.INV(R794,C794,'Regressão Grupo 2'!$B$7)))</f>
        <v>0.51004585125986868</v>
      </c>
      <c r="F794" s="39">
        <f>IF(_xlfn.NORM.INV(S794,D794,'Regressão Grupo 2'!$B$7)&lt;=0,0,IF(_xlfn.NORM.INV(S794,D794,'Regressão Grupo 2'!$B$7)&gt;100%,100%,_xlfn.NORM.INV(S794,D794,'Regressão Grupo 2'!$B$7)))</f>
        <v>1</v>
      </c>
      <c r="G794" s="41">
        <v>1.6733535574581217E-2</v>
      </c>
      <c r="H794" s="41">
        <v>1.1591584509789907E-2</v>
      </c>
      <c r="I794" s="40">
        <f t="shared" si="122"/>
        <v>170.62334748832336</v>
      </c>
      <c r="J794" s="40">
        <f t="shared" si="122"/>
        <v>0</v>
      </c>
      <c r="K794" s="36">
        <v>0.17691727011110844</v>
      </c>
      <c r="L794" s="42">
        <f t="shared" si="127"/>
        <v>19991.322604477216</v>
      </c>
      <c r="M794" s="42">
        <f t="shared" si="127"/>
        <v>0</v>
      </c>
      <c r="N794" s="42">
        <f t="shared" si="123"/>
        <v>3536.8102210946035</v>
      </c>
      <c r="O794" s="36">
        <v>3.9926958220973656</v>
      </c>
      <c r="P794" s="42">
        <f t="shared" si="124"/>
        <v>6741.0251292801295</v>
      </c>
      <c r="Q794" s="42"/>
      <c r="R794">
        <v>0.5493636890774255</v>
      </c>
      <c r="S794">
        <v>0.80794701986754969</v>
      </c>
    </row>
    <row r="795" spans="1:19" x14ac:dyDescent="0.25">
      <c r="A795" s="40">
        <f t="shared" si="125"/>
        <v>64.229676878151835</v>
      </c>
      <c r="B795" s="40">
        <f t="shared" si="125"/>
        <v>32.933286051621081</v>
      </c>
      <c r="C795" s="41">
        <f t="shared" si="120"/>
        <v>0.49289226185293716</v>
      </c>
      <c r="D795" s="41">
        <f t="shared" si="121"/>
        <v>0.98069361229543572</v>
      </c>
      <c r="E795" s="39">
        <f>IF(_xlfn.NORM.INV(R795,C795,'Regressão Grupo 2'!$B$7)&lt;=0,0,IF(_xlfn.NORM.INV(R795,C795,'Regressão Grupo 2'!$B$7)&gt;100%,100%,_xlfn.NORM.INV(R795,C795,'Regressão Grupo 2'!$B$7)))</f>
        <v>0.39636393030458761</v>
      </c>
      <c r="F795" s="39">
        <f>IF(_xlfn.NORM.INV(S795,D795,'Regressão Grupo 2'!$B$7)&lt;=0,0,IF(_xlfn.NORM.INV(S795,D795,'Regressão Grupo 2'!$B$7)&gt;100%,100%,_xlfn.NORM.INV(S795,D795,'Regressão Grupo 2'!$B$7)))</f>
        <v>1</v>
      </c>
      <c r="G795" s="41">
        <v>1.84271802955378E-2</v>
      </c>
      <c r="H795" s="41">
        <v>2.2114439597320706E-2</v>
      </c>
      <c r="I795" s="40">
        <f t="shared" si="122"/>
        <v>146.01401356199096</v>
      </c>
      <c r="J795" s="40">
        <f t="shared" si="122"/>
        <v>0</v>
      </c>
      <c r="K795" s="36">
        <v>0.33691434026501949</v>
      </c>
      <c r="L795" s="42">
        <f t="shared" si="127"/>
        <v>19991.322604477216</v>
      </c>
      <c r="M795" s="42">
        <f t="shared" si="127"/>
        <v>0</v>
      </c>
      <c r="N795" s="42">
        <f t="shared" si="123"/>
        <v>6735.3632663126127</v>
      </c>
      <c r="O795" s="36">
        <v>8.5188359551700596</v>
      </c>
      <c r="P795" s="42">
        <f t="shared" si="124"/>
        <v>1399.2002157655688</v>
      </c>
      <c r="Q795" s="42"/>
      <c r="R795">
        <v>0.24256111331522567</v>
      </c>
      <c r="S795">
        <v>0.96920682393871882</v>
      </c>
    </row>
    <row r="796" spans="1:19" x14ac:dyDescent="0.25">
      <c r="A796" s="40">
        <f t="shared" si="125"/>
        <v>64.229676878151835</v>
      </c>
      <c r="B796" s="40">
        <f t="shared" si="125"/>
        <v>32.933286051621081</v>
      </c>
      <c r="C796" s="41">
        <f t="shared" si="120"/>
        <v>0.49289226185293716</v>
      </c>
      <c r="D796" s="41">
        <f t="shared" si="121"/>
        <v>0.98069361229543572</v>
      </c>
      <c r="E796" s="39">
        <f>IF(_xlfn.NORM.INV(R796,C796,'Regressão Grupo 2'!$B$7)&lt;=0,0,IF(_xlfn.NORM.INV(R796,C796,'Regressão Grupo 2'!$B$7)&gt;100%,100%,_xlfn.NORM.INV(R796,C796,'Regressão Grupo 2'!$B$7)))</f>
        <v>0.38279757115442337</v>
      </c>
      <c r="F796" s="39">
        <f>IF(_xlfn.NORM.INV(S796,D796,'Regressão Grupo 2'!$B$7)&lt;=0,0,IF(_xlfn.NORM.INV(S796,D796,'Regressão Grupo 2'!$B$7)&gt;100%,100%,_xlfn.NORM.INV(S796,D796,'Regressão Grupo 2'!$B$7)))</f>
        <v>0.8462430510771034</v>
      </c>
      <c r="G796" s="41">
        <v>2.2187311556227787E-2</v>
      </c>
      <c r="H796" s="41">
        <v>2.6723063443078336E-2</v>
      </c>
      <c r="I796" s="40">
        <f t="shared" si="122"/>
        <v>169.79128020278699</v>
      </c>
      <c r="J796" s="40">
        <f t="shared" si="122"/>
        <v>0</v>
      </c>
      <c r="K796" s="36">
        <v>0.22972852678428554</v>
      </c>
      <c r="L796" s="42">
        <f t="shared" si="127"/>
        <v>19991.322604477216</v>
      </c>
      <c r="M796" s="42">
        <f t="shared" si="127"/>
        <v>0</v>
      </c>
      <c r="N796" s="42">
        <f t="shared" si="123"/>
        <v>4592.5770903959374</v>
      </c>
      <c r="O796" s="36">
        <v>8.0003812555339469</v>
      </c>
      <c r="P796" s="42">
        <f t="shared" si="124"/>
        <v>4954.6669982693211</v>
      </c>
      <c r="Q796" s="42"/>
      <c r="R796">
        <v>0.21295815912350841</v>
      </c>
      <c r="S796">
        <v>0.16544083986938077</v>
      </c>
    </row>
    <row r="797" spans="1:19" x14ac:dyDescent="0.25">
      <c r="A797" s="40">
        <f t="shared" si="125"/>
        <v>64.229676878151835</v>
      </c>
      <c r="B797" s="40">
        <f t="shared" si="125"/>
        <v>32.933286051621081</v>
      </c>
      <c r="C797" s="41">
        <f t="shared" si="120"/>
        <v>0.49289226185293716</v>
      </c>
      <c r="D797" s="41">
        <f t="shared" si="121"/>
        <v>0.98069361229543572</v>
      </c>
      <c r="E797" s="39">
        <f>IF(_xlfn.NORM.INV(R797,C797,'Regressão Grupo 2'!$B$7)&lt;=0,0,IF(_xlfn.NORM.INV(R797,C797,'Regressão Grupo 2'!$B$7)&gt;100%,100%,_xlfn.NORM.INV(R797,C797,'Regressão Grupo 2'!$B$7)))</f>
        <v>0.66467471105317411</v>
      </c>
      <c r="F797" s="39">
        <f>IF(_xlfn.NORM.INV(S797,D797,'Regressão Grupo 2'!$B$7)&lt;=0,0,IF(_xlfn.NORM.INV(S797,D797,'Regressão Grupo 2'!$B$7)&gt;100%,100%,_xlfn.NORM.INV(S797,D797,'Regressão Grupo 2'!$B$7)))</f>
        <v>0.9970160601556316</v>
      </c>
      <c r="G797" s="41">
        <v>3.1588249655954415E-3</v>
      </c>
      <c r="H797" s="41">
        <v>1.1919970439003766E-2</v>
      </c>
      <c r="I797" s="40">
        <f t="shared" si="122"/>
        <v>41.973602443332503</v>
      </c>
      <c r="J797" s="40">
        <f t="shared" si="122"/>
        <v>0</v>
      </c>
      <c r="K797" s="36">
        <v>0.35084105087155332</v>
      </c>
      <c r="L797" s="42">
        <f t="shared" si="127"/>
        <v>19991.322604477216</v>
      </c>
      <c r="M797" s="42">
        <f t="shared" si="127"/>
        <v>0</v>
      </c>
      <c r="N797" s="42">
        <f t="shared" si="123"/>
        <v>7013.7766308670252</v>
      </c>
      <c r="O797" s="36">
        <v>4.4773430180977112</v>
      </c>
      <c r="P797" s="42">
        <f t="shared" si="124"/>
        <v>-4505.7559243638379</v>
      </c>
      <c r="Q797" s="42"/>
      <c r="R797">
        <v>0.89294106875820189</v>
      </c>
      <c r="S797">
        <v>0.54698324533829767</v>
      </c>
    </row>
    <row r="798" spans="1:19" x14ac:dyDescent="0.25">
      <c r="A798" s="40">
        <f t="shared" si="125"/>
        <v>64.229676878151835</v>
      </c>
      <c r="B798" s="40">
        <f t="shared" si="125"/>
        <v>32.933286051621081</v>
      </c>
      <c r="C798" s="41">
        <f t="shared" si="120"/>
        <v>0.49289226185293716</v>
      </c>
      <c r="D798" s="41">
        <f t="shared" si="121"/>
        <v>0.98069361229543572</v>
      </c>
      <c r="E798" s="39">
        <f>IF(_xlfn.NORM.INV(R798,C798,'Regressão Grupo 2'!$B$7)&lt;=0,0,IF(_xlfn.NORM.INV(R798,C798,'Regressão Grupo 2'!$B$7)&gt;100%,100%,_xlfn.NORM.INV(R798,C798,'Regressão Grupo 2'!$B$7)))</f>
        <v>0.60996861047854622</v>
      </c>
      <c r="F798" s="39">
        <f>IF(_xlfn.NORM.INV(S798,D798,'Regressão Grupo 2'!$B$7)&lt;=0,0,IF(_xlfn.NORM.INV(S798,D798,'Regressão Grupo 2'!$B$7)&gt;100%,100%,_xlfn.NORM.INV(S798,D798,'Regressão Grupo 2'!$B$7)))</f>
        <v>1</v>
      </c>
      <c r="G798" s="41">
        <v>1.7576626523043964E-2</v>
      </c>
      <c r="H798" s="41">
        <v>1.4990697598833229E-2</v>
      </c>
      <c r="I798" s="40">
        <f t="shared" si="122"/>
        <v>214.33077713315788</v>
      </c>
      <c r="J798" s="40">
        <f t="shared" si="122"/>
        <v>0</v>
      </c>
      <c r="K798" s="36">
        <v>0.13873846313027663</v>
      </c>
      <c r="L798" s="42">
        <f t="shared" si="127"/>
        <v>19991.322604477216</v>
      </c>
      <c r="M798" s="42">
        <f t="shared" si="127"/>
        <v>0</v>
      </c>
      <c r="N798" s="42">
        <f t="shared" si="123"/>
        <v>2773.5653740867278</v>
      </c>
      <c r="O798" s="36">
        <v>7.1676214533004519</v>
      </c>
      <c r="P798" s="42">
        <f t="shared" si="124"/>
        <v>9456.5893099369969</v>
      </c>
      <c r="Q798" s="42"/>
      <c r="R798">
        <v>0.80141605883968625</v>
      </c>
      <c r="S798">
        <v>0.71016571550645469</v>
      </c>
    </row>
    <row r="799" spans="1:19" x14ac:dyDescent="0.25">
      <c r="A799" s="40">
        <f t="shared" si="125"/>
        <v>64.229676878151835</v>
      </c>
      <c r="B799" s="40">
        <f t="shared" si="125"/>
        <v>32.933286051621081</v>
      </c>
      <c r="C799" s="41">
        <f t="shared" si="120"/>
        <v>0.49289226185293716</v>
      </c>
      <c r="D799" s="41">
        <f t="shared" si="121"/>
        <v>0.98069361229543572</v>
      </c>
      <c r="E799" s="39">
        <f>IF(_xlfn.NORM.INV(R799,C799,'Regressão Grupo 2'!$B$7)&lt;=0,0,IF(_xlfn.NORM.INV(R799,C799,'Regressão Grupo 2'!$B$7)&gt;100%,100%,_xlfn.NORM.INV(R799,C799,'Regressão Grupo 2'!$B$7)))</f>
        <v>0.49373320715750291</v>
      </c>
      <c r="F799" s="39">
        <f>IF(_xlfn.NORM.INV(S799,D799,'Regressão Grupo 2'!$B$7)&lt;=0,0,IF(_xlfn.NORM.INV(S799,D799,'Regressão Grupo 2'!$B$7)&gt;100%,100%,_xlfn.NORM.INV(S799,D799,'Regressão Grupo 2'!$B$7)))</f>
        <v>0.96896457881677223</v>
      </c>
      <c r="G799" s="41">
        <v>2.1762430843128382E-2</v>
      </c>
      <c r="H799" s="41">
        <v>1.5365343969450539E-2</v>
      </c>
      <c r="I799" s="40">
        <f t="shared" si="122"/>
        <v>214.80345833324685</v>
      </c>
      <c r="J799" s="40">
        <f t="shared" si="122"/>
        <v>0</v>
      </c>
      <c r="K799" s="36">
        <v>0.43944123415653685</v>
      </c>
      <c r="L799" s="42">
        <f t="shared" si="127"/>
        <v>19991.322604477216</v>
      </c>
      <c r="M799" s="42">
        <f t="shared" si="127"/>
        <v>0</v>
      </c>
      <c r="N799" s="42">
        <f t="shared" si="123"/>
        <v>8785.01147773294</v>
      </c>
      <c r="O799" s="36">
        <v>9.2455892290229436</v>
      </c>
      <c r="P799" s="42">
        <f t="shared" si="124"/>
        <v>3025.7607025983107</v>
      </c>
      <c r="Q799" s="42"/>
      <c r="R799">
        <v>0.50242622150334182</v>
      </c>
      <c r="S799">
        <v>0.46620075075533313</v>
      </c>
    </row>
    <row r="800" spans="1:19" x14ac:dyDescent="0.25">
      <c r="A800" s="40">
        <f t="shared" si="125"/>
        <v>64.229676878151835</v>
      </c>
      <c r="B800" s="40">
        <f t="shared" si="125"/>
        <v>32.933286051621081</v>
      </c>
      <c r="C800" s="41">
        <f t="shared" si="120"/>
        <v>0.49289226185293716</v>
      </c>
      <c r="D800" s="41">
        <f t="shared" si="121"/>
        <v>0.98069361229543572</v>
      </c>
      <c r="E800" s="39">
        <f>IF(_xlfn.NORM.INV(R800,C800,'Regressão Grupo 2'!$B$7)&lt;=0,0,IF(_xlfn.NORM.INV(R800,C800,'Regressão Grupo 2'!$B$7)&gt;100%,100%,_xlfn.NORM.INV(R800,C800,'Regressão Grupo 2'!$B$7)))</f>
        <v>0.44517042168011794</v>
      </c>
      <c r="F800" s="39">
        <f>IF(_xlfn.NORM.INV(S800,D800,'Regressão Grupo 2'!$B$7)&lt;=0,0,IF(_xlfn.NORM.INV(S800,D800,'Regressão Grupo 2'!$B$7)&gt;100%,100%,_xlfn.NORM.INV(S800,D800,'Regressão Grupo 2'!$B$7)))</f>
        <v>0.93189252077838558</v>
      </c>
      <c r="G800" s="41">
        <v>1.9674980179075076E-2</v>
      </c>
      <c r="H800" s="41">
        <v>1.8222832878213524E-2</v>
      </c>
      <c r="I800" s="40">
        <f t="shared" si="122"/>
        <v>175.09838158636646</v>
      </c>
      <c r="J800" s="40">
        <f t="shared" si="122"/>
        <v>0</v>
      </c>
      <c r="K800" s="36">
        <v>0.38432119435769962</v>
      </c>
      <c r="L800" s="42">
        <f t="shared" si="127"/>
        <v>19991.322604477216</v>
      </c>
      <c r="M800" s="42">
        <f t="shared" si="127"/>
        <v>0</v>
      </c>
      <c r="N800" s="42">
        <f t="shared" si="123"/>
        <v>7683.088980142762</v>
      </c>
      <c r="O800" s="36">
        <v>5.4491123690185237</v>
      </c>
      <c r="P800" s="42">
        <f t="shared" si="124"/>
        <v>2609.2927341394916</v>
      </c>
      <c r="Q800" s="42"/>
      <c r="R800">
        <v>0.36500137333292643</v>
      </c>
      <c r="S800">
        <v>0.36207159642323067</v>
      </c>
    </row>
    <row r="801" spans="1:19" x14ac:dyDescent="0.25">
      <c r="A801" s="40">
        <f t="shared" si="125"/>
        <v>64.229676878151835</v>
      </c>
      <c r="B801" s="40">
        <f t="shared" si="125"/>
        <v>32.933286051621081</v>
      </c>
      <c r="C801" s="41">
        <f t="shared" si="120"/>
        <v>0.49289226185293716</v>
      </c>
      <c r="D801" s="41">
        <f t="shared" si="121"/>
        <v>0.98069361229543572</v>
      </c>
      <c r="E801" s="39">
        <f>IF(_xlfn.NORM.INV(R801,C801,'Regressão Grupo 2'!$B$7)&lt;=0,0,IF(_xlfn.NORM.INV(R801,C801,'Regressão Grupo 2'!$B$7)&gt;100%,100%,_xlfn.NORM.INV(R801,C801,'Regressão Grupo 2'!$B$7)))</f>
        <v>0.52743042498595916</v>
      </c>
      <c r="F801" s="39">
        <f>IF(_xlfn.NORM.INV(S801,D801,'Regressão Grupo 2'!$B$7)&lt;=0,0,IF(_xlfn.NORM.INV(S801,D801,'Regressão Grupo 2'!$B$7)&gt;100%,100%,_xlfn.NORM.INV(S801,D801,'Regressão Grupo 2'!$B$7)))</f>
        <v>1</v>
      </c>
      <c r="G801" s="41">
        <v>2.3630831973811241E-2</v>
      </c>
      <c r="H801" s="41">
        <v>2.2857971563047065E-2</v>
      </c>
      <c r="I801" s="40">
        <f t="shared" si="122"/>
        <v>249.16424325615853</v>
      </c>
      <c r="J801" s="40">
        <f t="shared" si="122"/>
        <v>0</v>
      </c>
      <c r="K801" s="36">
        <v>0.33811796755951268</v>
      </c>
      <c r="L801" s="42">
        <f t="shared" si="127"/>
        <v>19991.322604477216</v>
      </c>
      <c r="M801" s="42">
        <f t="shared" si="127"/>
        <v>0</v>
      </c>
      <c r="N801" s="42">
        <f t="shared" si="123"/>
        <v>6759.4253678523801</v>
      </c>
      <c r="O801" s="36">
        <v>6.3596659664859461</v>
      </c>
      <c r="P801" s="42">
        <f t="shared" si="124"/>
        <v>7659.7121081784881</v>
      </c>
      <c r="Q801" s="42"/>
      <c r="R801">
        <v>0.5986205633716849</v>
      </c>
      <c r="S801">
        <v>0.7814569536423841</v>
      </c>
    </row>
    <row r="802" spans="1:19" x14ac:dyDescent="0.25">
      <c r="A802" s="40">
        <f t="shared" si="125"/>
        <v>64.229676878151835</v>
      </c>
      <c r="B802" s="40">
        <f t="shared" si="125"/>
        <v>32.933286051621081</v>
      </c>
      <c r="C802" s="41">
        <f t="shared" si="120"/>
        <v>0.49289226185293716</v>
      </c>
      <c r="D802" s="41">
        <f t="shared" si="121"/>
        <v>0.98069361229543572</v>
      </c>
      <c r="E802" s="39">
        <f>IF(_xlfn.NORM.INV(R802,C802,'Regressão Grupo 2'!$B$7)&lt;=0,0,IF(_xlfn.NORM.INV(R802,C802,'Regressão Grupo 2'!$B$7)&gt;100%,100%,_xlfn.NORM.INV(R802,C802,'Regressão Grupo 2'!$B$7)))</f>
        <v>0.43150201909409597</v>
      </c>
      <c r="F802" s="39">
        <f>IF(_xlfn.NORM.INV(S802,D802,'Regressão Grupo 2'!$B$7)&lt;=0,0,IF(_xlfn.NORM.INV(S802,D802,'Regressão Grupo 2'!$B$7)&gt;100%,100%,_xlfn.NORM.INV(S802,D802,'Regressão Grupo 2'!$B$7)))</f>
        <v>1</v>
      </c>
      <c r="G802" s="41">
        <v>1.2567273784428037E-2</v>
      </c>
      <c r="H802" s="41">
        <v>6.1086765290040233E-3</v>
      </c>
      <c r="I802" s="40">
        <f t="shared" si="122"/>
        <v>108.40902443452106</v>
      </c>
      <c r="J802" s="40">
        <f t="shared" si="122"/>
        <v>0</v>
      </c>
      <c r="K802" s="36">
        <v>0.32024339760715104</v>
      </c>
      <c r="L802" s="42">
        <f t="shared" si="127"/>
        <v>19991.322604477216</v>
      </c>
      <c r="M802" s="42">
        <f t="shared" si="127"/>
        <v>0</v>
      </c>
      <c r="N802" s="42">
        <f t="shared" si="123"/>
        <v>6402.089073518423</v>
      </c>
      <c r="O802" s="36">
        <v>7.9222271534932087</v>
      </c>
      <c r="P802" s="42">
        <f t="shared" si="124"/>
        <v>-297.85338047233927</v>
      </c>
      <c r="Q802" s="42"/>
      <c r="R802">
        <v>0.32853175450910976</v>
      </c>
      <c r="S802">
        <v>0.5816522721030305</v>
      </c>
    </row>
    <row r="803" spans="1:19" x14ac:dyDescent="0.25">
      <c r="A803" s="40">
        <f t="shared" si="125"/>
        <v>64.229676878151835</v>
      </c>
      <c r="B803" s="40">
        <f t="shared" si="125"/>
        <v>32.933286051621081</v>
      </c>
      <c r="C803" s="41">
        <f t="shared" si="120"/>
        <v>0.49289226185293716</v>
      </c>
      <c r="D803" s="41">
        <f t="shared" si="121"/>
        <v>0.98069361229543572</v>
      </c>
      <c r="E803" s="39">
        <f>IF(_xlfn.NORM.INV(R803,C803,'Regressão Grupo 2'!$B$7)&lt;=0,0,IF(_xlfn.NORM.INV(R803,C803,'Regressão Grupo 2'!$B$7)&gt;100%,100%,_xlfn.NORM.INV(R803,C803,'Regressão Grupo 2'!$B$7)))</f>
        <v>0.31219788055107245</v>
      </c>
      <c r="F803" s="39">
        <f>IF(_xlfn.NORM.INV(S803,D803,'Regressão Grupo 2'!$B$7)&lt;=0,0,IF(_xlfn.NORM.INV(S803,D803,'Regressão Grupo 2'!$B$7)&gt;100%,100%,_xlfn.NORM.INV(S803,D803,'Regressão Grupo 2'!$B$7)))</f>
        <v>0.93261234784225611</v>
      </c>
      <c r="G803" s="41">
        <v>1.7402122830102885E-2</v>
      </c>
      <c r="H803" s="41">
        <v>1.8720171089552061E-2</v>
      </c>
      <c r="I803" s="40">
        <f t="shared" si="122"/>
        <v>108.61097381992543</v>
      </c>
      <c r="J803" s="40">
        <f t="shared" si="122"/>
        <v>0</v>
      </c>
      <c r="K803" s="36">
        <v>0.33101831022959577</v>
      </c>
      <c r="L803" s="42">
        <f t="shared" si="127"/>
        <v>19991.322604477216</v>
      </c>
      <c r="M803" s="42">
        <f t="shared" si="127"/>
        <v>0</v>
      </c>
      <c r="N803" s="42">
        <f t="shared" si="123"/>
        <v>6617.4938277887695</v>
      </c>
      <c r="O803" s="36">
        <v>10.193321173512601</v>
      </c>
      <c r="P803" s="42">
        <f t="shared" si="124"/>
        <v>-748.55261302801864</v>
      </c>
      <c r="Q803" s="42"/>
      <c r="R803">
        <v>9.5645008697775202E-2</v>
      </c>
      <c r="S803">
        <v>0.36402478102969449</v>
      </c>
    </row>
    <row r="804" spans="1:19" x14ac:dyDescent="0.25">
      <c r="A804" s="40">
        <f t="shared" si="125"/>
        <v>64.229676878151835</v>
      </c>
      <c r="B804" s="40">
        <f t="shared" si="125"/>
        <v>32.933286051621081</v>
      </c>
      <c r="C804" s="41">
        <f t="shared" si="120"/>
        <v>0.49289226185293716</v>
      </c>
      <c r="D804" s="41">
        <f t="shared" si="121"/>
        <v>0.98069361229543572</v>
      </c>
      <c r="E804" s="39">
        <f>IF(_xlfn.NORM.INV(R804,C804,'Regressão Grupo 2'!$B$7)&lt;=0,0,IF(_xlfn.NORM.INV(R804,C804,'Regressão Grupo 2'!$B$7)&gt;100%,100%,_xlfn.NORM.INV(R804,C804,'Regressão Grupo 2'!$B$7)))</f>
        <v>0.58041719121345059</v>
      </c>
      <c r="F804" s="39">
        <f>IF(_xlfn.NORM.INV(S804,D804,'Regressão Grupo 2'!$B$7)&lt;=0,0,IF(_xlfn.NORM.INV(S804,D804,'Regressão Grupo 2'!$B$7)&gt;100%,100%,_xlfn.NORM.INV(S804,D804,'Regressão Grupo 2'!$B$7)))</f>
        <v>1</v>
      </c>
      <c r="G804" s="41">
        <v>2.3789664243661909E-2</v>
      </c>
      <c r="H804" s="41">
        <v>1.3268705839280371E-2</v>
      </c>
      <c r="I804" s="40">
        <f t="shared" si="122"/>
        <v>276.03878513351555</v>
      </c>
      <c r="J804" s="40">
        <f t="shared" si="122"/>
        <v>0</v>
      </c>
      <c r="K804" s="36">
        <v>0.35962567100787179</v>
      </c>
      <c r="L804" s="42">
        <f t="shared" si="127"/>
        <v>19991.322604477216</v>
      </c>
      <c r="M804" s="42">
        <f t="shared" si="127"/>
        <v>0</v>
      </c>
      <c r="N804" s="42">
        <f t="shared" si="123"/>
        <v>7189.3928059699538</v>
      </c>
      <c r="O804" s="36">
        <v>4.7823812455800816</v>
      </c>
      <c r="P804" s="42">
        <f t="shared" si="124"/>
        <v>9220.3664599180993</v>
      </c>
      <c r="Q804" s="42"/>
      <c r="R804">
        <v>0.73662526322214428</v>
      </c>
      <c r="S804">
        <v>0.75899533066805014</v>
      </c>
    </row>
    <row r="805" spans="1:19" x14ac:dyDescent="0.25">
      <c r="A805" s="40">
        <f t="shared" si="125"/>
        <v>64.229676878151835</v>
      </c>
      <c r="B805" s="40">
        <f t="shared" si="125"/>
        <v>32.933286051621081</v>
      </c>
      <c r="C805" s="41">
        <f t="shared" si="120"/>
        <v>0.49289226185293716</v>
      </c>
      <c r="D805" s="41">
        <f t="shared" si="121"/>
        <v>0.98069361229543572</v>
      </c>
      <c r="E805" s="39">
        <f>IF(_xlfn.NORM.INV(R805,C805,'Regressão Grupo 2'!$B$7)&lt;=0,0,IF(_xlfn.NORM.INV(R805,C805,'Regressão Grupo 2'!$B$7)&gt;100%,100%,_xlfn.NORM.INV(R805,C805,'Regressão Grupo 2'!$B$7)))</f>
        <v>0.58676599924216832</v>
      </c>
      <c r="F805" s="39">
        <f>IF(_xlfn.NORM.INV(S805,D805,'Regressão Grupo 2'!$B$7)&lt;=0,0,IF(_xlfn.NORM.INV(S805,D805,'Regressão Grupo 2'!$B$7)&gt;100%,100%,_xlfn.NORM.INV(S805,D805,'Regressão Grupo 2'!$B$7)))</f>
        <v>1</v>
      </c>
      <c r="G805" s="41">
        <v>2.16820927187691E-2</v>
      </c>
      <c r="H805" s="41">
        <v>1.4394607440224074E-2</v>
      </c>
      <c r="I805" s="40">
        <f t="shared" si="122"/>
        <v>254.3358994383147</v>
      </c>
      <c r="J805" s="40">
        <f t="shared" si="122"/>
        <v>0</v>
      </c>
      <c r="K805" s="36">
        <v>0.38209343332292228</v>
      </c>
      <c r="L805" s="42">
        <f t="shared" si="127"/>
        <v>19991.322604477216</v>
      </c>
      <c r="M805" s="42">
        <f t="shared" si="127"/>
        <v>0</v>
      </c>
      <c r="N805" s="42">
        <f t="shared" si="123"/>
        <v>7638.5530906108443</v>
      </c>
      <c r="O805" s="36">
        <v>6.5483976859322981</v>
      </c>
      <c r="P805" s="42">
        <f t="shared" si="124"/>
        <v>7031.8669334948581</v>
      </c>
      <c r="Q805" s="42"/>
      <c r="R805">
        <v>0.75139622180852683</v>
      </c>
      <c r="S805">
        <v>0.65572069460127569</v>
      </c>
    </row>
    <row r="806" spans="1:19" x14ac:dyDescent="0.25">
      <c r="A806" s="40">
        <f t="shared" si="125"/>
        <v>64.229676878151835</v>
      </c>
      <c r="B806" s="40">
        <f t="shared" si="125"/>
        <v>32.933286051621081</v>
      </c>
      <c r="C806" s="41">
        <f t="shared" si="120"/>
        <v>0.49289226185293716</v>
      </c>
      <c r="D806" s="41">
        <f t="shared" si="121"/>
        <v>0.98069361229543572</v>
      </c>
      <c r="E806" s="39">
        <f>IF(_xlfn.NORM.INV(R806,C806,'Regressão Grupo 2'!$B$7)&lt;=0,0,IF(_xlfn.NORM.INV(R806,C806,'Regressão Grupo 2'!$B$7)&gt;100%,100%,_xlfn.NORM.INV(R806,C806,'Regressão Grupo 2'!$B$7)))</f>
        <v>0.53441797465350394</v>
      </c>
      <c r="F806" s="39">
        <f>IF(_xlfn.NORM.INV(S806,D806,'Regressão Grupo 2'!$B$7)&lt;=0,0,IF(_xlfn.NORM.INV(S806,D806,'Regressão Grupo 2'!$B$7)&gt;100%,100%,_xlfn.NORM.INV(S806,D806,'Regressão Grupo 2'!$B$7)))</f>
        <v>0.88559078816227277</v>
      </c>
      <c r="G806" s="41">
        <v>2.4640051180137328E-2</v>
      </c>
      <c r="H806" s="41">
        <v>9.3352792420020054E-3</v>
      </c>
      <c r="I806" s="40">
        <f t="shared" si="122"/>
        <v>263.24746024830966</v>
      </c>
      <c r="J806" s="40">
        <f t="shared" si="122"/>
        <v>0</v>
      </c>
      <c r="K806" s="36">
        <v>0.29175834812657547</v>
      </c>
      <c r="L806" s="42">
        <f t="shared" si="127"/>
        <v>19991.322604477216</v>
      </c>
      <c r="M806" s="42">
        <f t="shared" si="127"/>
        <v>0</v>
      </c>
      <c r="N806" s="42">
        <f t="shared" si="123"/>
        <v>5832.6352599477414</v>
      </c>
      <c r="O806" s="36">
        <v>4.949473439518167</v>
      </c>
      <c r="P806" s="42">
        <f t="shared" si="124"/>
        <v>9772.7277382756838</v>
      </c>
      <c r="Q806" s="42"/>
      <c r="R806">
        <v>0.61803033539841912</v>
      </c>
      <c r="S806">
        <v>0.2457960753196814</v>
      </c>
    </row>
    <row r="807" spans="1:19" x14ac:dyDescent="0.25">
      <c r="A807" s="40">
        <f t="shared" si="125"/>
        <v>64.229676878151835</v>
      </c>
      <c r="B807" s="40">
        <f t="shared" si="125"/>
        <v>32.933286051621081</v>
      </c>
      <c r="C807" s="41">
        <f t="shared" si="120"/>
        <v>0.49289226185293716</v>
      </c>
      <c r="D807" s="41">
        <f t="shared" si="121"/>
        <v>0.98069361229543572</v>
      </c>
      <c r="E807" s="39">
        <f>IF(_xlfn.NORM.INV(R807,C807,'Regressão Grupo 2'!$B$7)&lt;=0,0,IF(_xlfn.NORM.INV(R807,C807,'Regressão Grupo 2'!$B$7)&gt;100%,100%,_xlfn.NORM.INV(R807,C807,'Regressão Grupo 2'!$B$7)))</f>
        <v>0.56415794447563439</v>
      </c>
      <c r="F807" s="39">
        <f>IF(_xlfn.NORM.INV(S807,D807,'Regressão Grupo 2'!$B$7)&lt;=0,0,IF(_xlfn.NORM.INV(S807,D807,'Regressão Grupo 2'!$B$7)&gt;100%,100%,_xlfn.NORM.INV(S807,D807,'Regressão Grupo 2'!$B$7)))</f>
        <v>0.86694409998041833</v>
      </c>
      <c r="G807" s="41">
        <v>2.5030153719364515E-2</v>
      </c>
      <c r="H807" s="41">
        <v>1.9746507589378594E-2</v>
      </c>
      <c r="I807" s="40">
        <f t="shared" si="122"/>
        <v>282.29666828880869</v>
      </c>
      <c r="J807" s="40">
        <f t="shared" si="122"/>
        <v>0</v>
      </c>
      <c r="K807" s="36">
        <v>0.19923016339835364</v>
      </c>
      <c r="L807" s="42">
        <f t="shared" ref="L807:M822" si="128">L806</f>
        <v>19991.322604477216</v>
      </c>
      <c r="M807" s="42">
        <f t="shared" si="128"/>
        <v>0</v>
      </c>
      <c r="N807" s="42">
        <f t="shared" si="123"/>
        <v>3982.8744690391964</v>
      </c>
      <c r="O807" s="36">
        <v>7.5107772406121551</v>
      </c>
      <c r="P807" s="42">
        <f t="shared" si="124"/>
        <v>12028.681927645575</v>
      </c>
      <c r="Q807" s="42"/>
      <c r="R807">
        <v>0.69685964537491984</v>
      </c>
      <c r="S807">
        <v>0.2053590502639851</v>
      </c>
    </row>
    <row r="808" spans="1:19" x14ac:dyDescent="0.25">
      <c r="A808" s="40">
        <f t="shared" si="125"/>
        <v>64.229676878151835</v>
      </c>
      <c r="B808" s="40">
        <f t="shared" si="125"/>
        <v>32.933286051621081</v>
      </c>
      <c r="C808" s="41">
        <f t="shared" si="120"/>
        <v>0.49289226185293716</v>
      </c>
      <c r="D808" s="41">
        <f t="shared" si="121"/>
        <v>0.98069361229543572</v>
      </c>
      <c r="E808" s="39">
        <f>IF(_xlfn.NORM.INV(R808,C808,'Regressão Grupo 2'!$B$7)&lt;=0,0,IF(_xlfn.NORM.INV(R808,C808,'Regressão Grupo 2'!$B$7)&gt;100%,100%,_xlfn.NORM.INV(R808,C808,'Regressão Grupo 2'!$B$7)))</f>
        <v>3.4472593480482538E-2</v>
      </c>
      <c r="F808" s="39">
        <f>IF(_xlfn.NORM.INV(S808,D808,'Regressão Grupo 2'!$B$7)&lt;=0,0,IF(_xlfn.NORM.INV(S808,D808,'Regressão Grupo 2'!$B$7)&gt;100%,100%,_xlfn.NORM.INV(S808,D808,'Regressão Grupo 2'!$B$7)))</f>
        <v>0.958399755736831</v>
      </c>
      <c r="G808" s="41">
        <v>2.2137922808397031E-2</v>
      </c>
      <c r="H808" s="41">
        <v>1.7846727112838832E-2</v>
      </c>
      <c r="I808" s="40">
        <f t="shared" si="122"/>
        <v>15.256410101129481</v>
      </c>
      <c r="J808" s="40">
        <f t="shared" si="122"/>
        <v>0</v>
      </c>
      <c r="K808" s="36">
        <v>0.3685451471353195</v>
      </c>
      <c r="L808" s="42">
        <f t="shared" si="128"/>
        <v>19991.322604477216</v>
      </c>
      <c r="M808" s="42">
        <f t="shared" si="128"/>
        <v>0</v>
      </c>
      <c r="N808" s="42">
        <f t="shared" si="123"/>
        <v>7367.7049306966946</v>
      </c>
      <c r="O808" s="36">
        <v>5.770460420711065</v>
      </c>
      <c r="P808" s="42">
        <f t="shared" si="124"/>
        <v>-6475.82715023128</v>
      </c>
      <c r="Q808" s="42"/>
      <c r="R808">
        <v>4.5777764213995788E-4</v>
      </c>
      <c r="S808">
        <v>0.43595690786461988</v>
      </c>
    </row>
    <row r="809" spans="1:19" x14ac:dyDescent="0.25">
      <c r="A809" s="40">
        <f t="shared" si="125"/>
        <v>64.229676878151835</v>
      </c>
      <c r="B809" s="40">
        <f t="shared" si="125"/>
        <v>32.933286051621081</v>
      </c>
      <c r="C809" s="41">
        <f t="shared" si="120"/>
        <v>0.49289226185293716</v>
      </c>
      <c r="D809" s="41">
        <f t="shared" si="121"/>
        <v>0.98069361229543572</v>
      </c>
      <c r="E809" s="39">
        <f>IF(_xlfn.NORM.INV(R809,C809,'Regressão Grupo 2'!$B$7)&lt;=0,0,IF(_xlfn.NORM.INV(R809,C809,'Regressão Grupo 2'!$B$7)&gt;100%,100%,_xlfn.NORM.INV(R809,C809,'Regressão Grupo 2'!$B$7)))</f>
        <v>0.61899996498090348</v>
      </c>
      <c r="F809" s="39">
        <f>IF(_xlfn.NORM.INV(S809,D809,'Regressão Grupo 2'!$B$7)&lt;=0,0,IF(_xlfn.NORM.INV(S809,D809,'Regressão Grupo 2'!$B$7)&gt;100%,100%,_xlfn.NORM.INV(S809,D809,'Regressão Grupo 2'!$B$7)))</f>
        <v>1</v>
      </c>
      <c r="G809" s="41">
        <v>7.8192201322096148E-3</v>
      </c>
      <c r="H809" s="41">
        <v>1.7460247256569968E-2</v>
      </c>
      <c r="I809" s="40">
        <f t="shared" si="122"/>
        <v>96.759940324380892</v>
      </c>
      <c r="J809" s="40">
        <f t="shared" si="122"/>
        <v>0</v>
      </c>
      <c r="K809" s="36">
        <v>0.38945426806713984</v>
      </c>
      <c r="L809" s="42">
        <f t="shared" si="128"/>
        <v>19991.322604477216</v>
      </c>
      <c r="M809" s="42">
        <f t="shared" si="128"/>
        <v>0</v>
      </c>
      <c r="N809" s="42">
        <f t="shared" si="123"/>
        <v>7785.7059126207423</v>
      </c>
      <c r="O809" s="36">
        <v>9.2745042186513391</v>
      </c>
      <c r="P809" s="42">
        <f t="shared" si="124"/>
        <v>-2468.2466855714265</v>
      </c>
      <c r="Q809" s="42"/>
      <c r="R809">
        <v>0.81911679433576468</v>
      </c>
      <c r="S809">
        <v>0.64519180883205662</v>
      </c>
    </row>
    <row r="810" spans="1:19" x14ac:dyDescent="0.25">
      <c r="A810" s="40">
        <f t="shared" si="125"/>
        <v>64.229676878151835</v>
      </c>
      <c r="B810" s="40">
        <f t="shared" si="125"/>
        <v>32.933286051621081</v>
      </c>
      <c r="C810" s="41">
        <f t="shared" si="120"/>
        <v>0.49289226185293716</v>
      </c>
      <c r="D810" s="41">
        <f t="shared" si="121"/>
        <v>0.98069361229543572</v>
      </c>
      <c r="E810" s="39">
        <f>IF(_xlfn.NORM.INV(R810,C810,'Regressão Grupo 2'!$B$7)&lt;=0,0,IF(_xlfn.NORM.INV(R810,C810,'Regressão Grupo 2'!$B$7)&gt;100%,100%,_xlfn.NORM.INV(R810,C810,'Regressão Grupo 2'!$B$7)))</f>
        <v>0.53042893682780279</v>
      </c>
      <c r="F810" s="39">
        <f>IF(_xlfn.NORM.INV(S810,D810,'Regressão Grupo 2'!$B$7)&lt;=0,0,IF(_xlfn.NORM.INV(S810,D810,'Regressão Grupo 2'!$B$7)&gt;100%,100%,_xlfn.NORM.INV(S810,D810,'Regressão Grupo 2'!$B$7)))</f>
        <v>1</v>
      </c>
      <c r="G810" s="41">
        <v>2.3773708966858906E-2</v>
      </c>
      <c r="H810" s="41">
        <v>1.9450257790923808E-2</v>
      </c>
      <c r="I810" s="40">
        <f t="shared" si="122"/>
        <v>252.09583919370382</v>
      </c>
      <c r="J810" s="40">
        <f t="shared" si="122"/>
        <v>0</v>
      </c>
      <c r="K810" s="36">
        <v>0.19268239262014353</v>
      </c>
      <c r="L810" s="42">
        <f t="shared" si="128"/>
        <v>19991.322604477216</v>
      </c>
      <c r="M810" s="42">
        <f t="shared" si="128"/>
        <v>0</v>
      </c>
      <c r="N810" s="42">
        <f t="shared" si="123"/>
        <v>3851.9758710718293</v>
      </c>
      <c r="O810" s="36">
        <v>5.2943579075242253</v>
      </c>
      <c r="P810" s="42">
        <f t="shared" si="124"/>
        <v>11005.372822977151</v>
      </c>
      <c r="Q810" s="42"/>
      <c r="R810">
        <v>0.60698263496810811</v>
      </c>
      <c r="S810">
        <v>0.80141605883968625</v>
      </c>
    </row>
    <row r="811" spans="1:19" x14ac:dyDescent="0.25">
      <c r="A811" s="40">
        <f t="shared" si="125"/>
        <v>64.229676878151835</v>
      </c>
      <c r="B811" s="40">
        <f t="shared" si="125"/>
        <v>32.933286051621081</v>
      </c>
      <c r="C811" s="41">
        <f t="shared" si="120"/>
        <v>0.49289226185293716</v>
      </c>
      <c r="D811" s="41">
        <f t="shared" si="121"/>
        <v>0.98069361229543572</v>
      </c>
      <c r="E811" s="39">
        <f>IF(_xlfn.NORM.INV(R811,C811,'Regressão Grupo 2'!$B$7)&lt;=0,0,IF(_xlfn.NORM.INV(R811,C811,'Regressão Grupo 2'!$B$7)&gt;100%,100%,_xlfn.NORM.INV(R811,C811,'Regressão Grupo 2'!$B$7)))</f>
        <v>0.41190117963662026</v>
      </c>
      <c r="F811" s="39">
        <f>IF(_xlfn.NORM.INV(S811,D811,'Regressão Grupo 2'!$B$7)&lt;=0,0,IF(_xlfn.NORM.INV(S811,D811,'Regressão Grupo 2'!$B$7)&gt;100%,100%,_xlfn.NORM.INV(S811,D811,'Regressão Grupo 2'!$B$7)))</f>
        <v>0.89281945328156986</v>
      </c>
      <c r="G811" s="41">
        <v>2.697741581146644E-2</v>
      </c>
      <c r="H811" s="41">
        <v>1.5666341259126783E-2</v>
      </c>
      <c r="I811" s="40">
        <f t="shared" si="122"/>
        <v>222.14416445168035</v>
      </c>
      <c r="J811" s="40">
        <f t="shared" si="122"/>
        <v>0</v>
      </c>
      <c r="K811" s="36">
        <v>0.25046987055819775</v>
      </c>
      <c r="L811" s="42">
        <f t="shared" si="128"/>
        <v>19991.322604477216</v>
      </c>
      <c r="M811" s="42">
        <f t="shared" si="128"/>
        <v>0</v>
      </c>
      <c r="N811" s="42">
        <f t="shared" si="123"/>
        <v>5007.2239850305814</v>
      </c>
      <c r="O811" s="36">
        <v>8.2209184506176012</v>
      </c>
      <c r="P811" s="42">
        <f t="shared" si="124"/>
        <v>7434.794857830022</v>
      </c>
      <c r="Q811" s="42"/>
      <c r="R811">
        <v>0.27903073213904234</v>
      </c>
      <c r="S811">
        <v>0.26255073702200382</v>
      </c>
    </row>
    <row r="812" spans="1:19" x14ac:dyDescent="0.25">
      <c r="A812" s="40">
        <f t="shared" si="125"/>
        <v>64.229676878151835</v>
      </c>
      <c r="B812" s="40">
        <f t="shared" si="125"/>
        <v>32.933286051621081</v>
      </c>
      <c r="C812" s="41">
        <f t="shared" si="120"/>
        <v>0.49289226185293716</v>
      </c>
      <c r="D812" s="41">
        <f t="shared" si="121"/>
        <v>0.98069361229543572</v>
      </c>
      <c r="E812" s="39">
        <f>IF(_xlfn.NORM.INV(R812,C812,'Regressão Grupo 2'!$B$7)&lt;=0,0,IF(_xlfn.NORM.INV(R812,C812,'Regressão Grupo 2'!$B$7)&gt;100%,100%,_xlfn.NORM.INV(R812,C812,'Regressão Grupo 2'!$B$7)))</f>
        <v>0.59293402758077318</v>
      </c>
      <c r="F812" s="39">
        <f>IF(_xlfn.NORM.INV(S812,D812,'Regressão Grupo 2'!$B$7)&lt;=0,0,IF(_xlfn.NORM.INV(S812,D812,'Regressão Grupo 2'!$B$7)&gt;100%,100%,_xlfn.NORM.INV(S812,D812,'Regressão Grupo 2'!$B$7)))</f>
        <v>0.9038357707809298</v>
      </c>
      <c r="G812" s="41">
        <v>1.5914071758643983E-2</v>
      </c>
      <c r="H812" s="41">
        <v>4.8458070386379285E-4</v>
      </c>
      <c r="I812" s="40">
        <f t="shared" si="122"/>
        <v>188.63801340340203</v>
      </c>
      <c r="J812" s="40">
        <f t="shared" si="122"/>
        <v>0</v>
      </c>
      <c r="K812" s="36">
        <v>0.27674194939177477</v>
      </c>
      <c r="L812" s="42">
        <f t="shared" si="128"/>
        <v>19991.322604477216</v>
      </c>
      <c r="M812" s="42">
        <f t="shared" si="128"/>
        <v>0</v>
      </c>
      <c r="N812" s="42">
        <f t="shared" si="123"/>
        <v>5532.4375884828769</v>
      </c>
      <c r="O812" s="36">
        <v>4.0902468283704136</v>
      </c>
      <c r="P812" s="42">
        <f t="shared" si="124"/>
        <v>5812.1450233207488</v>
      </c>
      <c r="Q812" s="42"/>
      <c r="R812">
        <v>0.7653126621295816</v>
      </c>
      <c r="S812">
        <v>0.28916287728507339</v>
      </c>
    </row>
    <row r="813" spans="1:19" x14ac:dyDescent="0.25">
      <c r="A813" s="40">
        <f t="shared" si="125"/>
        <v>64.229676878151835</v>
      </c>
      <c r="B813" s="40">
        <f t="shared" si="125"/>
        <v>32.933286051621081</v>
      </c>
      <c r="C813" s="41">
        <f t="shared" si="120"/>
        <v>0.49289226185293716</v>
      </c>
      <c r="D813" s="41">
        <f t="shared" si="121"/>
        <v>0.98069361229543572</v>
      </c>
      <c r="E813" s="39">
        <f>IF(_xlfn.NORM.INV(R813,C813,'Regressão Grupo 2'!$B$7)&lt;=0,0,IF(_xlfn.NORM.INV(R813,C813,'Regressão Grupo 2'!$B$7)&gt;100%,100%,_xlfn.NORM.INV(R813,C813,'Regressão Grupo 2'!$B$7)))</f>
        <v>0.7138899575982357</v>
      </c>
      <c r="F813" s="39">
        <f>IF(_xlfn.NORM.INV(S813,D813,'Regressão Grupo 2'!$B$7)&lt;=0,0,IF(_xlfn.NORM.INV(S813,D813,'Regressão Grupo 2'!$B$7)&gt;100%,100%,_xlfn.NORM.INV(S813,D813,'Regressão Grupo 2'!$B$7)))</f>
        <v>1</v>
      </c>
      <c r="G813" s="41">
        <v>6.5742442084650776E-3</v>
      </c>
      <c r="H813" s="41">
        <v>1.6792949838887208E-2</v>
      </c>
      <c r="I813" s="40">
        <f t="shared" si="122"/>
        <v>93.825012877531634</v>
      </c>
      <c r="J813" s="40">
        <f t="shared" si="122"/>
        <v>0</v>
      </c>
      <c r="K813" s="36">
        <v>0.28031556865652718</v>
      </c>
      <c r="L813" s="42">
        <f t="shared" si="128"/>
        <v>19991.322604477216</v>
      </c>
      <c r="M813" s="42">
        <f t="shared" si="128"/>
        <v>0</v>
      </c>
      <c r="N813" s="42">
        <f t="shared" si="123"/>
        <v>5603.878964070117</v>
      </c>
      <c r="O813" s="36">
        <v>6.1598169847482112</v>
      </c>
      <c r="P813" s="42">
        <f t="shared" si="124"/>
        <v>-155.47361177506446</v>
      </c>
      <c r="Q813" s="42"/>
      <c r="R813">
        <v>0.94500564592425307</v>
      </c>
      <c r="S813">
        <v>0.8239997558519242</v>
      </c>
    </row>
    <row r="814" spans="1:19" x14ac:dyDescent="0.25">
      <c r="A814" s="40">
        <f t="shared" si="125"/>
        <v>64.229676878151835</v>
      </c>
      <c r="B814" s="40">
        <f t="shared" si="125"/>
        <v>32.933286051621081</v>
      </c>
      <c r="C814" s="41">
        <f t="shared" si="120"/>
        <v>0.49289226185293716</v>
      </c>
      <c r="D814" s="41">
        <f t="shared" si="121"/>
        <v>0.98069361229543572</v>
      </c>
      <c r="E814" s="39">
        <f>IF(_xlfn.NORM.INV(R814,C814,'Regressão Grupo 2'!$B$7)&lt;=0,0,IF(_xlfn.NORM.INV(R814,C814,'Regressão Grupo 2'!$B$7)&gt;100%,100%,_xlfn.NORM.INV(R814,C814,'Regressão Grupo 2'!$B$7)))</f>
        <v>0.51420078190661644</v>
      </c>
      <c r="F814" s="39">
        <f>IF(_xlfn.NORM.INV(S814,D814,'Regressão Grupo 2'!$B$7)&lt;=0,0,IF(_xlfn.NORM.INV(S814,D814,'Regressão Grupo 2'!$B$7)&gt;100%,100%,_xlfn.NORM.INV(S814,D814,'Regressão Grupo 2'!$B$7)))</f>
        <v>1</v>
      </c>
      <c r="G814" s="41">
        <v>2.4159440304553335E-2</v>
      </c>
      <c r="H814" s="41">
        <v>1.8703157085496348E-2</v>
      </c>
      <c r="I814" s="40">
        <f t="shared" si="122"/>
        <v>248.34826432459374</v>
      </c>
      <c r="J814" s="40">
        <f t="shared" si="122"/>
        <v>0</v>
      </c>
      <c r="K814" s="36">
        <v>0.30122120088224014</v>
      </c>
      <c r="L814" s="42">
        <f t="shared" si="128"/>
        <v>19991.322604477216</v>
      </c>
      <c r="M814" s="42">
        <f t="shared" si="128"/>
        <v>0</v>
      </c>
      <c r="N814" s="42">
        <f t="shared" si="123"/>
        <v>6021.8102021448994</v>
      </c>
      <c r="O814" s="36">
        <v>5.9234499395211166</v>
      </c>
      <c r="P814" s="42">
        <f t="shared" si="124"/>
        <v>8458.4400573799121</v>
      </c>
      <c r="Q814" s="42"/>
      <c r="R814">
        <v>0.5612353892635884</v>
      </c>
      <c r="S814">
        <v>0.98611407818842123</v>
      </c>
    </row>
    <row r="815" spans="1:19" x14ac:dyDescent="0.25">
      <c r="A815" s="40">
        <f t="shared" si="125"/>
        <v>64.229676878151835</v>
      </c>
      <c r="B815" s="40">
        <f t="shared" si="125"/>
        <v>32.933286051621081</v>
      </c>
      <c r="C815" s="41">
        <f t="shared" si="120"/>
        <v>0.49289226185293716</v>
      </c>
      <c r="D815" s="41">
        <f t="shared" si="121"/>
        <v>0.98069361229543572</v>
      </c>
      <c r="E815" s="39">
        <f>IF(_xlfn.NORM.INV(R815,C815,'Regressão Grupo 2'!$B$7)&lt;=0,0,IF(_xlfn.NORM.INV(R815,C815,'Regressão Grupo 2'!$B$7)&gt;100%,100%,_xlfn.NORM.INV(R815,C815,'Regressão Grupo 2'!$B$7)))</f>
        <v>0.21906573590040612</v>
      </c>
      <c r="F815" s="39">
        <f>IF(_xlfn.NORM.INV(S815,D815,'Regressão Grupo 2'!$B$7)&lt;=0,0,IF(_xlfn.NORM.INV(S815,D815,'Regressão Grupo 2'!$B$7)&gt;100%,100%,_xlfn.NORM.INV(S815,D815,'Regressão Grupo 2'!$B$7)))</f>
        <v>1</v>
      </c>
      <c r="G815" s="41">
        <v>1.0733861852649261E-2</v>
      </c>
      <c r="H815" s="41">
        <v>2.4301759381527368E-2</v>
      </c>
      <c r="I815" s="40">
        <f t="shared" si="122"/>
        <v>47.008022703019883</v>
      </c>
      <c r="J815" s="40">
        <f t="shared" si="122"/>
        <v>0</v>
      </c>
      <c r="K815" s="36">
        <v>0.28257018111596111</v>
      </c>
      <c r="L815" s="42">
        <f t="shared" si="128"/>
        <v>19991.322604477216</v>
      </c>
      <c r="M815" s="42">
        <f t="shared" si="128"/>
        <v>0</v>
      </c>
      <c r="N815" s="42">
        <f t="shared" si="123"/>
        <v>5648.9516490947344</v>
      </c>
      <c r="O815" s="36">
        <v>4.9955774431852991</v>
      </c>
      <c r="P815" s="42">
        <f t="shared" si="124"/>
        <v>-2864.4737580628903</v>
      </c>
      <c r="Q815" s="42"/>
      <c r="R815">
        <v>2.3834955900753806E-2</v>
      </c>
      <c r="S815">
        <v>0.80709250160222179</v>
      </c>
    </row>
    <row r="816" spans="1:19" x14ac:dyDescent="0.25">
      <c r="A816" s="40">
        <f t="shared" si="125"/>
        <v>64.229676878151835</v>
      </c>
      <c r="B816" s="40">
        <f t="shared" si="125"/>
        <v>32.933286051621081</v>
      </c>
      <c r="C816" s="41">
        <f t="shared" si="120"/>
        <v>0.49289226185293716</v>
      </c>
      <c r="D816" s="41">
        <f t="shared" si="121"/>
        <v>0.98069361229543572</v>
      </c>
      <c r="E816" s="39">
        <f>IF(_xlfn.NORM.INV(R816,C816,'Regressão Grupo 2'!$B$7)&lt;=0,0,IF(_xlfn.NORM.INV(R816,C816,'Regressão Grupo 2'!$B$7)&gt;100%,100%,_xlfn.NORM.INV(R816,C816,'Regressão Grupo 2'!$B$7)))</f>
        <v>0.5939398751679672</v>
      </c>
      <c r="F816" s="39">
        <f>IF(_xlfn.NORM.INV(S816,D816,'Regressão Grupo 2'!$B$7)&lt;=0,0,IF(_xlfn.NORM.INV(S816,D816,'Regressão Grupo 2'!$B$7)&gt;100%,100%,_xlfn.NORM.INV(S816,D816,'Regressão Grupo 2'!$B$7)))</f>
        <v>0.96585086035429291</v>
      </c>
      <c r="G816" s="41">
        <v>1.9065915411485106E-2</v>
      </c>
      <c r="H816" s="41">
        <v>3.5964623871619331E-3</v>
      </c>
      <c r="I816" s="40">
        <f t="shared" si="122"/>
        <v>226.38188549792812</v>
      </c>
      <c r="J816" s="40">
        <f t="shared" si="122"/>
        <v>0</v>
      </c>
      <c r="K816" s="36">
        <v>0.33374703890347018</v>
      </c>
      <c r="L816" s="42">
        <f t="shared" si="128"/>
        <v>19991.322604477216</v>
      </c>
      <c r="M816" s="42">
        <f t="shared" si="128"/>
        <v>0</v>
      </c>
      <c r="N816" s="42">
        <f t="shared" si="123"/>
        <v>6672.04472300828</v>
      </c>
      <c r="O816" s="36">
        <v>5.2827427107532046</v>
      </c>
      <c r="P816" s="42">
        <f t="shared" si="124"/>
        <v>6672.4733781296627</v>
      </c>
      <c r="Q816" s="42"/>
      <c r="R816">
        <v>0.76754051332132933</v>
      </c>
      <c r="S816">
        <v>0.45725882747886593</v>
      </c>
    </row>
    <row r="817" spans="1:19" x14ac:dyDescent="0.25">
      <c r="A817" s="40">
        <f t="shared" si="125"/>
        <v>64.229676878151835</v>
      </c>
      <c r="B817" s="40">
        <f t="shared" si="125"/>
        <v>32.933286051621081</v>
      </c>
      <c r="C817" s="41">
        <f t="shared" si="120"/>
        <v>0.49289226185293716</v>
      </c>
      <c r="D817" s="41">
        <f t="shared" si="121"/>
        <v>0.98069361229543572</v>
      </c>
      <c r="E817" s="39">
        <f>IF(_xlfn.NORM.INV(R817,C817,'Regressão Grupo 2'!$B$7)&lt;=0,0,IF(_xlfn.NORM.INV(R817,C817,'Regressão Grupo 2'!$B$7)&gt;100%,100%,_xlfn.NORM.INV(R817,C817,'Regressão Grupo 2'!$B$7)))</f>
        <v>0.55387420038821211</v>
      </c>
      <c r="F817" s="39">
        <f>IF(_xlfn.NORM.INV(S817,D817,'Regressão Grupo 2'!$B$7)&lt;=0,0,IF(_xlfn.NORM.INV(S817,D817,'Regressão Grupo 2'!$B$7)&gt;100%,100%,_xlfn.NORM.INV(S817,D817,'Regressão Grupo 2'!$B$7)))</f>
        <v>1</v>
      </c>
      <c r="G817" s="41">
        <v>1.9524852467857512E-2</v>
      </c>
      <c r="H817" s="41">
        <v>1.5804817806353504E-2</v>
      </c>
      <c r="I817" s="40">
        <f t="shared" si="122"/>
        <v>216.1924009036976</v>
      </c>
      <c r="J817" s="40">
        <f t="shared" si="122"/>
        <v>0</v>
      </c>
      <c r="K817" s="36">
        <v>0.30780142219029621</v>
      </c>
      <c r="L817" s="42">
        <f t="shared" si="128"/>
        <v>19991.322604477216</v>
      </c>
      <c r="M817" s="42">
        <f t="shared" si="128"/>
        <v>0</v>
      </c>
      <c r="N817" s="42">
        <f t="shared" si="123"/>
        <v>6153.3575291231036</v>
      </c>
      <c r="O817" s="36">
        <v>8.2664125759288432</v>
      </c>
      <c r="P817" s="42">
        <f t="shared" si="124"/>
        <v>5945.4749427826782</v>
      </c>
      <c r="Q817" s="42"/>
      <c r="R817">
        <v>0.67040009765923037</v>
      </c>
      <c r="S817">
        <v>0.69707327494125182</v>
      </c>
    </row>
    <row r="818" spans="1:19" x14ac:dyDescent="0.25">
      <c r="A818" s="40">
        <f t="shared" si="125"/>
        <v>64.229676878151835</v>
      </c>
      <c r="B818" s="40">
        <f t="shared" si="125"/>
        <v>32.933286051621081</v>
      </c>
      <c r="C818" s="41">
        <f t="shared" si="120"/>
        <v>0.49289226185293716</v>
      </c>
      <c r="D818" s="41">
        <f t="shared" si="121"/>
        <v>0.98069361229543572</v>
      </c>
      <c r="E818" s="39">
        <f>IF(_xlfn.NORM.INV(R818,C818,'Regressão Grupo 2'!$B$7)&lt;=0,0,IF(_xlfn.NORM.INV(R818,C818,'Regressão Grupo 2'!$B$7)&gt;100%,100%,_xlfn.NORM.INV(R818,C818,'Regressão Grupo 2'!$B$7)))</f>
        <v>0.52056240410737997</v>
      </c>
      <c r="F818" s="39">
        <f>IF(_xlfn.NORM.INV(S818,D818,'Regressão Grupo 2'!$B$7)&lt;=0,0,IF(_xlfn.NORM.INV(S818,D818,'Regressão Grupo 2'!$B$7)&gt;100%,100%,_xlfn.NORM.INV(S818,D818,'Regressão Grupo 2'!$B$7)))</f>
        <v>1</v>
      </c>
      <c r="G818" s="41">
        <v>6.993359515459611E-3</v>
      </c>
      <c r="H818" s="41">
        <v>1.1669422857237387E-2</v>
      </c>
      <c r="I818" s="40">
        <f t="shared" si="122"/>
        <v>72.778010957878962</v>
      </c>
      <c r="J818" s="40">
        <f t="shared" si="122"/>
        <v>0</v>
      </c>
      <c r="K818" s="36">
        <v>0.4298830505205119</v>
      </c>
      <c r="L818" s="42">
        <f t="shared" si="128"/>
        <v>19991.322604477216</v>
      </c>
      <c r="M818" s="42">
        <f t="shared" si="128"/>
        <v>0</v>
      </c>
      <c r="N818" s="42">
        <f t="shared" si="123"/>
        <v>8593.9307451523309</v>
      </c>
      <c r="O818" s="36">
        <v>5.6269030058524478</v>
      </c>
      <c r="P818" s="42">
        <f t="shared" si="124"/>
        <v>-4328.9374261120238</v>
      </c>
      <c r="Q818" s="42"/>
      <c r="R818">
        <v>0.57930234687337867</v>
      </c>
      <c r="S818">
        <v>0.66463209936826684</v>
      </c>
    </row>
    <row r="819" spans="1:19" x14ac:dyDescent="0.25">
      <c r="A819" s="40">
        <f t="shared" si="125"/>
        <v>64.229676878151835</v>
      </c>
      <c r="B819" s="40">
        <f t="shared" si="125"/>
        <v>32.933286051621081</v>
      </c>
      <c r="C819" s="41">
        <f t="shared" si="120"/>
        <v>0.49289226185293716</v>
      </c>
      <c r="D819" s="41">
        <f t="shared" si="121"/>
        <v>0.98069361229543572</v>
      </c>
      <c r="E819" s="39">
        <f>IF(_xlfn.NORM.INV(R819,C819,'Regressão Grupo 2'!$B$7)&lt;=0,0,IF(_xlfn.NORM.INV(R819,C819,'Regressão Grupo 2'!$B$7)&gt;100%,100%,_xlfn.NORM.INV(R819,C819,'Regressão Grupo 2'!$B$7)))</f>
        <v>0.64026802918473069</v>
      </c>
      <c r="F819" s="39">
        <f>IF(_xlfn.NORM.INV(S819,D819,'Regressão Grupo 2'!$B$7)&lt;=0,0,IF(_xlfn.NORM.INV(S819,D819,'Regressão Grupo 2'!$B$7)&gt;100%,100%,_xlfn.NORM.INV(S819,D819,'Regressão Grupo 2'!$B$7)))</f>
        <v>0.98210578157410855</v>
      </c>
      <c r="G819" s="41">
        <v>1.1549214643554949E-2</v>
      </c>
      <c r="H819" s="41">
        <v>1.3516165220897346E-2</v>
      </c>
      <c r="I819" s="40">
        <f t="shared" si="122"/>
        <v>147.82769216189729</v>
      </c>
      <c r="J819" s="40">
        <f t="shared" si="122"/>
        <v>0</v>
      </c>
      <c r="K819" s="36">
        <v>0.21191046211349746</v>
      </c>
      <c r="L819" s="42">
        <f t="shared" si="128"/>
        <v>19991.322604477216</v>
      </c>
      <c r="M819" s="42">
        <f t="shared" si="128"/>
        <v>0</v>
      </c>
      <c r="N819" s="42">
        <f t="shared" si="123"/>
        <v>4236.3704113747744</v>
      </c>
      <c r="O819" s="36">
        <v>3.3603712574778415</v>
      </c>
      <c r="P819" s="42">
        <f t="shared" si="124"/>
        <v>4761.7985620266636</v>
      </c>
      <c r="Q819" s="42"/>
      <c r="R819">
        <v>0.85674611651966914</v>
      </c>
      <c r="S819">
        <v>0.50407422101504562</v>
      </c>
    </row>
    <row r="820" spans="1:19" x14ac:dyDescent="0.25">
      <c r="A820" s="40">
        <f t="shared" si="125"/>
        <v>64.229676878151835</v>
      </c>
      <c r="B820" s="40">
        <f t="shared" si="125"/>
        <v>32.933286051621081</v>
      </c>
      <c r="C820" s="41">
        <f t="shared" si="120"/>
        <v>0.49289226185293716</v>
      </c>
      <c r="D820" s="41">
        <f t="shared" si="121"/>
        <v>0.98069361229543572</v>
      </c>
      <c r="E820" s="39">
        <f>IF(_xlfn.NORM.INV(R820,C820,'Regressão Grupo 2'!$B$7)&lt;=0,0,IF(_xlfn.NORM.INV(R820,C820,'Regressão Grupo 2'!$B$7)&gt;100%,100%,_xlfn.NORM.INV(R820,C820,'Regressão Grupo 2'!$B$7)))</f>
        <v>0.56046233493700082</v>
      </c>
      <c r="F820" s="39">
        <f>IF(_xlfn.NORM.INV(S820,D820,'Regressão Grupo 2'!$B$7)&lt;=0,0,IF(_xlfn.NORM.INV(S820,D820,'Regressão Grupo 2'!$B$7)&gt;100%,100%,_xlfn.NORM.INV(S820,D820,'Regressão Grupo 2'!$B$7)))</f>
        <v>1</v>
      </c>
      <c r="G820" s="41">
        <v>2.2864574330282206E-2</v>
      </c>
      <c r="H820" s="41">
        <v>2.6755406915935611E-2</v>
      </c>
      <c r="I820" s="40">
        <f t="shared" si="122"/>
        <v>256.18345582551183</v>
      </c>
      <c r="J820" s="40">
        <f t="shared" si="122"/>
        <v>0</v>
      </c>
      <c r="K820" s="36">
        <v>0.21182207784469873</v>
      </c>
      <c r="L820" s="42">
        <f t="shared" si="128"/>
        <v>19991.322604477216</v>
      </c>
      <c r="M820" s="42">
        <f t="shared" si="128"/>
        <v>0</v>
      </c>
      <c r="N820" s="42">
        <f t="shared" si="123"/>
        <v>4234.6034929440584</v>
      </c>
      <c r="O820" s="36">
        <v>4.6666393179285812</v>
      </c>
      <c r="P820" s="42">
        <f t="shared" si="124"/>
        <v>11024.461308698697</v>
      </c>
      <c r="Q820" s="42"/>
      <c r="R820">
        <v>0.68745994445631275</v>
      </c>
      <c r="S820">
        <v>0.87188329721976376</v>
      </c>
    </row>
    <row r="821" spans="1:19" x14ac:dyDescent="0.25">
      <c r="A821" s="40">
        <f t="shared" si="125"/>
        <v>64.229676878151835</v>
      </c>
      <c r="B821" s="40">
        <f t="shared" si="125"/>
        <v>32.933286051621081</v>
      </c>
      <c r="C821" s="41">
        <f t="shared" si="120"/>
        <v>0.49289226185293716</v>
      </c>
      <c r="D821" s="41">
        <f t="shared" si="121"/>
        <v>0.98069361229543572</v>
      </c>
      <c r="E821" s="39">
        <f>IF(_xlfn.NORM.INV(R821,C821,'Regressão Grupo 2'!$B$7)&lt;=0,0,IF(_xlfn.NORM.INV(R821,C821,'Regressão Grupo 2'!$B$7)&gt;100%,100%,_xlfn.NORM.INV(R821,C821,'Regressão Grupo 2'!$B$7)))</f>
        <v>0.41326599095473227</v>
      </c>
      <c r="F821" s="39">
        <f>IF(_xlfn.NORM.INV(S821,D821,'Regressão Grupo 2'!$B$7)&lt;=0,0,IF(_xlfn.NORM.INV(S821,D821,'Regressão Grupo 2'!$B$7)&gt;100%,100%,_xlfn.NORM.INV(S821,D821,'Regressão Grupo 2'!$B$7)))</f>
        <v>0.84156709600207313</v>
      </c>
      <c r="G821" s="41">
        <v>1.70260199119481E-2</v>
      </c>
      <c r="H821" s="41">
        <v>1.5704145256035307E-2</v>
      </c>
      <c r="I821" s="40">
        <f t="shared" si="122"/>
        <v>140.66444327742136</v>
      </c>
      <c r="J821" s="40">
        <f t="shared" si="122"/>
        <v>0</v>
      </c>
      <c r="K821" s="36">
        <v>0.42149117722251689</v>
      </c>
      <c r="L821" s="42">
        <f t="shared" si="128"/>
        <v>19991.322604477216</v>
      </c>
      <c r="M821" s="42">
        <f t="shared" si="128"/>
        <v>0</v>
      </c>
      <c r="N821" s="42">
        <f t="shared" si="123"/>
        <v>8426.166098796215</v>
      </c>
      <c r="O821" s="36">
        <v>5.7837888988681012</v>
      </c>
      <c r="P821" s="42">
        <f t="shared" si="124"/>
        <v>-204.90780433573673</v>
      </c>
      <c r="Q821" s="42"/>
      <c r="R821">
        <v>0.28235724967192605</v>
      </c>
      <c r="S821">
        <v>0.15717032380138554</v>
      </c>
    </row>
    <row r="822" spans="1:19" x14ac:dyDescent="0.25">
      <c r="A822" s="40">
        <f t="shared" si="125"/>
        <v>64.229676878151835</v>
      </c>
      <c r="B822" s="40">
        <f t="shared" si="125"/>
        <v>32.933286051621081</v>
      </c>
      <c r="C822" s="41">
        <f t="shared" si="120"/>
        <v>0.49289226185293716</v>
      </c>
      <c r="D822" s="41">
        <f t="shared" si="121"/>
        <v>0.98069361229543572</v>
      </c>
      <c r="E822" s="39">
        <f>IF(_xlfn.NORM.INV(R822,C822,'Regressão Grupo 2'!$B$7)&lt;=0,0,IF(_xlfn.NORM.INV(R822,C822,'Regressão Grupo 2'!$B$7)&gt;100%,100%,_xlfn.NORM.INV(R822,C822,'Regressão Grupo 2'!$B$7)))</f>
        <v>0.57397126129468601</v>
      </c>
      <c r="F822" s="39">
        <f>IF(_xlfn.NORM.INV(S822,D822,'Regressão Grupo 2'!$B$7)&lt;=0,0,IF(_xlfn.NORM.INV(S822,D822,'Regressão Grupo 2'!$B$7)&gt;100%,100%,_xlfn.NORM.INV(S822,D822,'Regressão Grupo 2'!$B$7)))</f>
        <v>0.96051903447234721</v>
      </c>
      <c r="G822" s="41">
        <v>2.4422558930595934E-2</v>
      </c>
      <c r="H822" s="41">
        <v>2.6411030673487875E-2</v>
      </c>
      <c r="I822" s="40">
        <f t="shared" si="122"/>
        <v>280.23530066636607</v>
      </c>
      <c r="J822" s="40">
        <f t="shared" si="122"/>
        <v>0</v>
      </c>
      <c r="K822" s="36">
        <v>0.30859889446087541</v>
      </c>
      <c r="L822" s="42">
        <f t="shared" si="128"/>
        <v>19991.322604477216</v>
      </c>
      <c r="M822" s="42">
        <f t="shared" si="128"/>
        <v>0</v>
      </c>
      <c r="N822" s="42">
        <f t="shared" si="123"/>
        <v>6169.3000545523773</v>
      </c>
      <c r="O822" s="36">
        <v>5.8753770292380896</v>
      </c>
      <c r="P822" s="42">
        <f t="shared" si="124"/>
        <v>10183.634708783247</v>
      </c>
      <c r="Q822" s="42"/>
      <c r="R822">
        <v>0.72118289742728969</v>
      </c>
      <c r="S822">
        <v>0.44199957274086732</v>
      </c>
    </row>
    <row r="823" spans="1:19" x14ac:dyDescent="0.25">
      <c r="A823" s="40">
        <f t="shared" si="125"/>
        <v>64.229676878151835</v>
      </c>
      <c r="B823" s="40">
        <f t="shared" si="125"/>
        <v>32.933286051621081</v>
      </c>
      <c r="C823" s="41">
        <f t="shared" si="120"/>
        <v>0.49289226185293716</v>
      </c>
      <c r="D823" s="41">
        <f t="shared" si="121"/>
        <v>0.98069361229543572</v>
      </c>
      <c r="E823" s="39">
        <f>IF(_xlfn.NORM.INV(R823,C823,'Regressão Grupo 2'!$B$7)&lt;=0,0,IF(_xlfn.NORM.INV(R823,C823,'Regressão Grupo 2'!$B$7)&gt;100%,100%,_xlfn.NORM.INV(R823,C823,'Regressão Grupo 2'!$B$7)))</f>
        <v>0.53042893682780279</v>
      </c>
      <c r="F823" s="39">
        <f>IF(_xlfn.NORM.INV(S823,D823,'Regressão Grupo 2'!$B$7)&lt;=0,0,IF(_xlfn.NORM.INV(S823,D823,'Regressão Grupo 2'!$B$7)&gt;100%,100%,_xlfn.NORM.INV(S823,D823,'Regressão Grupo 2'!$B$7)))</f>
        <v>1</v>
      </c>
      <c r="G823" s="41">
        <v>1.3561783398097764E-2</v>
      </c>
      <c r="H823" s="41">
        <v>1.220467311207279E-2</v>
      </c>
      <c r="I823" s="40">
        <f t="shared" si="122"/>
        <v>143.80882560111581</v>
      </c>
      <c r="J823" s="40">
        <f t="shared" si="122"/>
        <v>0</v>
      </c>
      <c r="K823" s="36">
        <v>0.40031236319715746</v>
      </c>
      <c r="L823" s="42">
        <f t="shared" ref="L823:M838" si="129">L822</f>
        <v>19991.322604477216</v>
      </c>
      <c r="M823" s="42">
        <f t="shared" si="129"/>
        <v>0</v>
      </c>
      <c r="N823" s="42">
        <f t="shared" si="123"/>
        <v>8002.7735952350276</v>
      </c>
      <c r="O823" s="36">
        <v>4.313398985489961</v>
      </c>
      <c r="P823" s="42">
        <f t="shared" si="124"/>
        <v>613.71596289877471</v>
      </c>
      <c r="Q823" s="42"/>
      <c r="R823">
        <v>0.60698263496810811</v>
      </c>
      <c r="S823">
        <v>0.93188268684957432</v>
      </c>
    </row>
    <row r="824" spans="1:19" x14ac:dyDescent="0.25">
      <c r="A824" s="40">
        <f t="shared" si="125"/>
        <v>64.229676878151835</v>
      </c>
      <c r="B824" s="40">
        <f t="shared" si="125"/>
        <v>32.933286051621081</v>
      </c>
      <c r="C824" s="41">
        <f t="shared" si="120"/>
        <v>0.49289226185293716</v>
      </c>
      <c r="D824" s="41">
        <f t="shared" si="121"/>
        <v>0.98069361229543572</v>
      </c>
      <c r="E824" s="39">
        <f>IF(_xlfn.NORM.INV(R824,C824,'Regressão Grupo 2'!$B$7)&lt;=0,0,IF(_xlfn.NORM.INV(R824,C824,'Regressão Grupo 2'!$B$7)&gt;100%,100%,_xlfn.NORM.INV(R824,C824,'Regressão Grupo 2'!$B$7)))</f>
        <v>0.52464352516477741</v>
      </c>
      <c r="F824" s="39">
        <f>IF(_xlfn.NORM.INV(S824,D824,'Regressão Grupo 2'!$B$7)&lt;=0,0,IF(_xlfn.NORM.INV(S824,D824,'Regressão Grupo 2'!$B$7)&gt;100%,100%,_xlfn.NORM.INV(S824,D824,'Regressão Grupo 2'!$B$7)))</f>
        <v>1</v>
      </c>
      <c r="G824" s="41">
        <v>2.1309702054512304E-2</v>
      </c>
      <c r="H824" s="41">
        <v>7.0009315415843895E-3</v>
      </c>
      <c r="I824" s="40">
        <f t="shared" si="122"/>
        <v>223.50293086410784</v>
      </c>
      <c r="J824" s="40">
        <f t="shared" si="122"/>
        <v>0</v>
      </c>
      <c r="K824" s="36">
        <v>0.32766355555948862</v>
      </c>
      <c r="L824" s="42">
        <f t="shared" si="129"/>
        <v>19991.322604477216</v>
      </c>
      <c r="M824" s="42">
        <f t="shared" si="129"/>
        <v>0</v>
      </c>
      <c r="N824" s="42">
        <f t="shared" si="123"/>
        <v>6550.4278449197809</v>
      </c>
      <c r="O824" s="36">
        <v>3.3799102197342874</v>
      </c>
      <c r="P824" s="42">
        <f t="shared" si="124"/>
        <v>7049.6733456336096</v>
      </c>
      <c r="Q824" s="42"/>
      <c r="R824">
        <v>0.59080782494582962</v>
      </c>
      <c r="S824">
        <v>0.93353068636127812</v>
      </c>
    </row>
    <row r="825" spans="1:19" x14ac:dyDescent="0.25">
      <c r="A825" s="40">
        <f t="shared" si="125"/>
        <v>64.229676878151835</v>
      </c>
      <c r="B825" s="40">
        <f t="shared" si="125"/>
        <v>32.933286051621081</v>
      </c>
      <c r="C825" s="41">
        <f t="shared" si="120"/>
        <v>0.49289226185293716</v>
      </c>
      <c r="D825" s="41">
        <f t="shared" si="121"/>
        <v>0.98069361229543572</v>
      </c>
      <c r="E825" s="39">
        <f>IF(_xlfn.NORM.INV(R825,C825,'Regressão Grupo 2'!$B$7)&lt;=0,0,IF(_xlfn.NORM.INV(R825,C825,'Regressão Grupo 2'!$B$7)&gt;100%,100%,_xlfn.NORM.INV(R825,C825,'Regressão Grupo 2'!$B$7)))</f>
        <v>0.60265324526515185</v>
      </c>
      <c r="F825" s="39">
        <f>IF(_xlfn.NORM.INV(S825,D825,'Regressão Grupo 2'!$B$7)&lt;=0,0,IF(_xlfn.NORM.INV(S825,D825,'Regressão Grupo 2'!$B$7)&gt;100%,100%,_xlfn.NORM.INV(S825,D825,'Regressão Grupo 2'!$B$7)))</f>
        <v>1</v>
      </c>
      <c r="G825" s="41">
        <v>2.0637180611897607E-2</v>
      </c>
      <c r="H825" s="41">
        <v>2.2735741036147266E-2</v>
      </c>
      <c r="I825" s="40">
        <f t="shared" si="122"/>
        <v>248.63335605533089</v>
      </c>
      <c r="J825" s="40">
        <f t="shared" si="122"/>
        <v>0</v>
      </c>
      <c r="K825" s="36">
        <v>0.30977245554565863</v>
      </c>
      <c r="L825" s="42">
        <f t="shared" si="129"/>
        <v>19991.322604477216</v>
      </c>
      <c r="M825" s="42">
        <f t="shared" si="129"/>
        <v>0</v>
      </c>
      <c r="N825" s="42">
        <f t="shared" si="123"/>
        <v>6192.7610927943388</v>
      </c>
      <c r="O825" s="36">
        <v>5.0630733967634383</v>
      </c>
      <c r="P825" s="42">
        <f t="shared" si="124"/>
        <v>8518.0300971782835</v>
      </c>
      <c r="Q825" s="42"/>
      <c r="R825">
        <v>0.78633991515854362</v>
      </c>
      <c r="S825">
        <v>0.56688131351664783</v>
      </c>
    </row>
    <row r="826" spans="1:19" x14ac:dyDescent="0.25">
      <c r="A826" s="40">
        <f t="shared" si="125"/>
        <v>64.229676878151835</v>
      </c>
      <c r="B826" s="40">
        <f t="shared" si="125"/>
        <v>32.933286051621081</v>
      </c>
      <c r="C826" s="41">
        <f t="shared" si="120"/>
        <v>0.49289226185293716</v>
      </c>
      <c r="D826" s="41">
        <f t="shared" si="121"/>
        <v>0.98069361229543572</v>
      </c>
      <c r="E826" s="39">
        <f>IF(_xlfn.NORM.INV(R826,C826,'Regressão Grupo 2'!$B$7)&lt;=0,0,IF(_xlfn.NORM.INV(R826,C826,'Regressão Grupo 2'!$B$7)&gt;100%,100%,_xlfn.NORM.INV(R826,C826,'Regressão Grupo 2'!$B$7)))</f>
        <v>0.59161926812108989</v>
      </c>
      <c r="F826" s="39">
        <f>IF(_xlfn.NORM.INV(S826,D826,'Regressão Grupo 2'!$B$7)&lt;=0,0,IF(_xlfn.NORM.INV(S826,D826,'Regressão Grupo 2'!$B$7)&gt;100%,100%,_xlfn.NORM.INV(S826,D826,'Regressão Grupo 2'!$B$7)))</f>
        <v>0.94635184902855474</v>
      </c>
      <c r="G826" s="41">
        <v>2.1091406277298018E-2</v>
      </c>
      <c r="H826" s="41">
        <v>1.1712658634149671E-2</v>
      </c>
      <c r="I826" s="40">
        <f t="shared" si="122"/>
        <v>249.45336965251522</v>
      </c>
      <c r="J826" s="40">
        <f t="shared" si="122"/>
        <v>0</v>
      </c>
      <c r="K826" s="36">
        <v>0.24346223306281223</v>
      </c>
      <c r="L826" s="42">
        <f t="shared" si="129"/>
        <v>19991.322604477216</v>
      </c>
      <c r="M826" s="42">
        <f t="shared" si="129"/>
        <v>0</v>
      </c>
      <c r="N826" s="42">
        <f t="shared" si="123"/>
        <v>4867.1320431650984</v>
      </c>
      <c r="O826" s="36">
        <v>6.261741833220225</v>
      </c>
      <c r="P826" s="42">
        <f t="shared" si="124"/>
        <v>9593.1646855912186</v>
      </c>
      <c r="Q826" s="42"/>
      <c r="R826">
        <v>0.76238288521988584</v>
      </c>
      <c r="S826">
        <v>0.40192876979888303</v>
      </c>
    </row>
    <row r="827" spans="1:19" x14ac:dyDescent="0.25">
      <c r="A827" s="40">
        <f t="shared" si="125"/>
        <v>64.229676878151835</v>
      </c>
      <c r="B827" s="40">
        <f t="shared" si="125"/>
        <v>32.933286051621081</v>
      </c>
      <c r="C827" s="41">
        <f t="shared" si="120"/>
        <v>0.49289226185293716</v>
      </c>
      <c r="D827" s="41">
        <f t="shared" si="121"/>
        <v>0.98069361229543572</v>
      </c>
      <c r="E827" s="39">
        <f>IF(_xlfn.NORM.INV(R827,C827,'Regressão Grupo 2'!$B$7)&lt;=0,0,IF(_xlfn.NORM.INV(R827,C827,'Regressão Grupo 2'!$B$7)&gt;100%,100%,_xlfn.NORM.INV(R827,C827,'Regressão Grupo 2'!$B$7)))</f>
        <v>0.60590155295066261</v>
      </c>
      <c r="F827" s="39">
        <f>IF(_xlfn.NORM.INV(S827,D827,'Regressão Grupo 2'!$B$7)&lt;=0,0,IF(_xlfn.NORM.INV(S827,D827,'Regressão Grupo 2'!$B$7)&gt;100%,100%,_xlfn.NORM.INV(S827,D827,'Regressão Grupo 2'!$B$7)))</f>
        <v>0.87697452693423972</v>
      </c>
      <c r="G827" s="41">
        <v>1.2115283632032254E-2</v>
      </c>
      <c r="H827" s="41">
        <v>1.5678271082835666E-2</v>
      </c>
      <c r="I827" s="40">
        <f t="shared" si="122"/>
        <v>146.74968545195702</v>
      </c>
      <c r="J827" s="40">
        <f t="shared" si="122"/>
        <v>0</v>
      </c>
      <c r="K827" s="36">
        <v>0.41253512951458304</v>
      </c>
      <c r="L827" s="42">
        <f t="shared" si="129"/>
        <v>19991.322604477216</v>
      </c>
      <c r="M827" s="42">
        <f t="shared" si="129"/>
        <v>0</v>
      </c>
      <c r="N827" s="42">
        <f t="shared" si="123"/>
        <v>8247.1228598058206</v>
      </c>
      <c r="O827" s="36">
        <v>5.7364711009460443</v>
      </c>
      <c r="P827" s="42">
        <f t="shared" si="124"/>
        <v>336.73668907572392</v>
      </c>
      <c r="Q827" s="42"/>
      <c r="R827">
        <v>0.79311502426221503</v>
      </c>
      <c r="S827">
        <v>0.22659993285927915</v>
      </c>
    </row>
    <row r="828" spans="1:19" x14ac:dyDescent="0.25">
      <c r="A828" s="40">
        <f t="shared" si="125"/>
        <v>64.229676878151835</v>
      </c>
      <c r="B828" s="40">
        <f t="shared" si="125"/>
        <v>32.933286051621081</v>
      </c>
      <c r="C828" s="41">
        <f t="shared" si="120"/>
        <v>0.49289226185293716</v>
      </c>
      <c r="D828" s="41">
        <f t="shared" si="121"/>
        <v>0.98069361229543572</v>
      </c>
      <c r="E828" s="39">
        <f>IF(_xlfn.NORM.INV(R828,C828,'Regressão Grupo 2'!$B$7)&lt;=0,0,IF(_xlfn.NORM.INV(R828,C828,'Regressão Grupo 2'!$B$7)&gt;100%,100%,_xlfn.NORM.INV(R828,C828,'Regressão Grupo 2'!$B$7)))</f>
        <v>0.84960411871500918</v>
      </c>
      <c r="F828" s="39">
        <f>IF(_xlfn.NORM.INV(S828,D828,'Regressão Grupo 2'!$B$7)&lt;=0,0,IF(_xlfn.NORM.INV(S828,D828,'Regressão Grupo 2'!$B$7)&gt;100%,100%,_xlfn.NORM.INV(S828,D828,'Regressão Grupo 2'!$B$7)))</f>
        <v>0.91306393640909778</v>
      </c>
      <c r="G828" s="41">
        <v>2.2160971097997258E-2</v>
      </c>
      <c r="H828" s="41">
        <v>4.9257027410290356E-3</v>
      </c>
      <c r="I828" s="40">
        <f t="shared" si="122"/>
        <v>376.39766793475434</v>
      </c>
      <c r="J828" s="40">
        <f t="shared" si="122"/>
        <v>0</v>
      </c>
      <c r="K828" s="36">
        <v>0.29482487958064618</v>
      </c>
      <c r="L828" s="42">
        <f t="shared" si="129"/>
        <v>19991.322604477216</v>
      </c>
      <c r="M828" s="42">
        <f t="shared" si="129"/>
        <v>0</v>
      </c>
      <c r="N828" s="42">
        <f t="shared" si="123"/>
        <v>5893.939279522845</v>
      </c>
      <c r="O828" s="36">
        <v>5.0285235335836047</v>
      </c>
      <c r="P828" s="42">
        <f t="shared" si="124"/>
        <v>16389.236778420422</v>
      </c>
      <c r="Q828" s="42"/>
      <c r="R828">
        <v>0.99505600146488848</v>
      </c>
      <c r="S828">
        <v>0.31238746299630726</v>
      </c>
    </row>
    <row r="829" spans="1:19" x14ac:dyDescent="0.25">
      <c r="A829" s="40">
        <f t="shared" si="125"/>
        <v>64.229676878151835</v>
      </c>
      <c r="B829" s="40">
        <f t="shared" si="125"/>
        <v>32.933286051621081</v>
      </c>
      <c r="C829" s="41">
        <f t="shared" si="120"/>
        <v>0.49289226185293716</v>
      </c>
      <c r="D829" s="41">
        <f t="shared" si="121"/>
        <v>0.98069361229543572</v>
      </c>
      <c r="E829" s="39">
        <f>IF(_xlfn.NORM.INV(R829,C829,'Regressão Grupo 2'!$B$7)&lt;=0,0,IF(_xlfn.NORM.INV(R829,C829,'Regressão Grupo 2'!$B$7)&gt;100%,100%,_xlfn.NORM.INV(R829,C829,'Regressão Grupo 2'!$B$7)))</f>
        <v>0.49419864738651309</v>
      </c>
      <c r="F829" s="39">
        <f>IF(_xlfn.NORM.INV(S829,D829,'Regressão Grupo 2'!$B$7)&lt;=0,0,IF(_xlfn.NORM.INV(S829,D829,'Regressão Grupo 2'!$B$7)&gt;100%,100%,_xlfn.NORM.INV(S829,D829,'Regressão Grupo 2'!$B$7)))</f>
        <v>1</v>
      </c>
      <c r="G829" s="41">
        <v>2.8101731672878105E-2</v>
      </c>
      <c r="H829" s="41">
        <v>2.5566441204192027E-2</v>
      </c>
      <c r="I829" s="40">
        <f t="shared" si="122"/>
        <v>277.63624537771159</v>
      </c>
      <c r="J829" s="40">
        <f t="shared" si="122"/>
        <v>0</v>
      </c>
      <c r="K829" s="36">
        <v>0.26622674420836229</v>
      </c>
      <c r="L829" s="42">
        <f t="shared" si="129"/>
        <v>19991.322604477216</v>
      </c>
      <c r="M829" s="42">
        <f t="shared" si="129"/>
        <v>0</v>
      </c>
      <c r="N829" s="42">
        <f t="shared" si="123"/>
        <v>5322.2247294090066</v>
      </c>
      <c r="O829" s="36">
        <v>8.0176664414207472</v>
      </c>
      <c r="P829" s="42">
        <f t="shared" si="124"/>
        <v>10284.26679337775</v>
      </c>
      <c r="Q829" s="42"/>
      <c r="R829">
        <v>0.50376903592028566</v>
      </c>
      <c r="S829">
        <v>0.96572771385845513</v>
      </c>
    </row>
    <row r="830" spans="1:19" x14ac:dyDescent="0.25">
      <c r="A830" s="40">
        <f t="shared" si="125"/>
        <v>64.229676878151835</v>
      </c>
      <c r="B830" s="40">
        <f t="shared" si="125"/>
        <v>32.933286051621081</v>
      </c>
      <c r="C830" s="41">
        <f t="shared" si="120"/>
        <v>0.49289226185293716</v>
      </c>
      <c r="D830" s="41">
        <f t="shared" si="121"/>
        <v>0.98069361229543572</v>
      </c>
      <c r="E830" s="39">
        <f>IF(_xlfn.NORM.INV(R830,C830,'Regressão Grupo 2'!$B$7)&lt;=0,0,IF(_xlfn.NORM.INV(R830,C830,'Regressão Grupo 2'!$B$7)&gt;100%,100%,_xlfn.NORM.INV(R830,C830,'Regressão Grupo 2'!$B$7)))</f>
        <v>0.51823519158777842</v>
      </c>
      <c r="F830" s="39">
        <f>IF(_xlfn.NORM.INV(S830,D830,'Regressão Grupo 2'!$B$7)&lt;=0,0,IF(_xlfn.NORM.INV(S830,D830,'Regressão Grupo 2'!$B$7)&gt;100%,100%,_xlfn.NORM.INV(S830,D830,'Regressão Grupo 2'!$B$7)))</f>
        <v>1</v>
      </c>
      <c r="G830" s="41">
        <v>1.8927125676355638E-2</v>
      </c>
      <c r="H830" s="41">
        <v>1.8089998913855068E-2</v>
      </c>
      <c r="I830" s="40">
        <f t="shared" si="122"/>
        <v>196.08893802980745</v>
      </c>
      <c r="J830" s="40">
        <f t="shared" si="122"/>
        <v>0</v>
      </c>
      <c r="K830" s="36">
        <v>0.21159321594537789</v>
      </c>
      <c r="L830" s="42">
        <f t="shared" si="129"/>
        <v>19991.322604477216</v>
      </c>
      <c r="M830" s="42">
        <f t="shared" si="129"/>
        <v>0</v>
      </c>
      <c r="N830" s="42">
        <f t="shared" si="123"/>
        <v>4230.0282408828616</v>
      </c>
      <c r="O830" s="36">
        <v>5.3610572047583949</v>
      </c>
      <c r="P830" s="42">
        <f t="shared" si="124"/>
        <v>7313.4568741534886</v>
      </c>
      <c r="Q830" s="42"/>
      <c r="R830">
        <v>0.57271034882656335</v>
      </c>
      <c r="S830">
        <v>0.97006134220404672</v>
      </c>
    </row>
    <row r="831" spans="1:19" x14ac:dyDescent="0.25">
      <c r="A831" s="40">
        <f t="shared" si="125"/>
        <v>64.229676878151835</v>
      </c>
      <c r="B831" s="40">
        <f t="shared" si="125"/>
        <v>32.933286051621081</v>
      </c>
      <c r="C831" s="41">
        <f t="shared" si="120"/>
        <v>0.49289226185293716</v>
      </c>
      <c r="D831" s="41">
        <f t="shared" si="121"/>
        <v>0.98069361229543572</v>
      </c>
      <c r="E831" s="39">
        <f>IF(_xlfn.NORM.INV(R831,C831,'Regressão Grupo 2'!$B$7)&lt;=0,0,IF(_xlfn.NORM.INV(R831,C831,'Regressão Grupo 2'!$B$7)&gt;100%,100%,_xlfn.NORM.INV(R831,C831,'Regressão Grupo 2'!$B$7)))</f>
        <v>0.23814801132562052</v>
      </c>
      <c r="F831" s="39">
        <f>IF(_xlfn.NORM.INV(S831,D831,'Regressão Grupo 2'!$B$7)&lt;=0,0,IF(_xlfn.NORM.INV(S831,D831,'Regressão Grupo 2'!$B$7)&gt;100%,100%,_xlfn.NORM.INV(S831,D831,'Regressão Grupo 2'!$B$7)))</f>
        <v>1</v>
      </c>
      <c r="G831" s="41">
        <v>1.7238378300189396E-2</v>
      </c>
      <c r="H831" s="41">
        <v>1.0765497060162251E-2</v>
      </c>
      <c r="I831" s="40">
        <f t="shared" si="122"/>
        <v>82.07008702726668</v>
      </c>
      <c r="J831" s="40">
        <f t="shared" si="122"/>
        <v>0</v>
      </c>
      <c r="K831" s="36">
        <v>0.4128813744226566</v>
      </c>
      <c r="L831" s="42">
        <f t="shared" si="129"/>
        <v>19991.322604477216</v>
      </c>
      <c r="M831" s="42">
        <f t="shared" si="129"/>
        <v>0</v>
      </c>
      <c r="N831" s="42">
        <f t="shared" si="123"/>
        <v>8254.0447534632767</v>
      </c>
      <c r="O831" s="36">
        <v>8.7146437512400095</v>
      </c>
      <c r="P831" s="42">
        <f t="shared" si="124"/>
        <v>-3697.9211534160304</v>
      </c>
      <c r="Q831" s="42"/>
      <c r="R831">
        <v>3.271584215826899E-2</v>
      </c>
      <c r="S831">
        <v>0.85168004394665364</v>
      </c>
    </row>
    <row r="832" spans="1:19" x14ac:dyDescent="0.25">
      <c r="A832" s="40">
        <f t="shared" si="125"/>
        <v>64.229676878151835</v>
      </c>
      <c r="B832" s="40">
        <f t="shared" si="125"/>
        <v>32.933286051621081</v>
      </c>
      <c r="C832" s="41">
        <f t="shared" si="120"/>
        <v>0.49289226185293716</v>
      </c>
      <c r="D832" s="41">
        <f t="shared" si="121"/>
        <v>0.98069361229543572</v>
      </c>
      <c r="E832" s="39">
        <f>IF(_xlfn.NORM.INV(R832,C832,'Regressão Grupo 2'!$B$7)&lt;=0,0,IF(_xlfn.NORM.INV(R832,C832,'Regressão Grupo 2'!$B$7)&gt;100%,100%,_xlfn.NORM.INV(R832,C832,'Regressão Grupo 2'!$B$7)))</f>
        <v>0.51407234055560325</v>
      </c>
      <c r="F832" s="39">
        <f>IF(_xlfn.NORM.INV(S832,D832,'Regressão Grupo 2'!$B$7)&lt;=0,0,IF(_xlfn.NORM.INV(S832,D832,'Regressão Grupo 2'!$B$7)&gt;100%,100%,_xlfn.NORM.INV(S832,D832,'Regressão Grupo 2'!$B$7)))</f>
        <v>1</v>
      </c>
      <c r="G832" s="41">
        <v>1.6960668335917691E-2</v>
      </c>
      <c r="H832" s="41">
        <v>2.1592804972508033E-2</v>
      </c>
      <c r="I832" s="40">
        <f t="shared" si="122"/>
        <v>174.30455107424496</v>
      </c>
      <c r="J832" s="40">
        <f t="shared" si="122"/>
        <v>0</v>
      </c>
      <c r="K832" s="36">
        <v>0.29796863342137203</v>
      </c>
      <c r="L832" s="42">
        <f t="shared" si="129"/>
        <v>19991.322604477216</v>
      </c>
      <c r="M832" s="42">
        <f t="shared" si="129"/>
        <v>0</v>
      </c>
      <c r="N832" s="42">
        <f t="shared" si="123"/>
        <v>5956.7870767418599</v>
      </c>
      <c r="O832" s="36">
        <v>5.8600989390592577</v>
      </c>
      <c r="P832" s="42">
        <f t="shared" si="124"/>
        <v>4217.2960023248243</v>
      </c>
      <c r="Q832" s="42"/>
      <c r="R832">
        <v>0.56086916714987645</v>
      </c>
      <c r="S832">
        <v>0.87411114841151161</v>
      </c>
    </row>
    <row r="833" spans="1:19" x14ac:dyDescent="0.25">
      <c r="A833" s="40">
        <f t="shared" si="125"/>
        <v>64.229676878151835</v>
      </c>
      <c r="B833" s="40">
        <f t="shared" si="125"/>
        <v>32.933286051621081</v>
      </c>
      <c r="C833" s="41">
        <f t="shared" si="120"/>
        <v>0.49289226185293716</v>
      </c>
      <c r="D833" s="41">
        <f t="shared" si="121"/>
        <v>0.98069361229543572</v>
      </c>
      <c r="E833" s="39">
        <f>IF(_xlfn.NORM.INV(R833,C833,'Regressão Grupo 2'!$B$7)&lt;=0,0,IF(_xlfn.NORM.INV(R833,C833,'Regressão Grupo 2'!$B$7)&gt;100%,100%,_xlfn.NORM.INV(R833,C833,'Regressão Grupo 2'!$B$7)))</f>
        <v>0.41832013224629927</v>
      </c>
      <c r="F833" s="39">
        <f>IF(_xlfn.NORM.INV(S833,D833,'Regressão Grupo 2'!$B$7)&lt;=0,0,IF(_xlfn.NORM.INV(S833,D833,'Regressão Grupo 2'!$B$7)&gt;100%,100%,_xlfn.NORM.INV(S833,D833,'Regressão Grupo 2'!$B$7)))</f>
        <v>0.94638457559426203</v>
      </c>
      <c r="G833" s="41">
        <v>1.5237858300694393E-2</v>
      </c>
      <c r="H833" s="41">
        <v>1.8209983614139631E-2</v>
      </c>
      <c r="I833" s="40">
        <f t="shared" si="122"/>
        <v>127.43074564249599</v>
      </c>
      <c r="J833" s="40">
        <f t="shared" si="122"/>
        <v>0</v>
      </c>
      <c r="K833" s="36">
        <v>0.14807143165330872</v>
      </c>
      <c r="L833" s="42">
        <f t="shared" si="129"/>
        <v>19991.322604477216</v>
      </c>
      <c r="M833" s="42">
        <f t="shared" si="129"/>
        <v>0</v>
      </c>
      <c r="N833" s="42">
        <f t="shared" si="123"/>
        <v>2960.1437586880938</v>
      </c>
      <c r="O833" s="36">
        <v>5.6024027924944759</v>
      </c>
      <c r="P833" s="42">
        <f t="shared" si="124"/>
        <v>4510.7734930342058</v>
      </c>
      <c r="Q833" s="42"/>
      <c r="R833">
        <v>0.29483932004760888</v>
      </c>
      <c r="S833">
        <v>0.40202032532731102</v>
      </c>
    </row>
    <row r="834" spans="1:19" x14ac:dyDescent="0.25">
      <c r="A834" s="40">
        <f t="shared" si="125"/>
        <v>64.229676878151835</v>
      </c>
      <c r="B834" s="40">
        <f t="shared" si="125"/>
        <v>32.933286051621081</v>
      </c>
      <c r="C834" s="41">
        <f t="shared" si="120"/>
        <v>0.49289226185293716</v>
      </c>
      <c r="D834" s="41">
        <f t="shared" si="121"/>
        <v>0.98069361229543572</v>
      </c>
      <c r="E834" s="39">
        <f>IF(_xlfn.NORM.INV(R834,C834,'Regressão Grupo 2'!$B$7)&lt;=0,0,IF(_xlfn.NORM.INV(R834,C834,'Regressão Grupo 2'!$B$7)&gt;100%,100%,_xlfn.NORM.INV(R834,C834,'Regressão Grupo 2'!$B$7)))</f>
        <v>0.33063050415251694</v>
      </c>
      <c r="F834" s="39">
        <f>IF(_xlfn.NORM.INV(S834,D834,'Regressão Grupo 2'!$B$7)&lt;=0,0,IF(_xlfn.NORM.INV(S834,D834,'Regressão Grupo 2'!$B$7)&gt;100%,100%,_xlfn.NORM.INV(S834,D834,'Regressão Grupo 2'!$B$7)))</f>
        <v>1</v>
      </c>
      <c r="G834" s="41">
        <v>9.2422489734968871E-3</v>
      </c>
      <c r="H834" s="41">
        <v>2.8658386716564612E-3</v>
      </c>
      <c r="I834" s="40">
        <f t="shared" si="122"/>
        <v>61.088872632170578</v>
      </c>
      <c r="J834" s="40">
        <f t="shared" si="122"/>
        <v>0</v>
      </c>
      <c r="K834" s="36">
        <v>0.27087900280118571</v>
      </c>
      <c r="L834" s="42">
        <f t="shared" si="129"/>
        <v>19991.322604477216</v>
      </c>
      <c r="M834" s="42">
        <f t="shared" si="129"/>
        <v>0</v>
      </c>
      <c r="N834" s="42">
        <f t="shared" si="123"/>
        <v>5415.2295317775906</v>
      </c>
      <c r="O834" s="36">
        <v>4.6444004313851579</v>
      </c>
      <c r="P834" s="42">
        <f t="shared" si="124"/>
        <v>-1775.2321681683879</v>
      </c>
      <c r="Q834" s="42"/>
      <c r="R834">
        <v>0.12030396435438093</v>
      </c>
      <c r="S834">
        <v>0.90215765861995301</v>
      </c>
    </row>
    <row r="835" spans="1:19" x14ac:dyDescent="0.25">
      <c r="A835" s="40">
        <f t="shared" si="125"/>
        <v>64.229676878151835</v>
      </c>
      <c r="B835" s="40">
        <f t="shared" si="125"/>
        <v>32.933286051621081</v>
      </c>
      <c r="C835" s="41">
        <f t="shared" si="120"/>
        <v>0.49289226185293716</v>
      </c>
      <c r="D835" s="41">
        <f t="shared" si="121"/>
        <v>0.98069361229543572</v>
      </c>
      <c r="E835" s="39">
        <f>IF(_xlfn.NORM.INV(R835,C835,'Regressão Grupo 2'!$B$7)&lt;=0,0,IF(_xlfn.NORM.INV(R835,C835,'Regressão Grupo 2'!$B$7)&gt;100%,100%,_xlfn.NORM.INV(R835,C835,'Regressão Grupo 2'!$B$7)))</f>
        <v>0.29664565341560328</v>
      </c>
      <c r="F835" s="39">
        <f>IF(_xlfn.NORM.INV(S835,D835,'Regressão Grupo 2'!$B$7)&lt;=0,0,IF(_xlfn.NORM.INV(S835,D835,'Regressão Grupo 2'!$B$7)&gt;100%,100%,_xlfn.NORM.INV(S835,D835,'Regressão Grupo 2'!$B$7)))</f>
        <v>0.97796963635882928</v>
      </c>
      <c r="G835" s="41">
        <v>1.5679705792289521E-2</v>
      </c>
      <c r="H835" s="41">
        <v>1.2199904657991922E-2</v>
      </c>
      <c r="I835" s="40">
        <f t="shared" si="122"/>
        <v>92.985970088782295</v>
      </c>
      <c r="J835" s="40">
        <f t="shared" si="122"/>
        <v>0</v>
      </c>
      <c r="K835" s="36">
        <v>0.29113995147164806</v>
      </c>
      <c r="L835" s="42">
        <f t="shared" si="129"/>
        <v>19991.322604477216</v>
      </c>
      <c r="M835" s="42">
        <f t="shared" si="129"/>
        <v>0</v>
      </c>
      <c r="N835" s="42">
        <f t="shared" si="123"/>
        <v>5820.2726929215578</v>
      </c>
      <c r="O835" s="36">
        <v>4.1609352459347573</v>
      </c>
      <c r="P835" s="42">
        <f t="shared" si="124"/>
        <v>-234.7224802374285</v>
      </c>
      <c r="Q835" s="42"/>
      <c r="R835">
        <v>7.7913754692220838E-2</v>
      </c>
      <c r="S835">
        <v>0.49214148380993072</v>
      </c>
    </row>
    <row r="836" spans="1:19" x14ac:dyDescent="0.25">
      <c r="A836" s="40">
        <f t="shared" si="125"/>
        <v>64.229676878151835</v>
      </c>
      <c r="B836" s="40">
        <f t="shared" si="125"/>
        <v>32.933286051621081</v>
      </c>
      <c r="C836" s="41">
        <f t="shared" si="120"/>
        <v>0.49289226185293716</v>
      </c>
      <c r="D836" s="41">
        <f t="shared" si="121"/>
        <v>0.98069361229543572</v>
      </c>
      <c r="E836" s="39">
        <f>IF(_xlfn.NORM.INV(R836,C836,'Regressão Grupo 2'!$B$7)&lt;=0,0,IF(_xlfn.NORM.INV(R836,C836,'Regressão Grupo 2'!$B$7)&gt;100%,100%,_xlfn.NORM.INV(R836,C836,'Regressão Grupo 2'!$B$7)))</f>
        <v>0.46091288597917274</v>
      </c>
      <c r="F836" s="39">
        <f>IF(_xlfn.NORM.INV(S836,D836,'Regressão Grupo 2'!$B$7)&lt;=0,0,IF(_xlfn.NORM.INV(S836,D836,'Regressão Grupo 2'!$B$7)&gt;100%,100%,_xlfn.NORM.INV(S836,D836,'Regressão Grupo 2'!$B$7)))</f>
        <v>1</v>
      </c>
      <c r="G836" s="41">
        <v>2.8377858593499634E-3</v>
      </c>
      <c r="H836" s="41">
        <v>2.0170513677950308E-2</v>
      </c>
      <c r="I836" s="40">
        <f t="shared" si="122"/>
        <v>26.148091613491484</v>
      </c>
      <c r="J836" s="40">
        <f t="shared" si="122"/>
        <v>0</v>
      </c>
      <c r="K836" s="36">
        <v>0.27670120597388959</v>
      </c>
      <c r="L836" s="42">
        <f t="shared" si="129"/>
        <v>19991.322604477216</v>
      </c>
      <c r="M836" s="42">
        <f t="shared" si="129"/>
        <v>0</v>
      </c>
      <c r="N836" s="42">
        <f t="shared" si="123"/>
        <v>5531.6230736719253</v>
      </c>
      <c r="O836" s="36">
        <v>4.9243731707383578</v>
      </c>
      <c r="P836" s="42">
        <f t="shared" si="124"/>
        <v>-3980.9025591645413</v>
      </c>
      <c r="Q836" s="42"/>
      <c r="R836">
        <v>0.4085512863551744</v>
      </c>
      <c r="S836">
        <v>0.73052156132694479</v>
      </c>
    </row>
    <row r="837" spans="1:19" x14ac:dyDescent="0.25">
      <c r="A837" s="40">
        <f t="shared" si="125"/>
        <v>64.229676878151835</v>
      </c>
      <c r="B837" s="40">
        <f t="shared" si="125"/>
        <v>32.933286051621081</v>
      </c>
      <c r="C837" s="41">
        <f t="shared" si="120"/>
        <v>0.49289226185293716</v>
      </c>
      <c r="D837" s="41">
        <f t="shared" si="121"/>
        <v>0.98069361229543572</v>
      </c>
      <c r="E837" s="39">
        <f>IF(_xlfn.NORM.INV(R837,C837,'Regressão Grupo 2'!$B$7)&lt;=0,0,IF(_xlfn.NORM.INV(R837,C837,'Regressão Grupo 2'!$B$7)&gt;100%,100%,_xlfn.NORM.INV(R837,C837,'Regressão Grupo 2'!$B$7)))</f>
        <v>0.46004308222482238</v>
      </c>
      <c r="F837" s="39">
        <f>IF(_xlfn.NORM.INV(S837,D837,'Regressão Grupo 2'!$B$7)&lt;=0,0,IF(_xlfn.NORM.INV(S837,D837,'Regressão Grupo 2'!$B$7)&gt;100%,100%,_xlfn.NORM.INV(S837,D837,'Regressão Grupo 2'!$B$7)))</f>
        <v>0.9421132447059698</v>
      </c>
      <c r="G837" s="41">
        <v>1.075130450295776E-2</v>
      </c>
      <c r="H837" s="41">
        <v>8.0813983947865594E-3</v>
      </c>
      <c r="I837" s="40">
        <f t="shared" si="122"/>
        <v>98.878346282365442</v>
      </c>
      <c r="J837" s="40">
        <f t="shared" si="122"/>
        <v>0</v>
      </c>
      <c r="K837" s="36">
        <v>0.34328230092789896</v>
      </c>
      <c r="L837" s="42">
        <f t="shared" si="129"/>
        <v>19991.322604477216</v>
      </c>
      <c r="M837" s="42">
        <f t="shared" si="129"/>
        <v>0</v>
      </c>
      <c r="N837" s="42">
        <f t="shared" si="123"/>
        <v>6862.6672222568568</v>
      </c>
      <c r="O837" s="36">
        <v>6.7923007740942118</v>
      </c>
      <c r="P837" s="42">
        <f t="shared" si="124"/>
        <v>-1183.3544582893846</v>
      </c>
      <c r="Q837" s="42"/>
      <c r="R837">
        <v>0.40610980559709464</v>
      </c>
      <c r="S837">
        <v>0.39011810663167212</v>
      </c>
    </row>
    <row r="838" spans="1:19" x14ac:dyDescent="0.25">
      <c r="A838" s="40">
        <f t="shared" si="125"/>
        <v>64.229676878151835</v>
      </c>
      <c r="B838" s="40">
        <f t="shared" si="125"/>
        <v>32.933286051621081</v>
      </c>
      <c r="C838" s="41">
        <f t="shared" ref="C838:C901" si="130">-0.007*A838 + 0.9425</f>
        <v>0.49289226185293716</v>
      </c>
      <c r="D838" s="41">
        <f t="shared" ref="D838:D901" si="131">-0.0059*B838+1.175</f>
        <v>0.98069361229543572</v>
      </c>
      <c r="E838" s="39">
        <f>IF(_xlfn.NORM.INV(R838,C838,'Regressão Grupo 2'!$B$7)&lt;=0,0,IF(_xlfn.NORM.INV(R838,C838,'Regressão Grupo 2'!$B$7)&gt;100%,100%,_xlfn.NORM.INV(R838,C838,'Regressão Grupo 2'!$B$7)))</f>
        <v>0.31607653439784056</v>
      </c>
      <c r="F838" s="39">
        <f>IF(_xlfn.NORM.INV(S838,D838,'Regressão Grupo 2'!$B$7)&lt;=0,0,IF(_xlfn.NORM.INV(S838,D838,'Regressão Grupo 2'!$B$7)&gt;100%,100%,_xlfn.NORM.INV(S838,D838,'Regressão Grupo 2'!$B$7)))</f>
        <v>0.94477867336465626</v>
      </c>
      <c r="G838" s="41">
        <v>1.5750054223103507E-2</v>
      </c>
      <c r="H838" s="41">
        <v>2.0147973769572489E-2</v>
      </c>
      <c r="I838" s="40">
        <f t="shared" ref="I838:J901" si="132">IF(E838*G838*L838&gt;0,E838*G838*L838,0)</f>
        <v>99.521253102218793</v>
      </c>
      <c r="J838" s="40">
        <f t="shared" si="132"/>
        <v>0</v>
      </c>
      <c r="K838" s="36">
        <v>0.15995588747310802</v>
      </c>
      <c r="L838" s="42">
        <f t="shared" si="129"/>
        <v>19991.322604477216</v>
      </c>
      <c r="M838" s="42">
        <f t="shared" si="129"/>
        <v>0</v>
      </c>
      <c r="N838" s="42">
        <f t="shared" ref="N838:N901" si="133">(L838+M838)*K838</f>
        <v>3197.7297489603584</v>
      </c>
      <c r="O838" s="36">
        <v>5.0077425427398685</v>
      </c>
      <c r="P838" s="42">
        <f t="shared" ref="P838:P901" si="134">SUMPRODUCT(A838:B838,I838:J838)-SUM(I838:J838)*O838-N838</f>
        <v>2696.1113672371571</v>
      </c>
      <c r="Q838" s="42"/>
      <c r="R838">
        <v>0.10049745170445876</v>
      </c>
      <c r="S838">
        <v>0.39753410443433945</v>
      </c>
    </row>
    <row r="839" spans="1:19" x14ac:dyDescent="0.25">
      <c r="A839" s="40">
        <f t="shared" ref="A839:B902" si="135">A838</f>
        <v>64.229676878151835</v>
      </c>
      <c r="B839" s="40">
        <f t="shared" si="135"/>
        <v>32.933286051621081</v>
      </c>
      <c r="C839" s="41">
        <f t="shared" si="130"/>
        <v>0.49289226185293716</v>
      </c>
      <c r="D839" s="41">
        <f t="shared" si="131"/>
        <v>0.98069361229543572</v>
      </c>
      <c r="E839" s="39">
        <f>IF(_xlfn.NORM.INV(R839,C839,'Regressão Grupo 2'!$B$7)&lt;=0,0,IF(_xlfn.NORM.INV(R839,C839,'Regressão Grupo 2'!$B$7)&gt;100%,100%,_xlfn.NORM.INV(R839,C839,'Regressão Grupo 2'!$B$7)))</f>
        <v>0.484355795892077</v>
      </c>
      <c r="F839" s="39">
        <f>IF(_xlfn.NORM.INV(S839,D839,'Regressão Grupo 2'!$B$7)&lt;=0,0,IF(_xlfn.NORM.INV(S839,D839,'Regressão Grupo 2'!$B$7)&gt;100%,100%,_xlfn.NORM.INV(S839,D839,'Regressão Grupo 2'!$B$7)))</f>
        <v>0.7812678137253275</v>
      </c>
      <c r="G839" s="41">
        <v>8.0497262588302993E-3</v>
      </c>
      <c r="H839" s="41">
        <v>1.8263071265088228E-2</v>
      </c>
      <c r="I839" s="40">
        <f t="shared" si="132"/>
        <v>77.944798804843202</v>
      </c>
      <c r="J839" s="40">
        <f t="shared" si="132"/>
        <v>0</v>
      </c>
      <c r="K839" s="36">
        <v>0.16980902233016765</v>
      </c>
      <c r="L839" s="42">
        <f t="shared" ref="L839:M854" si="136">L838</f>
        <v>19991.322604477216</v>
      </c>
      <c r="M839" s="42">
        <f t="shared" si="136"/>
        <v>0</v>
      </c>
      <c r="N839" s="42">
        <f t="shared" si="133"/>
        <v>3394.7069465532568</v>
      </c>
      <c r="O839" s="36">
        <v>4.9538932890810727</v>
      </c>
      <c r="P839" s="42">
        <f t="shared" si="134"/>
        <v>1225.5320792962902</v>
      </c>
      <c r="Q839" s="42"/>
      <c r="R839">
        <v>0.47538682210760824</v>
      </c>
      <c r="S839">
        <v>7.4617755668813138E-2</v>
      </c>
    </row>
    <row r="840" spans="1:19" x14ac:dyDescent="0.25">
      <c r="A840" s="40">
        <f t="shared" si="135"/>
        <v>64.229676878151835</v>
      </c>
      <c r="B840" s="40">
        <f t="shared" si="135"/>
        <v>32.933286051621081</v>
      </c>
      <c r="C840" s="41">
        <f t="shared" si="130"/>
        <v>0.49289226185293716</v>
      </c>
      <c r="D840" s="41">
        <f t="shared" si="131"/>
        <v>0.98069361229543572</v>
      </c>
      <c r="E840" s="39">
        <f>IF(_xlfn.NORM.INV(R840,C840,'Regressão Grupo 2'!$B$7)&lt;=0,0,IF(_xlfn.NORM.INV(R840,C840,'Regressão Grupo 2'!$B$7)&gt;100%,100%,_xlfn.NORM.INV(R840,C840,'Regressão Grupo 2'!$B$7)))</f>
        <v>0.27719337725860704</v>
      </c>
      <c r="F840" s="39">
        <f>IF(_xlfn.NORM.INV(S840,D840,'Regressão Grupo 2'!$B$7)&lt;=0,0,IF(_xlfn.NORM.INV(S840,D840,'Regressão Grupo 2'!$B$7)&gt;100%,100%,_xlfn.NORM.INV(S840,D840,'Regressão Grupo 2'!$B$7)))</f>
        <v>0.95116472936036478</v>
      </c>
      <c r="G840" s="41">
        <v>2.1454606597831369E-2</v>
      </c>
      <c r="H840" s="41">
        <v>1.0452625895674694E-2</v>
      </c>
      <c r="I840" s="40">
        <f t="shared" si="132"/>
        <v>118.88989209138431</v>
      </c>
      <c r="J840" s="40">
        <f t="shared" si="132"/>
        <v>0</v>
      </c>
      <c r="K840" s="36">
        <v>0.33871170794319244</v>
      </c>
      <c r="L840" s="42">
        <f t="shared" si="136"/>
        <v>19991.322604477216</v>
      </c>
      <c r="M840" s="42">
        <f t="shared" si="136"/>
        <v>0</v>
      </c>
      <c r="N840" s="42">
        <f t="shared" si="133"/>
        <v>6771.295023405828</v>
      </c>
      <c r="O840" s="36">
        <v>8.0676076329268813</v>
      </c>
      <c r="P840" s="42">
        <f t="shared" si="134"/>
        <v>-94.192671212179448</v>
      </c>
      <c r="Q840" s="42"/>
      <c r="R840">
        <v>5.9389019440290534E-2</v>
      </c>
      <c r="S840">
        <v>0.41544846949674979</v>
      </c>
    </row>
    <row r="841" spans="1:19" x14ac:dyDescent="0.25">
      <c r="A841" s="40">
        <f t="shared" si="135"/>
        <v>64.229676878151835</v>
      </c>
      <c r="B841" s="40">
        <f t="shared" si="135"/>
        <v>32.933286051621081</v>
      </c>
      <c r="C841" s="41">
        <f t="shared" si="130"/>
        <v>0.49289226185293716</v>
      </c>
      <c r="D841" s="41">
        <f t="shared" si="131"/>
        <v>0.98069361229543572</v>
      </c>
      <c r="E841" s="39">
        <f>IF(_xlfn.NORM.INV(R841,C841,'Regressão Grupo 2'!$B$7)&lt;=0,0,IF(_xlfn.NORM.INV(R841,C841,'Regressão Grupo 2'!$B$7)&gt;100%,100%,_xlfn.NORM.INV(R841,C841,'Regressão Grupo 2'!$B$7)))</f>
        <v>0.7114952481659178</v>
      </c>
      <c r="F841" s="39">
        <f>IF(_xlfn.NORM.INV(S841,D841,'Regressão Grupo 2'!$B$7)&lt;=0,0,IF(_xlfn.NORM.INV(S841,D841,'Regressão Grupo 2'!$B$7)&gt;100%,100%,_xlfn.NORM.INV(S841,D841,'Regressão Grupo 2'!$B$7)))</f>
        <v>0.97805427518070165</v>
      </c>
      <c r="G841" s="41">
        <v>2.5280252751514722E-2</v>
      </c>
      <c r="H841" s="41">
        <v>2.2440551096475955E-2</v>
      </c>
      <c r="I841" s="40">
        <f t="shared" si="132"/>
        <v>359.57951570103921</v>
      </c>
      <c r="J841" s="40">
        <f t="shared" si="132"/>
        <v>0</v>
      </c>
      <c r="K841" s="36">
        <v>0.26507127436203681</v>
      </c>
      <c r="L841" s="42">
        <f t="shared" si="136"/>
        <v>19991.322604477216</v>
      </c>
      <c r="M841" s="42">
        <f t="shared" si="136"/>
        <v>0</v>
      </c>
      <c r="N841" s="42">
        <f t="shared" si="133"/>
        <v>5299.125358951369</v>
      </c>
      <c r="O841" s="36">
        <v>7.8385009977724467</v>
      </c>
      <c r="P841" s="42">
        <f t="shared" si="134"/>
        <v>14977.986353927576</v>
      </c>
      <c r="Q841" s="42"/>
      <c r="R841">
        <v>0.94305246131778919</v>
      </c>
      <c r="S841">
        <v>0.49238563188573869</v>
      </c>
    </row>
    <row r="842" spans="1:19" x14ac:dyDescent="0.25">
      <c r="A842" s="40">
        <f t="shared" si="135"/>
        <v>64.229676878151835</v>
      </c>
      <c r="B842" s="40">
        <f t="shared" si="135"/>
        <v>32.933286051621081</v>
      </c>
      <c r="C842" s="41">
        <f t="shared" si="130"/>
        <v>0.49289226185293716</v>
      </c>
      <c r="D842" s="41">
        <f t="shared" si="131"/>
        <v>0.98069361229543572</v>
      </c>
      <c r="E842" s="39">
        <f>IF(_xlfn.NORM.INV(R842,C842,'Regressão Grupo 2'!$B$7)&lt;=0,0,IF(_xlfn.NORM.INV(R842,C842,'Regressão Grupo 2'!$B$7)&gt;100%,100%,_xlfn.NORM.INV(R842,C842,'Regressão Grupo 2'!$B$7)))</f>
        <v>0.37128720752373323</v>
      </c>
      <c r="F842" s="39">
        <f>IF(_xlfn.NORM.INV(S842,D842,'Regressão Grupo 2'!$B$7)&lt;=0,0,IF(_xlfn.NORM.INV(S842,D842,'Regressão Grupo 2'!$B$7)&gt;100%,100%,_xlfn.NORM.INV(S842,D842,'Regressão Grupo 2'!$B$7)))</f>
        <v>0.92263608532374564</v>
      </c>
      <c r="G842" s="41">
        <v>1.0442413110277928E-2</v>
      </c>
      <c r="H842" s="41">
        <v>1.3764903488042542E-2</v>
      </c>
      <c r="I842" s="40">
        <f t="shared" si="132"/>
        <v>77.509044641771908</v>
      </c>
      <c r="J842" s="40">
        <f t="shared" si="132"/>
        <v>0</v>
      </c>
      <c r="K842" s="36">
        <v>0.28785412725362386</v>
      </c>
      <c r="L842" s="42">
        <f t="shared" si="136"/>
        <v>19991.322604477216</v>
      </c>
      <c r="M842" s="42">
        <f t="shared" si="136"/>
        <v>0</v>
      </c>
      <c r="N842" s="42">
        <f t="shared" si="133"/>
        <v>5754.5847209574322</v>
      </c>
      <c r="O842" s="36">
        <v>6.4934980158685889</v>
      </c>
      <c r="P842" s="42">
        <f t="shared" si="134"/>
        <v>-1279.5086560753925</v>
      </c>
      <c r="Q842" s="42"/>
      <c r="R842">
        <v>0.18958098086489455</v>
      </c>
      <c r="S842">
        <v>0.33729056672872099</v>
      </c>
    </row>
    <row r="843" spans="1:19" x14ac:dyDescent="0.25">
      <c r="A843" s="40">
        <f t="shared" si="135"/>
        <v>64.229676878151835</v>
      </c>
      <c r="B843" s="40">
        <f t="shared" si="135"/>
        <v>32.933286051621081</v>
      </c>
      <c r="C843" s="41">
        <f t="shared" si="130"/>
        <v>0.49289226185293716</v>
      </c>
      <c r="D843" s="41">
        <f t="shared" si="131"/>
        <v>0.98069361229543572</v>
      </c>
      <c r="E843" s="39">
        <f>IF(_xlfn.NORM.INV(R843,C843,'Regressão Grupo 2'!$B$7)&lt;=0,0,IF(_xlfn.NORM.INV(R843,C843,'Regressão Grupo 2'!$B$7)&gt;100%,100%,_xlfn.NORM.INV(R843,C843,'Regressão Grupo 2'!$B$7)))</f>
        <v>0.63705972265466715</v>
      </c>
      <c r="F843" s="39">
        <f>IF(_xlfn.NORM.INV(S843,D843,'Regressão Grupo 2'!$B$7)&lt;=0,0,IF(_xlfn.NORM.INV(S843,D843,'Regressão Grupo 2'!$B$7)&gt;100%,100%,_xlfn.NORM.INV(S843,D843,'Regressão Grupo 2'!$B$7)))</f>
        <v>1</v>
      </c>
      <c r="G843" s="41">
        <v>2.2521707238733247E-2</v>
      </c>
      <c r="H843" s="41">
        <v>2.1962906569801471E-2</v>
      </c>
      <c r="I843" s="40">
        <f t="shared" si="132"/>
        <v>286.82895091464309</v>
      </c>
      <c r="J843" s="40">
        <f t="shared" si="132"/>
        <v>0</v>
      </c>
      <c r="K843" s="36">
        <v>0.20214516979118458</v>
      </c>
      <c r="L843" s="42">
        <f t="shared" si="136"/>
        <v>19991.322604477216</v>
      </c>
      <c r="M843" s="42">
        <f t="shared" si="136"/>
        <v>0</v>
      </c>
      <c r="N843" s="42">
        <f t="shared" si="133"/>
        <v>4041.149302232393</v>
      </c>
      <c r="O843" s="36">
        <v>6.7999318826613386</v>
      </c>
      <c r="P843" s="42">
        <f t="shared" si="134"/>
        <v>12431.364206119622</v>
      </c>
      <c r="Q843" s="42"/>
      <c r="R843">
        <v>0.85143589587084567</v>
      </c>
      <c r="S843">
        <v>0.91143528550065611</v>
      </c>
    </row>
    <row r="844" spans="1:19" x14ac:dyDescent="0.25">
      <c r="A844" s="40">
        <f t="shared" si="135"/>
        <v>64.229676878151835</v>
      </c>
      <c r="B844" s="40">
        <f t="shared" si="135"/>
        <v>32.933286051621081</v>
      </c>
      <c r="C844" s="41">
        <f t="shared" si="130"/>
        <v>0.49289226185293716</v>
      </c>
      <c r="D844" s="41">
        <f t="shared" si="131"/>
        <v>0.98069361229543572</v>
      </c>
      <c r="E844" s="39">
        <f>IF(_xlfn.NORM.INV(R844,C844,'Regressão Grupo 2'!$B$7)&lt;=0,0,IF(_xlfn.NORM.INV(R844,C844,'Regressão Grupo 2'!$B$7)&gt;100%,100%,_xlfn.NORM.INV(R844,C844,'Regressão Grupo 2'!$B$7)))</f>
        <v>9.5222676374901505E-2</v>
      </c>
      <c r="F844" s="39">
        <f>IF(_xlfn.NORM.INV(S844,D844,'Regressão Grupo 2'!$B$7)&lt;=0,0,IF(_xlfn.NORM.INV(S844,D844,'Regressão Grupo 2'!$B$7)&gt;100%,100%,_xlfn.NORM.INV(S844,D844,'Regressão Grupo 2'!$B$7)))</f>
        <v>0.8569878639344789</v>
      </c>
      <c r="G844" s="41">
        <v>1.1407727185055576E-2</v>
      </c>
      <c r="H844" s="41">
        <v>2.3834177884808391E-2</v>
      </c>
      <c r="I844" s="40">
        <f t="shared" si="132"/>
        <v>21.716060246446176</v>
      </c>
      <c r="J844" s="40">
        <f t="shared" si="132"/>
        <v>0</v>
      </c>
      <c r="K844" s="36">
        <v>0.45908832461881915</v>
      </c>
      <c r="L844" s="42">
        <f t="shared" si="136"/>
        <v>19991.322604477216</v>
      </c>
      <c r="M844" s="42">
        <f t="shared" si="136"/>
        <v>0</v>
      </c>
      <c r="N844" s="42">
        <f t="shared" si="133"/>
        <v>9177.7828014037732</v>
      </c>
      <c r="O844" s="36">
        <v>4.1421108657852317</v>
      </c>
      <c r="P844" s="42">
        <f t="shared" si="134"/>
        <v>-7872.9175978169087</v>
      </c>
      <c r="Q844" s="42"/>
      <c r="R844">
        <v>2.0142216254158147E-3</v>
      </c>
      <c r="S844">
        <v>0.18549150059511094</v>
      </c>
    </row>
    <row r="845" spans="1:19" x14ac:dyDescent="0.25">
      <c r="A845" s="40">
        <f t="shared" si="135"/>
        <v>64.229676878151835</v>
      </c>
      <c r="B845" s="40">
        <f t="shared" si="135"/>
        <v>32.933286051621081</v>
      </c>
      <c r="C845" s="41">
        <f t="shared" si="130"/>
        <v>0.49289226185293716</v>
      </c>
      <c r="D845" s="41">
        <f t="shared" si="131"/>
        <v>0.98069361229543572</v>
      </c>
      <c r="E845" s="39">
        <f>IF(_xlfn.NORM.INV(R845,C845,'Regressão Grupo 2'!$B$7)&lt;=0,0,IF(_xlfn.NORM.INV(R845,C845,'Regressão Grupo 2'!$B$7)&gt;100%,100%,_xlfn.NORM.INV(R845,C845,'Regressão Grupo 2'!$B$7)))</f>
        <v>0.74885877581270022</v>
      </c>
      <c r="F845" s="39">
        <f>IF(_xlfn.NORM.INV(S845,D845,'Regressão Grupo 2'!$B$7)&lt;=0,0,IF(_xlfn.NORM.INV(S845,D845,'Regressão Grupo 2'!$B$7)&gt;100%,100%,_xlfn.NORM.INV(S845,D845,'Regressão Grupo 2'!$B$7)))</f>
        <v>0.71208004427617344</v>
      </c>
      <c r="G845" s="41">
        <v>1.9485652340253949E-2</v>
      </c>
      <c r="H845" s="41">
        <v>2.6018885502678891E-3</v>
      </c>
      <c r="I845" s="40">
        <f t="shared" si="132"/>
        <v>291.71341457797058</v>
      </c>
      <c r="J845" s="40">
        <f t="shared" si="132"/>
        <v>0</v>
      </c>
      <c r="K845" s="36">
        <v>0.4338368996557147</v>
      </c>
      <c r="L845" s="42">
        <f t="shared" si="136"/>
        <v>19991.322604477216</v>
      </c>
      <c r="M845" s="42">
        <f t="shared" si="136"/>
        <v>0</v>
      </c>
      <c r="N845" s="42">
        <f t="shared" si="133"/>
        <v>8672.9734187436025</v>
      </c>
      <c r="O845" s="36">
        <v>7.0544091653331646</v>
      </c>
      <c r="P845" s="42">
        <f t="shared" si="134"/>
        <v>8005.819155172323</v>
      </c>
      <c r="Q845" s="42"/>
      <c r="R845">
        <v>0.96792504654072697</v>
      </c>
      <c r="S845">
        <v>2.6032288583025604E-2</v>
      </c>
    </row>
    <row r="846" spans="1:19" x14ac:dyDescent="0.25">
      <c r="A846" s="40">
        <f t="shared" si="135"/>
        <v>64.229676878151835</v>
      </c>
      <c r="B846" s="40">
        <f t="shared" si="135"/>
        <v>32.933286051621081</v>
      </c>
      <c r="C846" s="41">
        <f t="shared" si="130"/>
        <v>0.49289226185293716</v>
      </c>
      <c r="D846" s="41">
        <f t="shared" si="131"/>
        <v>0.98069361229543572</v>
      </c>
      <c r="E846" s="39">
        <f>IF(_xlfn.NORM.INV(R846,C846,'Regressão Grupo 2'!$B$7)&lt;=0,0,IF(_xlfn.NORM.INV(R846,C846,'Regressão Grupo 2'!$B$7)&gt;100%,100%,_xlfn.NORM.INV(R846,C846,'Regressão Grupo 2'!$B$7)))</f>
        <v>0.69095115041439292</v>
      </c>
      <c r="F846" s="39">
        <f>IF(_xlfn.NORM.INV(S846,D846,'Regressão Grupo 2'!$B$7)&lt;=0,0,IF(_xlfn.NORM.INV(S846,D846,'Regressão Grupo 2'!$B$7)&gt;100%,100%,_xlfn.NORM.INV(S846,D846,'Regressão Grupo 2'!$B$7)))</f>
        <v>1</v>
      </c>
      <c r="G846" s="41">
        <v>1.9041376135325753E-2</v>
      </c>
      <c r="H846" s="41">
        <v>2.964909933716648E-2</v>
      </c>
      <c r="I846" s="40">
        <f t="shared" si="132"/>
        <v>263.01904937447625</v>
      </c>
      <c r="J846" s="40">
        <f t="shared" si="132"/>
        <v>0</v>
      </c>
      <c r="K846" s="36">
        <v>0.24271703354797525</v>
      </c>
      <c r="L846" s="42">
        <f t="shared" si="136"/>
        <v>19991.322604477216</v>
      </c>
      <c r="M846" s="42">
        <f t="shared" si="136"/>
        <v>0</v>
      </c>
      <c r="N846" s="42">
        <f t="shared" si="133"/>
        <v>4852.234519259292</v>
      </c>
      <c r="O846" s="36">
        <v>5.1039273891319938</v>
      </c>
      <c r="P846" s="42">
        <f t="shared" si="134"/>
        <v>10698.963904896133</v>
      </c>
      <c r="Q846" s="42"/>
      <c r="R846">
        <v>0.92397839289529105</v>
      </c>
      <c r="S846">
        <v>0.64751121555223246</v>
      </c>
    </row>
    <row r="847" spans="1:19" x14ac:dyDescent="0.25">
      <c r="A847" s="40">
        <f t="shared" si="135"/>
        <v>64.229676878151835</v>
      </c>
      <c r="B847" s="40">
        <f t="shared" si="135"/>
        <v>32.933286051621081</v>
      </c>
      <c r="C847" s="41">
        <f t="shared" si="130"/>
        <v>0.49289226185293716</v>
      </c>
      <c r="D847" s="41">
        <f t="shared" si="131"/>
        <v>0.98069361229543572</v>
      </c>
      <c r="E847" s="39">
        <f>IF(_xlfn.NORM.INV(R847,C847,'Regressão Grupo 2'!$B$7)&lt;=0,0,IF(_xlfn.NORM.INV(R847,C847,'Regressão Grupo 2'!$B$7)&gt;100%,100%,_xlfn.NORM.INV(R847,C847,'Regressão Grupo 2'!$B$7)))</f>
        <v>0.62066044714869151</v>
      </c>
      <c r="F847" s="39">
        <f>IF(_xlfn.NORM.INV(S847,D847,'Regressão Grupo 2'!$B$7)&lt;=0,0,IF(_xlfn.NORM.INV(S847,D847,'Regressão Grupo 2'!$B$7)&gt;100%,100%,_xlfn.NORM.INV(S847,D847,'Regressão Grupo 2'!$B$7)))</f>
        <v>1</v>
      </c>
      <c r="G847" s="41">
        <v>2.2260471096033397E-2</v>
      </c>
      <c r="H847" s="41">
        <v>2.4342829194385653E-2</v>
      </c>
      <c r="I847" s="40">
        <f t="shared" si="132"/>
        <v>276.20399030461886</v>
      </c>
      <c r="J847" s="40">
        <f t="shared" si="132"/>
        <v>0</v>
      </c>
      <c r="K847" s="36">
        <v>0.23966965734212953</v>
      </c>
      <c r="L847" s="42">
        <f t="shared" si="136"/>
        <v>19991.322604477216</v>
      </c>
      <c r="M847" s="42">
        <f t="shared" si="136"/>
        <v>0</v>
      </c>
      <c r="N847" s="42">
        <f t="shared" si="133"/>
        <v>4791.3134384310233</v>
      </c>
      <c r="O847" s="36">
        <v>7.7048228328272019</v>
      </c>
      <c r="P847" s="42">
        <f t="shared" si="134"/>
        <v>10821.076800273819</v>
      </c>
      <c r="Q847" s="42"/>
      <c r="R847">
        <v>0.8222602008117923</v>
      </c>
      <c r="S847">
        <v>0.97030549027985469</v>
      </c>
    </row>
    <row r="848" spans="1:19" x14ac:dyDescent="0.25">
      <c r="A848" s="40">
        <f t="shared" si="135"/>
        <v>64.229676878151835</v>
      </c>
      <c r="B848" s="40">
        <f t="shared" si="135"/>
        <v>32.933286051621081</v>
      </c>
      <c r="C848" s="41">
        <f t="shared" si="130"/>
        <v>0.49289226185293716</v>
      </c>
      <c r="D848" s="41">
        <f t="shared" si="131"/>
        <v>0.98069361229543572</v>
      </c>
      <c r="E848" s="39">
        <f>IF(_xlfn.NORM.INV(R848,C848,'Regressão Grupo 2'!$B$7)&lt;=0,0,IF(_xlfn.NORM.INV(R848,C848,'Regressão Grupo 2'!$B$7)&gt;100%,100%,_xlfn.NORM.INV(R848,C848,'Regressão Grupo 2'!$B$7)))</f>
        <v>0.6581614766285615</v>
      </c>
      <c r="F848" s="39">
        <f>IF(_xlfn.NORM.INV(S848,D848,'Regressão Grupo 2'!$B$7)&lt;=0,0,IF(_xlfn.NORM.INV(S848,D848,'Regressão Grupo 2'!$B$7)&gt;100%,100%,_xlfn.NORM.INV(S848,D848,'Regressão Grupo 2'!$B$7)))</f>
        <v>0.9618651717496064</v>
      </c>
      <c r="G848" s="41">
        <v>7.1158997493970672E-3</v>
      </c>
      <c r="H848" s="41">
        <v>1.1606727760354273E-2</v>
      </c>
      <c r="I848" s="40">
        <f t="shared" si="132"/>
        <v>93.627581921685433</v>
      </c>
      <c r="J848" s="40">
        <f t="shared" si="132"/>
        <v>0</v>
      </c>
      <c r="K848" s="36">
        <v>0.47760592918529976</v>
      </c>
      <c r="L848" s="42">
        <f t="shared" si="136"/>
        <v>19991.322604477216</v>
      </c>
      <c r="M848" s="42">
        <f t="shared" si="136"/>
        <v>0</v>
      </c>
      <c r="N848" s="42">
        <f t="shared" si="133"/>
        <v>9547.9742081544282</v>
      </c>
      <c r="O848" s="36">
        <v>4.3988254370066349</v>
      </c>
      <c r="P848" s="42">
        <f t="shared" si="134"/>
        <v>-3946.1562634044158</v>
      </c>
      <c r="Q848" s="42"/>
      <c r="R848">
        <v>0.88399914548173464</v>
      </c>
      <c r="S848">
        <v>0.44584490493484297</v>
      </c>
    </row>
    <row r="849" spans="1:19" x14ac:dyDescent="0.25">
      <c r="A849" s="40">
        <f t="shared" si="135"/>
        <v>64.229676878151835</v>
      </c>
      <c r="B849" s="40">
        <f t="shared" si="135"/>
        <v>32.933286051621081</v>
      </c>
      <c r="C849" s="41">
        <f t="shared" si="130"/>
        <v>0.49289226185293716</v>
      </c>
      <c r="D849" s="41">
        <f t="shared" si="131"/>
        <v>0.98069361229543572</v>
      </c>
      <c r="E849" s="39">
        <f>IF(_xlfn.NORM.INV(R849,C849,'Regressão Grupo 2'!$B$7)&lt;=0,0,IF(_xlfn.NORM.INV(R849,C849,'Regressão Grupo 2'!$B$7)&gt;100%,100%,_xlfn.NORM.INV(R849,C849,'Regressão Grupo 2'!$B$7)))</f>
        <v>0.38712973823243796</v>
      </c>
      <c r="F849" s="39">
        <f>IF(_xlfn.NORM.INV(S849,D849,'Regressão Grupo 2'!$B$7)&lt;=0,0,IF(_xlfn.NORM.INV(S849,D849,'Regressão Grupo 2'!$B$7)&gt;100%,100%,_xlfn.NORM.INV(S849,D849,'Regressão Grupo 2'!$B$7)))</f>
        <v>1</v>
      </c>
      <c r="G849" s="41">
        <v>2.1402204252106913E-2</v>
      </c>
      <c r="H849" s="41">
        <v>1.3546897122586148E-2</v>
      </c>
      <c r="I849" s="40">
        <f t="shared" si="132"/>
        <v>165.63669864346542</v>
      </c>
      <c r="J849" s="40">
        <f t="shared" si="132"/>
        <v>0</v>
      </c>
      <c r="K849" s="36">
        <v>0.29605605534427704</v>
      </c>
      <c r="L849" s="42">
        <f t="shared" si="136"/>
        <v>19991.322604477216</v>
      </c>
      <c r="M849" s="42">
        <f t="shared" si="136"/>
        <v>0</v>
      </c>
      <c r="N849" s="42">
        <f t="shared" si="133"/>
        <v>5918.5521113964032</v>
      </c>
      <c r="O849" s="36">
        <v>7.6518458911308969</v>
      </c>
      <c r="P849" s="42">
        <f t="shared" si="134"/>
        <v>3452.8130297017024</v>
      </c>
      <c r="Q849" s="42"/>
      <c r="R849">
        <v>0.22217474898525957</v>
      </c>
      <c r="S849">
        <v>0.89553514206366158</v>
      </c>
    </row>
    <row r="850" spans="1:19" x14ac:dyDescent="0.25">
      <c r="A850" s="40">
        <f t="shared" si="135"/>
        <v>64.229676878151835</v>
      </c>
      <c r="B850" s="40">
        <f t="shared" si="135"/>
        <v>32.933286051621081</v>
      </c>
      <c r="C850" s="41">
        <f t="shared" si="130"/>
        <v>0.49289226185293716</v>
      </c>
      <c r="D850" s="41">
        <f t="shared" si="131"/>
        <v>0.98069361229543572</v>
      </c>
      <c r="E850" s="39">
        <f>IF(_xlfn.NORM.INV(R850,C850,'Regressão Grupo 2'!$B$7)&lt;=0,0,IF(_xlfn.NORM.INV(R850,C850,'Regressão Grupo 2'!$B$7)&gt;100%,100%,_xlfn.NORM.INV(R850,C850,'Regressão Grupo 2'!$B$7)))</f>
        <v>0.37839925413113562</v>
      </c>
      <c r="F850" s="39">
        <f>IF(_xlfn.NORM.INV(S850,D850,'Regressão Grupo 2'!$B$7)&lt;=0,0,IF(_xlfn.NORM.INV(S850,D850,'Regressão Grupo 2'!$B$7)&gt;100%,100%,_xlfn.NORM.INV(S850,D850,'Regressão Grupo 2'!$B$7)))</f>
        <v>1</v>
      </c>
      <c r="G850" s="41">
        <v>8.9349885359628119E-3</v>
      </c>
      <c r="H850" s="41">
        <v>1.7919570960992785E-2</v>
      </c>
      <c r="I850" s="40">
        <f t="shared" si="132"/>
        <v>67.590521740070884</v>
      </c>
      <c r="J850" s="40">
        <f t="shared" si="132"/>
        <v>0</v>
      </c>
      <c r="K850" s="36">
        <v>0.41070672203493652</v>
      </c>
      <c r="L850" s="42">
        <f t="shared" si="136"/>
        <v>19991.322604477216</v>
      </c>
      <c r="M850" s="42">
        <f t="shared" si="136"/>
        <v>0</v>
      </c>
      <c r="N850" s="42">
        <f t="shared" si="133"/>
        <v>8210.5705760277669</v>
      </c>
      <c r="O850" s="36">
        <v>7.9182850234869964</v>
      </c>
      <c r="P850" s="42">
        <f t="shared" si="134"/>
        <v>-4404.4542206613933</v>
      </c>
      <c r="Q850" s="42"/>
      <c r="R850">
        <v>0.20383312479018525</v>
      </c>
      <c r="S850">
        <v>0.78765221106601158</v>
      </c>
    </row>
    <row r="851" spans="1:19" x14ac:dyDescent="0.25">
      <c r="A851" s="40">
        <f t="shared" si="135"/>
        <v>64.229676878151835</v>
      </c>
      <c r="B851" s="40">
        <f t="shared" si="135"/>
        <v>32.933286051621081</v>
      </c>
      <c r="C851" s="41">
        <f t="shared" si="130"/>
        <v>0.49289226185293716</v>
      </c>
      <c r="D851" s="41">
        <f t="shared" si="131"/>
        <v>0.98069361229543572</v>
      </c>
      <c r="E851" s="39">
        <f>IF(_xlfn.NORM.INV(R851,C851,'Regressão Grupo 2'!$B$7)&lt;=0,0,IF(_xlfn.NORM.INV(R851,C851,'Regressão Grupo 2'!$B$7)&gt;100%,100%,_xlfn.NORM.INV(R851,C851,'Regressão Grupo 2'!$B$7)))</f>
        <v>0.50298721472192642</v>
      </c>
      <c r="F851" s="39">
        <f>IF(_xlfn.NORM.INV(S851,D851,'Regressão Grupo 2'!$B$7)&lt;=0,0,IF(_xlfn.NORM.INV(S851,D851,'Regressão Grupo 2'!$B$7)&gt;100%,100%,_xlfn.NORM.INV(S851,D851,'Regressão Grupo 2'!$B$7)))</f>
        <v>0.89552119218331372</v>
      </c>
      <c r="G851" s="41">
        <v>1.5576505173133699E-2</v>
      </c>
      <c r="H851" s="41">
        <v>2.5125269750575531E-2</v>
      </c>
      <c r="I851" s="40">
        <f t="shared" si="132"/>
        <v>156.62767353221312</v>
      </c>
      <c r="J851" s="40">
        <f t="shared" si="132"/>
        <v>0</v>
      </c>
      <c r="K851" s="36">
        <v>0.37486556606434629</v>
      </c>
      <c r="L851" s="42">
        <f t="shared" si="136"/>
        <v>19991.322604477216</v>
      </c>
      <c r="M851" s="42">
        <f t="shared" si="136"/>
        <v>0</v>
      </c>
      <c r="N851" s="42">
        <f t="shared" si="133"/>
        <v>7494.0584645023137</v>
      </c>
      <c r="O851" s="36">
        <v>7.26737705933974</v>
      </c>
      <c r="P851" s="42">
        <f t="shared" si="134"/>
        <v>1427.8140351626298</v>
      </c>
      <c r="Q851" s="42"/>
      <c r="R851">
        <v>0.52909939878536327</v>
      </c>
      <c r="S851">
        <v>0.26895962401196327</v>
      </c>
    </row>
    <row r="852" spans="1:19" x14ac:dyDescent="0.25">
      <c r="A852" s="40">
        <f t="shared" si="135"/>
        <v>64.229676878151835</v>
      </c>
      <c r="B852" s="40">
        <f t="shared" si="135"/>
        <v>32.933286051621081</v>
      </c>
      <c r="C852" s="41">
        <f t="shared" si="130"/>
        <v>0.49289226185293716</v>
      </c>
      <c r="D852" s="41">
        <f t="shared" si="131"/>
        <v>0.98069361229543572</v>
      </c>
      <c r="E852" s="39">
        <f>IF(_xlfn.NORM.INV(R852,C852,'Regressão Grupo 2'!$B$7)&lt;=0,0,IF(_xlfn.NORM.INV(R852,C852,'Regressão Grupo 2'!$B$7)&gt;100%,100%,_xlfn.NORM.INV(R852,C852,'Regressão Grupo 2'!$B$7)))</f>
        <v>0.4312801440923455</v>
      </c>
      <c r="F852" s="39">
        <f>IF(_xlfn.NORM.INV(S852,D852,'Regressão Grupo 2'!$B$7)&lt;=0,0,IF(_xlfn.NORM.INV(S852,D852,'Regressão Grupo 2'!$B$7)&gt;100%,100%,_xlfn.NORM.INV(S852,D852,'Regressão Grupo 2'!$B$7)))</f>
        <v>0.90858096733725802</v>
      </c>
      <c r="G852" s="41">
        <v>2.3308553505398906E-2</v>
      </c>
      <c r="H852" s="41">
        <v>2.0486069139478813E-2</v>
      </c>
      <c r="I852" s="40">
        <f t="shared" si="132"/>
        <v>200.96309662779245</v>
      </c>
      <c r="J852" s="40">
        <f t="shared" si="132"/>
        <v>0</v>
      </c>
      <c r="K852" s="36">
        <v>0.16668942380952828</v>
      </c>
      <c r="L852" s="42">
        <f t="shared" si="136"/>
        <v>19991.322604477216</v>
      </c>
      <c r="M852" s="42">
        <f t="shared" si="136"/>
        <v>0</v>
      </c>
      <c r="N852" s="42">
        <f t="shared" si="133"/>
        <v>3332.3420461307055</v>
      </c>
      <c r="O852" s="36">
        <v>6.327355999907641</v>
      </c>
      <c r="P852" s="42">
        <f t="shared" si="134"/>
        <v>8303.8876594973262</v>
      </c>
      <c r="Q852" s="42"/>
      <c r="R852">
        <v>0.32795190282906583</v>
      </c>
      <c r="S852">
        <v>0.3010040589617603</v>
      </c>
    </row>
    <row r="853" spans="1:19" x14ac:dyDescent="0.25">
      <c r="A853" s="40">
        <f t="shared" si="135"/>
        <v>64.229676878151835</v>
      </c>
      <c r="B853" s="40">
        <f t="shared" si="135"/>
        <v>32.933286051621081</v>
      </c>
      <c r="C853" s="41">
        <f t="shared" si="130"/>
        <v>0.49289226185293716</v>
      </c>
      <c r="D853" s="41">
        <f t="shared" si="131"/>
        <v>0.98069361229543572</v>
      </c>
      <c r="E853" s="39">
        <f>IF(_xlfn.NORM.INV(R853,C853,'Regressão Grupo 2'!$B$7)&lt;=0,0,IF(_xlfn.NORM.INV(R853,C853,'Regressão Grupo 2'!$B$7)&gt;100%,100%,_xlfn.NORM.INV(R853,C853,'Regressão Grupo 2'!$B$7)))</f>
        <v>0.48400603289865968</v>
      </c>
      <c r="F853" s="39">
        <f>IF(_xlfn.NORM.INV(S853,D853,'Regressão Grupo 2'!$B$7)&lt;=0,0,IF(_xlfn.NORM.INV(S853,D853,'Regressão Grupo 2'!$B$7)&gt;100%,100%,_xlfn.NORM.INV(S853,D853,'Regressão Grupo 2'!$B$7)))</f>
        <v>0.99778324611258717</v>
      </c>
      <c r="G853" s="41">
        <v>1.052968637874273E-2</v>
      </c>
      <c r="H853" s="41">
        <v>1.7504329145924927E-2</v>
      </c>
      <c r="I853" s="40">
        <f t="shared" si="132"/>
        <v>101.88441088295438</v>
      </c>
      <c r="J853" s="40">
        <f t="shared" si="132"/>
        <v>0</v>
      </c>
      <c r="K853" s="36">
        <v>0.33441169713461821</v>
      </c>
      <c r="L853" s="42">
        <f t="shared" si="136"/>
        <v>19991.322604477216</v>
      </c>
      <c r="M853" s="42">
        <f t="shared" si="136"/>
        <v>0</v>
      </c>
      <c r="N853" s="42">
        <f t="shared" si="133"/>
        <v>6685.3321201288818</v>
      </c>
      <c r="O853" s="36">
        <v>7.2084366546986454</v>
      </c>
      <c r="P853" s="42">
        <f t="shared" si="134"/>
        <v>-875.75665214693163</v>
      </c>
      <c r="Q853" s="42"/>
      <c r="R853">
        <v>0.47437971129490036</v>
      </c>
      <c r="S853">
        <v>0.54918057802056952</v>
      </c>
    </row>
    <row r="854" spans="1:19" x14ac:dyDescent="0.25">
      <c r="A854" s="40">
        <f t="shared" si="135"/>
        <v>64.229676878151835</v>
      </c>
      <c r="B854" s="40">
        <f t="shared" si="135"/>
        <v>32.933286051621081</v>
      </c>
      <c r="C854" s="41">
        <f t="shared" si="130"/>
        <v>0.49289226185293716</v>
      </c>
      <c r="D854" s="41">
        <f t="shared" si="131"/>
        <v>0.98069361229543572</v>
      </c>
      <c r="E854" s="39">
        <f>IF(_xlfn.NORM.INV(R854,C854,'Regressão Grupo 2'!$B$7)&lt;=0,0,IF(_xlfn.NORM.INV(R854,C854,'Regressão Grupo 2'!$B$7)&gt;100%,100%,_xlfn.NORM.INV(R854,C854,'Regressão Grupo 2'!$B$7)))</f>
        <v>0.46577228304072704</v>
      </c>
      <c r="F854" s="39">
        <f>IF(_xlfn.NORM.INV(S854,D854,'Regressão Grupo 2'!$B$7)&lt;=0,0,IF(_xlfn.NORM.INV(S854,D854,'Regressão Grupo 2'!$B$7)&gt;100%,100%,_xlfn.NORM.INV(S854,D854,'Regressão Grupo 2'!$B$7)))</f>
        <v>0.93247748006953834</v>
      </c>
      <c r="G854" s="41">
        <v>1.1298554861445436E-2</v>
      </c>
      <c r="H854" s="41">
        <v>1.9547873784809332E-2</v>
      </c>
      <c r="I854" s="40">
        <f t="shared" si="132"/>
        <v>105.20540859767395</v>
      </c>
      <c r="J854" s="40">
        <f t="shared" si="132"/>
        <v>0</v>
      </c>
      <c r="K854" s="36">
        <v>0.23719540584090307</v>
      </c>
      <c r="L854" s="42">
        <f t="shared" si="136"/>
        <v>19991.322604477216</v>
      </c>
      <c r="M854" s="42">
        <f t="shared" si="136"/>
        <v>0</v>
      </c>
      <c r="N854" s="42">
        <f t="shared" si="133"/>
        <v>4741.849878465393</v>
      </c>
      <c r="O854" s="36">
        <v>3.1235735910299738</v>
      </c>
      <c r="P854" s="42">
        <f t="shared" si="134"/>
        <v>1686.8426856679298</v>
      </c>
      <c r="Q854" s="42"/>
      <c r="R854">
        <v>0.42225409710989714</v>
      </c>
      <c r="S854">
        <v>0.36365855891598253</v>
      </c>
    </row>
    <row r="855" spans="1:19" x14ac:dyDescent="0.25">
      <c r="A855" s="40">
        <f t="shared" si="135"/>
        <v>64.229676878151835</v>
      </c>
      <c r="B855" s="40">
        <f t="shared" si="135"/>
        <v>32.933286051621081</v>
      </c>
      <c r="C855" s="41">
        <f t="shared" si="130"/>
        <v>0.49289226185293716</v>
      </c>
      <c r="D855" s="41">
        <f t="shared" si="131"/>
        <v>0.98069361229543572</v>
      </c>
      <c r="E855" s="39">
        <f>IF(_xlfn.NORM.INV(R855,C855,'Regressão Grupo 2'!$B$7)&lt;=0,0,IF(_xlfn.NORM.INV(R855,C855,'Regressão Grupo 2'!$B$7)&gt;100%,100%,_xlfn.NORM.INV(R855,C855,'Regressão Grupo 2'!$B$7)))</f>
        <v>0.60847675809006896</v>
      </c>
      <c r="F855" s="39">
        <f>IF(_xlfn.NORM.INV(S855,D855,'Regressão Grupo 2'!$B$7)&lt;=0,0,IF(_xlfn.NORM.INV(S855,D855,'Regressão Grupo 2'!$B$7)&gt;100%,100%,_xlfn.NORM.INV(S855,D855,'Regressão Grupo 2'!$B$7)))</f>
        <v>0.94371635074761862</v>
      </c>
      <c r="G855" s="41">
        <v>1.249235205336186E-2</v>
      </c>
      <c r="H855" s="41">
        <v>1.8904422009583324E-2</v>
      </c>
      <c r="I855" s="40">
        <f t="shared" si="132"/>
        <v>151.96015802939272</v>
      </c>
      <c r="J855" s="40">
        <f t="shared" si="132"/>
        <v>0</v>
      </c>
      <c r="K855" s="36">
        <v>0.24689631206019846</v>
      </c>
      <c r="L855" s="42">
        <f t="shared" ref="L855:M870" si="137">L854</f>
        <v>19991.322604477216</v>
      </c>
      <c r="M855" s="42">
        <f t="shared" si="137"/>
        <v>0</v>
      </c>
      <c r="N855" s="42">
        <f t="shared" si="133"/>
        <v>4935.7838242511061</v>
      </c>
      <c r="O855" s="36">
        <v>10.329895222444406</v>
      </c>
      <c r="P855" s="42">
        <f t="shared" si="134"/>
        <v>3254.8355138999568</v>
      </c>
      <c r="Q855" s="42"/>
      <c r="R855">
        <v>0.7983947264015625</v>
      </c>
      <c r="S855">
        <v>0.3945738090151677</v>
      </c>
    </row>
    <row r="856" spans="1:19" x14ac:dyDescent="0.25">
      <c r="A856" s="40">
        <f t="shared" si="135"/>
        <v>64.229676878151835</v>
      </c>
      <c r="B856" s="40">
        <f t="shared" si="135"/>
        <v>32.933286051621081</v>
      </c>
      <c r="C856" s="41">
        <f t="shared" si="130"/>
        <v>0.49289226185293716</v>
      </c>
      <c r="D856" s="41">
        <f t="shared" si="131"/>
        <v>0.98069361229543572</v>
      </c>
      <c r="E856" s="39">
        <f>IF(_xlfn.NORM.INV(R856,C856,'Regressão Grupo 2'!$B$7)&lt;=0,0,IF(_xlfn.NORM.INV(R856,C856,'Regressão Grupo 2'!$B$7)&gt;100%,100%,_xlfn.NORM.INV(R856,C856,'Regressão Grupo 2'!$B$7)))</f>
        <v>0.44820167609489275</v>
      </c>
      <c r="F856" s="39">
        <f>IF(_xlfn.NORM.INV(S856,D856,'Regressão Grupo 2'!$B$7)&lt;=0,0,IF(_xlfn.NORM.INV(S856,D856,'Regressão Grupo 2'!$B$7)&gt;100%,100%,_xlfn.NORM.INV(S856,D856,'Regressão Grupo 2'!$B$7)))</f>
        <v>0.87880137819207116</v>
      </c>
      <c r="G856" s="41">
        <v>2.1842398393745278E-2</v>
      </c>
      <c r="H856" s="41">
        <v>2.5540033877120789E-2</v>
      </c>
      <c r="I856" s="40">
        <f t="shared" si="132"/>
        <v>195.7110414372228</v>
      </c>
      <c r="J856" s="40">
        <f t="shared" si="132"/>
        <v>0</v>
      </c>
      <c r="K856" s="36">
        <v>0.3328900526002162</v>
      </c>
      <c r="L856" s="42">
        <f t="shared" si="137"/>
        <v>19991.322604477216</v>
      </c>
      <c r="M856" s="42">
        <f t="shared" si="137"/>
        <v>0</v>
      </c>
      <c r="N856" s="42">
        <f t="shared" si="133"/>
        <v>6654.9124333523114</v>
      </c>
      <c r="O856" s="36">
        <v>4.1819293890593574</v>
      </c>
      <c r="P856" s="42">
        <f t="shared" si="134"/>
        <v>5097.0947636973588</v>
      </c>
      <c r="Q856" s="42"/>
      <c r="R856">
        <v>0.37327188940092165</v>
      </c>
      <c r="S856">
        <v>0.23059785760063478</v>
      </c>
    </row>
    <row r="857" spans="1:19" x14ac:dyDescent="0.25">
      <c r="A857" s="40">
        <f t="shared" si="135"/>
        <v>64.229676878151835</v>
      </c>
      <c r="B857" s="40">
        <f t="shared" si="135"/>
        <v>32.933286051621081</v>
      </c>
      <c r="C857" s="41">
        <f t="shared" si="130"/>
        <v>0.49289226185293716</v>
      </c>
      <c r="D857" s="41">
        <f t="shared" si="131"/>
        <v>0.98069361229543572</v>
      </c>
      <c r="E857" s="39">
        <f>IF(_xlfn.NORM.INV(R857,C857,'Regressão Grupo 2'!$B$7)&lt;=0,0,IF(_xlfn.NORM.INV(R857,C857,'Regressão Grupo 2'!$B$7)&gt;100%,100%,_xlfn.NORM.INV(R857,C857,'Regressão Grupo 2'!$B$7)))</f>
        <v>0.49033756257120437</v>
      </c>
      <c r="F857" s="39">
        <f>IF(_xlfn.NORM.INV(S857,D857,'Regressão Grupo 2'!$B$7)&lt;=0,0,IF(_xlfn.NORM.INV(S857,D857,'Regressão Grupo 2'!$B$7)&gt;100%,100%,_xlfn.NORM.INV(S857,D857,'Regressão Grupo 2'!$B$7)))</f>
        <v>0.76745999191384628</v>
      </c>
      <c r="G857" s="41">
        <v>1.5313728828169551E-2</v>
      </c>
      <c r="H857" s="41">
        <v>3.0012321326102478E-3</v>
      </c>
      <c r="I857" s="40">
        <f t="shared" si="132"/>
        <v>150.1127716850329</v>
      </c>
      <c r="J857" s="40">
        <f t="shared" si="132"/>
        <v>0</v>
      </c>
      <c r="K857" s="36">
        <v>0.25420973236403122</v>
      </c>
      <c r="L857" s="42">
        <f t="shared" si="137"/>
        <v>19991.322604477216</v>
      </c>
      <c r="M857" s="42">
        <f t="shared" si="137"/>
        <v>0</v>
      </c>
      <c r="N857" s="42">
        <f t="shared" si="133"/>
        <v>5081.9887688871604</v>
      </c>
      <c r="O857" s="36">
        <v>6.4435590713380133</v>
      </c>
      <c r="P857" s="42">
        <f t="shared" si="134"/>
        <v>3592.4455400114966</v>
      </c>
      <c r="Q857" s="42"/>
      <c r="R857">
        <v>0.49262977996154667</v>
      </c>
      <c r="S857">
        <v>6.152531510361034E-2</v>
      </c>
    </row>
    <row r="858" spans="1:19" x14ac:dyDescent="0.25">
      <c r="A858" s="40">
        <f t="shared" si="135"/>
        <v>64.229676878151835</v>
      </c>
      <c r="B858" s="40">
        <f t="shared" si="135"/>
        <v>32.933286051621081</v>
      </c>
      <c r="C858" s="41">
        <f t="shared" si="130"/>
        <v>0.49289226185293716</v>
      </c>
      <c r="D858" s="41">
        <f t="shared" si="131"/>
        <v>0.98069361229543572</v>
      </c>
      <c r="E858" s="39">
        <f>IF(_xlfn.NORM.INV(R858,C858,'Regressão Grupo 2'!$B$7)&lt;=0,0,IF(_xlfn.NORM.INV(R858,C858,'Regressão Grupo 2'!$B$7)&gt;100%,100%,_xlfn.NORM.INV(R858,C858,'Regressão Grupo 2'!$B$7)))</f>
        <v>0.38563547959227484</v>
      </c>
      <c r="F858" s="39">
        <f>IF(_xlfn.NORM.INV(S858,D858,'Regressão Grupo 2'!$B$7)&lt;=0,0,IF(_xlfn.NORM.INV(S858,D858,'Regressão Grupo 2'!$B$7)&gt;100%,100%,_xlfn.NORM.INV(S858,D858,'Regressão Grupo 2'!$B$7)))</f>
        <v>1</v>
      </c>
      <c r="G858" s="41">
        <v>5.5997632061758175E-3</v>
      </c>
      <c r="H858" s="41">
        <v>1.5596178175368026E-2</v>
      </c>
      <c r="I858" s="40">
        <f t="shared" si="132"/>
        <v>43.170608839851006</v>
      </c>
      <c r="J858" s="40">
        <f t="shared" si="132"/>
        <v>0</v>
      </c>
      <c r="K858" s="36">
        <v>0.41477283315954139</v>
      </c>
      <c r="L858" s="42">
        <f t="shared" si="137"/>
        <v>19991.322604477216</v>
      </c>
      <c r="M858" s="42">
        <f t="shared" si="137"/>
        <v>0</v>
      </c>
      <c r="N858" s="42">
        <f t="shared" si="133"/>
        <v>8291.8575152653975</v>
      </c>
      <c r="O858" s="36">
        <v>5.1980117666389463</v>
      </c>
      <c r="P858" s="42">
        <f t="shared" si="134"/>
        <v>-5743.4245915711945</v>
      </c>
      <c r="Q858" s="42"/>
      <c r="R858">
        <v>0.21897030549027985</v>
      </c>
      <c r="S858">
        <v>0.86657307657094029</v>
      </c>
    </row>
    <row r="859" spans="1:19" x14ac:dyDescent="0.25">
      <c r="A859" s="40">
        <f t="shared" si="135"/>
        <v>64.229676878151835</v>
      </c>
      <c r="B859" s="40">
        <f t="shared" si="135"/>
        <v>32.933286051621081</v>
      </c>
      <c r="C859" s="41">
        <f t="shared" si="130"/>
        <v>0.49289226185293716</v>
      </c>
      <c r="D859" s="41">
        <f t="shared" si="131"/>
        <v>0.98069361229543572</v>
      </c>
      <c r="E859" s="39">
        <f>IF(_xlfn.NORM.INV(R859,C859,'Regressão Grupo 2'!$B$7)&lt;=0,0,IF(_xlfn.NORM.INV(R859,C859,'Regressão Grupo 2'!$B$7)&gt;100%,100%,_xlfn.NORM.INV(R859,C859,'Regressão Grupo 2'!$B$7)))</f>
        <v>0.69382628014425152</v>
      </c>
      <c r="F859" s="39">
        <f>IF(_xlfn.NORM.INV(S859,D859,'Regressão Grupo 2'!$B$7)&lt;=0,0,IF(_xlfn.NORM.INV(S859,D859,'Regressão Grupo 2'!$B$7)&gt;100%,100%,_xlfn.NORM.INV(S859,D859,'Regressão Grupo 2'!$B$7)))</f>
        <v>0.83632562739368255</v>
      </c>
      <c r="G859" s="41">
        <v>2.0278927617478612E-2</v>
      </c>
      <c r="H859" s="41">
        <v>2.0837655074741022E-2</v>
      </c>
      <c r="I859" s="40">
        <f t="shared" si="132"/>
        <v>281.27896686883173</v>
      </c>
      <c r="J859" s="40">
        <f t="shared" si="132"/>
        <v>0</v>
      </c>
      <c r="K859" s="36">
        <v>0.23248671123155748</v>
      </c>
      <c r="L859" s="42">
        <f t="shared" si="137"/>
        <v>19991.322604477216</v>
      </c>
      <c r="M859" s="42">
        <f t="shared" si="137"/>
        <v>0</v>
      </c>
      <c r="N859" s="42">
        <f t="shared" si="133"/>
        <v>4647.7168454840021</v>
      </c>
      <c r="O859" s="36">
        <v>3.5555042249388595</v>
      </c>
      <c r="P859" s="42">
        <f t="shared" si="134"/>
        <v>12418.651754032864</v>
      </c>
      <c r="Q859" s="42"/>
      <c r="R859">
        <v>0.92690816980498669</v>
      </c>
      <c r="S859">
        <v>0.14822840052491837</v>
      </c>
    </row>
    <row r="860" spans="1:19" x14ac:dyDescent="0.25">
      <c r="A860" s="40">
        <f t="shared" si="135"/>
        <v>64.229676878151835</v>
      </c>
      <c r="B860" s="40">
        <f t="shared" si="135"/>
        <v>32.933286051621081</v>
      </c>
      <c r="C860" s="41">
        <f t="shared" si="130"/>
        <v>0.49289226185293716</v>
      </c>
      <c r="D860" s="41">
        <f t="shared" si="131"/>
        <v>0.98069361229543572</v>
      </c>
      <c r="E860" s="39">
        <f>IF(_xlfn.NORM.INV(R860,C860,'Regressão Grupo 2'!$B$7)&lt;=0,0,IF(_xlfn.NORM.INV(R860,C860,'Regressão Grupo 2'!$B$7)&gt;100%,100%,_xlfn.NORM.INV(R860,C860,'Regressão Grupo 2'!$B$7)))</f>
        <v>0.50760735234514831</v>
      </c>
      <c r="F860" s="39">
        <f>IF(_xlfn.NORM.INV(S860,D860,'Regressão Grupo 2'!$B$7)&lt;=0,0,IF(_xlfn.NORM.INV(S860,D860,'Regressão Grupo 2'!$B$7)&gt;100%,100%,_xlfn.NORM.INV(S860,D860,'Regressão Grupo 2'!$B$7)))</f>
        <v>1</v>
      </c>
      <c r="G860" s="41">
        <v>2.1311254672931317E-2</v>
      </c>
      <c r="H860" s="41">
        <v>1.840205163142844E-2</v>
      </c>
      <c r="I860" s="40">
        <f t="shared" si="132"/>
        <v>216.26112130200093</v>
      </c>
      <c r="J860" s="40">
        <f t="shared" si="132"/>
        <v>0</v>
      </c>
      <c r="K860" s="36">
        <v>0.27996314095236402</v>
      </c>
      <c r="L860" s="42">
        <f t="shared" si="137"/>
        <v>19991.322604477216</v>
      </c>
      <c r="M860" s="42">
        <f t="shared" si="137"/>
        <v>0</v>
      </c>
      <c r="N860" s="42">
        <f t="shared" si="133"/>
        <v>5596.8334681414362</v>
      </c>
      <c r="O860" s="36">
        <v>5.7548847102607406</v>
      </c>
      <c r="P860" s="42">
        <f t="shared" si="134"/>
        <v>7048.990653988154</v>
      </c>
      <c r="Q860" s="42"/>
      <c r="R860">
        <v>0.54237495040742212</v>
      </c>
      <c r="S860">
        <v>0.89019440290536211</v>
      </c>
    </row>
    <row r="861" spans="1:19" x14ac:dyDescent="0.25">
      <c r="A861" s="40">
        <f t="shared" si="135"/>
        <v>64.229676878151835</v>
      </c>
      <c r="B861" s="40">
        <f t="shared" si="135"/>
        <v>32.933286051621081</v>
      </c>
      <c r="C861" s="41">
        <f t="shared" si="130"/>
        <v>0.49289226185293716</v>
      </c>
      <c r="D861" s="41">
        <f t="shared" si="131"/>
        <v>0.98069361229543572</v>
      </c>
      <c r="E861" s="39">
        <f>IF(_xlfn.NORM.INV(R861,C861,'Regressão Grupo 2'!$B$7)&lt;=0,0,IF(_xlfn.NORM.INV(R861,C861,'Regressão Grupo 2'!$B$7)&gt;100%,100%,_xlfn.NORM.INV(R861,C861,'Regressão Grupo 2'!$B$7)))</f>
        <v>0.54332915137112114</v>
      </c>
      <c r="F861" s="39">
        <f>IF(_xlfn.NORM.INV(S861,D861,'Regressão Grupo 2'!$B$7)&lt;=0,0,IF(_xlfn.NORM.INV(S861,D861,'Regressão Grupo 2'!$B$7)&gt;100%,100%,_xlfn.NORM.INV(S861,D861,'Regressão Grupo 2'!$B$7)))</f>
        <v>0.92375479518160653</v>
      </c>
      <c r="G861" s="41">
        <v>2.3323166771076431E-2</v>
      </c>
      <c r="H861" s="41">
        <v>3.801290699453343E-3</v>
      </c>
      <c r="I861" s="40">
        <f t="shared" si="132"/>
        <v>253.33316686703415</v>
      </c>
      <c r="J861" s="40">
        <f t="shared" si="132"/>
        <v>0</v>
      </c>
      <c r="K861" s="36">
        <v>0.33323710517469679</v>
      </c>
      <c r="L861" s="42">
        <f t="shared" si="137"/>
        <v>19991.322604477216</v>
      </c>
      <c r="M861" s="42">
        <f t="shared" si="137"/>
        <v>0</v>
      </c>
      <c r="N861" s="42">
        <f t="shared" si="133"/>
        <v>6661.8504733294676</v>
      </c>
      <c r="O861" s="36">
        <v>4.5301136009057901</v>
      </c>
      <c r="P861" s="42">
        <f t="shared" si="134"/>
        <v>8462.0289522741696</v>
      </c>
      <c r="Q861" s="42"/>
      <c r="R861">
        <v>0.64235358745078885</v>
      </c>
      <c r="S861">
        <v>0.34025086214789269</v>
      </c>
    </row>
    <row r="862" spans="1:19" x14ac:dyDescent="0.25">
      <c r="A862" s="40">
        <f t="shared" si="135"/>
        <v>64.229676878151835</v>
      </c>
      <c r="B862" s="40">
        <f t="shared" si="135"/>
        <v>32.933286051621081</v>
      </c>
      <c r="C862" s="41">
        <f t="shared" si="130"/>
        <v>0.49289226185293716</v>
      </c>
      <c r="D862" s="41">
        <f t="shared" si="131"/>
        <v>0.98069361229543572</v>
      </c>
      <c r="E862" s="39">
        <f>IF(_xlfn.NORM.INV(R862,C862,'Regressão Grupo 2'!$B$7)&lt;=0,0,IF(_xlfn.NORM.INV(R862,C862,'Regressão Grupo 2'!$B$7)&gt;100%,100%,_xlfn.NORM.INV(R862,C862,'Regressão Grupo 2'!$B$7)))</f>
        <v>0.64188342008315491</v>
      </c>
      <c r="F862" s="39">
        <f>IF(_xlfn.NORM.INV(S862,D862,'Regressão Grupo 2'!$B$7)&lt;=0,0,IF(_xlfn.NORM.INV(S862,D862,'Regressão Grupo 2'!$B$7)&gt;100%,100%,_xlfn.NORM.INV(S862,D862,'Regressão Grupo 2'!$B$7)))</f>
        <v>0.99298539170301958</v>
      </c>
      <c r="G862" s="41">
        <v>1.4528488388981643E-2</v>
      </c>
      <c r="H862" s="41">
        <v>4.0678986111274459E-3</v>
      </c>
      <c r="I862" s="40">
        <f t="shared" si="132"/>
        <v>186.43099443177991</v>
      </c>
      <c r="J862" s="40">
        <f t="shared" si="132"/>
        <v>0</v>
      </c>
      <c r="K862" s="36">
        <v>0.37042496743575215</v>
      </c>
      <c r="L862" s="42">
        <f t="shared" si="137"/>
        <v>19991.322604477216</v>
      </c>
      <c r="M862" s="42">
        <f t="shared" si="137"/>
        <v>0</v>
      </c>
      <c r="N862" s="42">
        <f t="shared" si="133"/>
        <v>7405.2850247610886</v>
      </c>
      <c r="O862" s="36">
        <v>5.0612753876153027</v>
      </c>
      <c r="P862" s="42">
        <f t="shared" si="134"/>
        <v>3625.538904058446</v>
      </c>
      <c r="Q862" s="42"/>
      <c r="R862">
        <v>0.85937070833460494</v>
      </c>
      <c r="S862">
        <v>0.53541673024689473</v>
      </c>
    </row>
    <row r="863" spans="1:19" x14ac:dyDescent="0.25">
      <c r="A863" s="40">
        <f t="shared" si="135"/>
        <v>64.229676878151835</v>
      </c>
      <c r="B863" s="40">
        <f t="shared" si="135"/>
        <v>32.933286051621081</v>
      </c>
      <c r="C863" s="41">
        <f t="shared" si="130"/>
        <v>0.49289226185293716</v>
      </c>
      <c r="D863" s="41">
        <f t="shared" si="131"/>
        <v>0.98069361229543572</v>
      </c>
      <c r="E863" s="39">
        <f>IF(_xlfn.NORM.INV(R863,C863,'Regressão Grupo 2'!$B$7)&lt;=0,0,IF(_xlfn.NORM.INV(R863,C863,'Regressão Grupo 2'!$B$7)&gt;100%,100%,_xlfn.NORM.INV(R863,C863,'Regressão Grupo 2'!$B$7)))</f>
        <v>0.30907130332628374</v>
      </c>
      <c r="F863" s="39">
        <f>IF(_xlfn.NORM.INV(S863,D863,'Regressão Grupo 2'!$B$7)&lt;=0,0,IF(_xlfn.NORM.INV(S863,D863,'Regressão Grupo 2'!$B$7)&gt;100%,100%,_xlfn.NORM.INV(S863,D863,'Regressão Grupo 2'!$B$7)))</f>
        <v>0.91393289797009092</v>
      </c>
      <c r="G863" s="41">
        <v>1.9274122902473875E-2</v>
      </c>
      <c r="H863" s="41">
        <v>1.2414021438521121E-2</v>
      </c>
      <c r="I863" s="40">
        <f t="shared" si="132"/>
        <v>119.08987379432423</v>
      </c>
      <c r="J863" s="40">
        <f t="shared" si="132"/>
        <v>0</v>
      </c>
      <c r="K863" s="36">
        <v>0.26816007850881063</v>
      </c>
      <c r="L863" s="42">
        <f t="shared" si="137"/>
        <v>19991.322604477216</v>
      </c>
      <c r="M863" s="42">
        <f t="shared" si="137"/>
        <v>0</v>
      </c>
      <c r="N863" s="42">
        <f t="shared" si="133"/>
        <v>5360.874639111571</v>
      </c>
      <c r="O863" s="36">
        <v>5.6078024131141904</v>
      </c>
      <c r="P863" s="42">
        <f t="shared" si="134"/>
        <v>1620.3969925164802</v>
      </c>
      <c r="Q863" s="42"/>
      <c r="R863">
        <v>9.1860713522751547E-2</v>
      </c>
      <c r="S863">
        <v>0.31461531418805505</v>
      </c>
    </row>
    <row r="864" spans="1:19" x14ac:dyDescent="0.25">
      <c r="A864" s="40">
        <f t="shared" si="135"/>
        <v>64.229676878151835</v>
      </c>
      <c r="B864" s="40">
        <f t="shared" si="135"/>
        <v>32.933286051621081</v>
      </c>
      <c r="C864" s="41">
        <f t="shared" si="130"/>
        <v>0.49289226185293716</v>
      </c>
      <c r="D864" s="41">
        <f t="shared" si="131"/>
        <v>0.98069361229543572</v>
      </c>
      <c r="E864" s="39">
        <f>IF(_xlfn.NORM.INV(R864,C864,'Regressão Grupo 2'!$B$7)&lt;=0,0,IF(_xlfn.NORM.INV(R864,C864,'Regressão Grupo 2'!$B$7)&gt;100%,100%,_xlfn.NORM.INV(R864,C864,'Regressão Grupo 2'!$B$7)))</f>
        <v>0.50399507031914081</v>
      </c>
      <c r="F864" s="39">
        <f>IF(_xlfn.NORM.INV(S864,D864,'Regressão Grupo 2'!$B$7)&lt;=0,0,IF(_xlfn.NORM.INV(S864,D864,'Regressão Grupo 2'!$B$7)&gt;100%,100%,_xlfn.NORM.INV(S864,D864,'Regressão Grupo 2'!$B$7)))</f>
        <v>0.73357707282944107</v>
      </c>
      <c r="G864" s="41">
        <v>2.5166774000066131E-2</v>
      </c>
      <c r="H864" s="41">
        <v>2.15786771088287E-2</v>
      </c>
      <c r="I864" s="40">
        <f t="shared" si="132"/>
        <v>253.56853715971525</v>
      </c>
      <c r="J864" s="40">
        <f t="shared" si="132"/>
        <v>0</v>
      </c>
      <c r="K864" s="36">
        <v>0.29595474240306474</v>
      </c>
      <c r="L864" s="42">
        <f t="shared" si="137"/>
        <v>19991.322604477216</v>
      </c>
      <c r="M864" s="42">
        <f t="shared" si="137"/>
        <v>0</v>
      </c>
      <c r="N864" s="42">
        <f t="shared" si="133"/>
        <v>5916.52673170462</v>
      </c>
      <c r="O864" s="36">
        <v>6.6007852106208729</v>
      </c>
      <c r="P864" s="42">
        <f t="shared" si="134"/>
        <v>8696.3470265669093</v>
      </c>
      <c r="Q864" s="42"/>
      <c r="R864">
        <v>0.53199865718558303</v>
      </c>
      <c r="S864">
        <v>3.6957914975432597E-2</v>
      </c>
    </row>
    <row r="865" spans="1:19" x14ac:dyDescent="0.25">
      <c r="A865" s="40">
        <f t="shared" si="135"/>
        <v>64.229676878151835</v>
      </c>
      <c r="B865" s="40">
        <f t="shared" si="135"/>
        <v>32.933286051621081</v>
      </c>
      <c r="C865" s="41">
        <f t="shared" si="130"/>
        <v>0.49289226185293716</v>
      </c>
      <c r="D865" s="41">
        <f t="shared" si="131"/>
        <v>0.98069361229543572</v>
      </c>
      <c r="E865" s="39">
        <f>IF(_xlfn.NORM.INV(R865,C865,'Regressão Grupo 2'!$B$7)&lt;=0,0,IF(_xlfn.NORM.INV(R865,C865,'Regressão Grupo 2'!$B$7)&gt;100%,100%,_xlfn.NORM.INV(R865,C865,'Regressão Grupo 2'!$B$7)))</f>
        <v>0.3224744845854679</v>
      </c>
      <c r="F865" s="39">
        <f>IF(_xlfn.NORM.INV(S865,D865,'Regressão Grupo 2'!$B$7)&lt;=0,0,IF(_xlfn.NORM.INV(S865,D865,'Regressão Grupo 2'!$B$7)&gt;100%,100%,_xlfn.NORM.INV(S865,D865,'Regressão Grupo 2'!$B$7)))</f>
        <v>0.96614871757864673</v>
      </c>
      <c r="G865" s="41">
        <v>7.0980837519485857E-3</v>
      </c>
      <c r="H865" s="41">
        <v>2.037447820566822E-2</v>
      </c>
      <c r="I865" s="40">
        <f t="shared" si="132"/>
        <v>45.759155856795289</v>
      </c>
      <c r="J865" s="40">
        <f t="shared" si="132"/>
        <v>0</v>
      </c>
      <c r="K865" s="36">
        <v>0.26067798022777772</v>
      </c>
      <c r="L865" s="42">
        <f t="shared" si="137"/>
        <v>19991.322604477216</v>
      </c>
      <c r="M865" s="42">
        <f t="shared" si="137"/>
        <v>0</v>
      </c>
      <c r="N865" s="42">
        <f t="shared" si="133"/>
        <v>5211.2975986170377</v>
      </c>
      <c r="O865" s="36">
        <v>8.5090669063884192</v>
      </c>
      <c r="P865" s="42">
        <f t="shared" si="134"/>
        <v>-2661.5695224834139</v>
      </c>
      <c r="Q865" s="42"/>
      <c r="R865">
        <v>0.10889004181035798</v>
      </c>
      <c r="S865">
        <v>0.45811334574419388</v>
      </c>
    </row>
    <row r="866" spans="1:19" x14ac:dyDescent="0.25">
      <c r="A866" s="40">
        <f t="shared" si="135"/>
        <v>64.229676878151835</v>
      </c>
      <c r="B866" s="40">
        <f t="shared" si="135"/>
        <v>32.933286051621081</v>
      </c>
      <c r="C866" s="41">
        <f t="shared" si="130"/>
        <v>0.49289226185293716</v>
      </c>
      <c r="D866" s="41">
        <f t="shared" si="131"/>
        <v>0.98069361229543572</v>
      </c>
      <c r="E866" s="39">
        <f>IF(_xlfn.NORM.INV(R866,C866,'Regressão Grupo 2'!$B$7)&lt;=0,0,IF(_xlfn.NORM.INV(R866,C866,'Regressão Grupo 2'!$B$7)&gt;100%,100%,_xlfn.NORM.INV(R866,C866,'Regressão Grupo 2'!$B$7)))</f>
        <v>0.39445166918038399</v>
      </c>
      <c r="F866" s="39">
        <f>IF(_xlfn.NORM.INV(S866,D866,'Regressão Grupo 2'!$B$7)&lt;=0,0,IF(_xlfn.NORM.INV(S866,D866,'Regressão Grupo 2'!$B$7)&gt;100%,100%,_xlfn.NORM.INV(S866,D866,'Regressão Grupo 2'!$B$7)))</f>
        <v>0.92582098240088184</v>
      </c>
      <c r="G866" s="41">
        <v>2.104075588006573E-2</v>
      </c>
      <c r="H866" s="41">
        <v>1.2407285651884824E-2</v>
      </c>
      <c r="I866" s="40">
        <f t="shared" si="132"/>
        <v>165.91920697830588</v>
      </c>
      <c r="J866" s="40">
        <f t="shared" si="132"/>
        <v>0</v>
      </c>
      <c r="K866" s="36">
        <v>0.41462031288781559</v>
      </c>
      <c r="L866" s="42">
        <f t="shared" si="137"/>
        <v>19991.322604477216</v>
      </c>
      <c r="M866" s="42">
        <f t="shared" si="137"/>
        <v>0</v>
      </c>
      <c r="N866" s="42">
        <f t="shared" si="133"/>
        <v>8288.8084333096031</v>
      </c>
      <c r="O866" s="36">
        <v>5.4800605681881267</v>
      </c>
      <c r="P866" s="42">
        <f t="shared" si="134"/>
        <v>1458.8813151193208</v>
      </c>
      <c r="Q866" s="42"/>
      <c r="R866">
        <v>0.23825800347911008</v>
      </c>
      <c r="S866">
        <v>0.34574419385357219</v>
      </c>
    </row>
    <row r="867" spans="1:19" x14ac:dyDescent="0.25">
      <c r="A867" s="40">
        <f t="shared" si="135"/>
        <v>64.229676878151835</v>
      </c>
      <c r="B867" s="40">
        <f t="shared" si="135"/>
        <v>32.933286051621081</v>
      </c>
      <c r="C867" s="41">
        <f t="shared" si="130"/>
        <v>0.49289226185293716</v>
      </c>
      <c r="D867" s="41">
        <f t="shared" si="131"/>
        <v>0.98069361229543572</v>
      </c>
      <c r="E867" s="39">
        <f>IF(_xlfn.NORM.INV(R867,C867,'Regressão Grupo 2'!$B$7)&lt;=0,0,IF(_xlfn.NORM.INV(R867,C867,'Regressão Grupo 2'!$B$7)&gt;100%,100%,_xlfn.NORM.INV(R867,C867,'Regressão Grupo 2'!$B$7)))</f>
        <v>0.45289113014667937</v>
      </c>
      <c r="F867" s="39">
        <f>IF(_xlfn.NORM.INV(S867,D867,'Regressão Grupo 2'!$B$7)&lt;=0,0,IF(_xlfn.NORM.INV(S867,D867,'Regressão Grupo 2'!$B$7)&gt;100%,100%,_xlfn.NORM.INV(S867,D867,'Regressão Grupo 2'!$B$7)))</f>
        <v>1</v>
      </c>
      <c r="G867" s="41">
        <v>1.5502837798079053E-2</v>
      </c>
      <c r="H867" s="41">
        <v>2.7329347053386591E-2</v>
      </c>
      <c r="I867" s="40">
        <f t="shared" si="132"/>
        <v>140.36102977503887</v>
      </c>
      <c r="J867" s="40">
        <f t="shared" si="132"/>
        <v>0</v>
      </c>
      <c r="K867" s="36">
        <v>0.29109586500867329</v>
      </c>
      <c r="L867" s="42">
        <f t="shared" si="137"/>
        <v>19991.322604477216</v>
      </c>
      <c r="M867" s="42">
        <f t="shared" si="137"/>
        <v>0</v>
      </c>
      <c r="N867" s="42">
        <f t="shared" si="133"/>
        <v>5819.3913462177388</v>
      </c>
      <c r="O867" s="36">
        <v>8.7120214431307001</v>
      </c>
      <c r="P867" s="42">
        <f t="shared" si="134"/>
        <v>1973.1239413376115</v>
      </c>
      <c r="Q867" s="42"/>
      <c r="R867">
        <v>0.38618121890926849</v>
      </c>
      <c r="S867">
        <v>0.55644398327585676</v>
      </c>
    </row>
    <row r="868" spans="1:19" x14ac:dyDescent="0.25">
      <c r="A868" s="40">
        <f t="shared" si="135"/>
        <v>64.229676878151835</v>
      </c>
      <c r="B868" s="40">
        <f t="shared" si="135"/>
        <v>32.933286051621081</v>
      </c>
      <c r="C868" s="41">
        <f t="shared" si="130"/>
        <v>0.49289226185293716</v>
      </c>
      <c r="D868" s="41">
        <f t="shared" si="131"/>
        <v>0.98069361229543572</v>
      </c>
      <c r="E868" s="39">
        <f>IF(_xlfn.NORM.INV(R868,C868,'Regressão Grupo 2'!$B$7)&lt;=0,0,IF(_xlfn.NORM.INV(R868,C868,'Regressão Grupo 2'!$B$7)&gt;100%,100%,_xlfn.NORM.INV(R868,C868,'Regressão Grupo 2'!$B$7)))</f>
        <v>0.50324177813767035</v>
      </c>
      <c r="F868" s="39">
        <f>IF(_xlfn.NORM.INV(S868,D868,'Regressão Grupo 2'!$B$7)&lt;=0,0,IF(_xlfn.NORM.INV(S868,D868,'Regressão Grupo 2'!$B$7)&gt;100%,100%,_xlfn.NORM.INV(S868,D868,'Regressão Grupo 2'!$B$7)))</f>
        <v>1</v>
      </c>
      <c r="G868" s="41">
        <v>1.9746458689772598E-2</v>
      </c>
      <c r="H868" s="41">
        <v>1.8455299901744982E-2</v>
      </c>
      <c r="I868" s="40">
        <f t="shared" si="132"/>
        <v>198.65863027149513</v>
      </c>
      <c r="J868" s="40">
        <f t="shared" si="132"/>
        <v>0</v>
      </c>
      <c r="K868" s="36">
        <v>0.29245363742307662</v>
      </c>
      <c r="L868" s="42">
        <f t="shared" si="137"/>
        <v>19991.322604477216</v>
      </c>
      <c r="M868" s="42">
        <f t="shared" si="137"/>
        <v>0</v>
      </c>
      <c r="N868" s="42">
        <f t="shared" si="133"/>
        <v>5846.5350125775358</v>
      </c>
      <c r="O868" s="36">
        <v>8.980062263711865</v>
      </c>
      <c r="P868" s="42">
        <f t="shared" si="134"/>
        <v>5129.2777497550896</v>
      </c>
      <c r="Q868" s="42"/>
      <c r="R868">
        <v>0.5298318430127873</v>
      </c>
      <c r="S868">
        <v>0.58064516129032262</v>
      </c>
    </row>
    <row r="869" spans="1:19" x14ac:dyDescent="0.25">
      <c r="A869" s="40">
        <f t="shared" si="135"/>
        <v>64.229676878151835</v>
      </c>
      <c r="B869" s="40">
        <f t="shared" si="135"/>
        <v>32.933286051621081</v>
      </c>
      <c r="C869" s="41">
        <f t="shared" si="130"/>
        <v>0.49289226185293716</v>
      </c>
      <c r="D869" s="41">
        <f t="shared" si="131"/>
        <v>0.98069361229543572</v>
      </c>
      <c r="E869" s="39">
        <f>IF(_xlfn.NORM.INV(R869,C869,'Regressão Grupo 2'!$B$7)&lt;=0,0,IF(_xlfn.NORM.INV(R869,C869,'Regressão Grupo 2'!$B$7)&gt;100%,100%,_xlfn.NORM.INV(R869,C869,'Regressão Grupo 2'!$B$7)))</f>
        <v>0.58411926047855078</v>
      </c>
      <c r="F869" s="39">
        <f>IF(_xlfn.NORM.INV(S869,D869,'Regressão Grupo 2'!$B$7)&lt;=0,0,IF(_xlfn.NORM.INV(S869,D869,'Regressão Grupo 2'!$B$7)&gt;100%,100%,_xlfn.NORM.INV(S869,D869,'Regressão Grupo 2'!$B$7)))</f>
        <v>0.81119889676571666</v>
      </c>
      <c r="G869" s="41">
        <v>1.8640927640851523E-2</v>
      </c>
      <c r="H869" s="41">
        <v>2.4288668331697589E-2</v>
      </c>
      <c r="I869" s="40">
        <f t="shared" si="132"/>
        <v>217.67601332722626</v>
      </c>
      <c r="J869" s="40">
        <f t="shared" si="132"/>
        <v>0</v>
      </c>
      <c r="K869" s="36">
        <v>0.3118513392122777</v>
      </c>
      <c r="L869" s="42">
        <f t="shared" si="137"/>
        <v>19991.322604477216</v>
      </c>
      <c r="M869" s="42">
        <f t="shared" si="137"/>
        <v>0</v>
      </c>
      <c r="N869" s="42">
        <f t="shared" si="133"/>
        <v>6234.3207268308997</v>
      </c>
      <c r="O869" s="36">
        <v>5.086243903212222</v>
      </c>
      <c r="P869" s="42">
        <f t="shared" si="134"/>
        <v>6639.7859776399691</v>
      </c>
      <c r="Q869" s="42"/>
      <c r="R869">
        <v>0.74529251991332746</v>
      </c>
      <c r="S869">
        <v>0.11014130069887387</v>
      </c>
    </row>
    <row r="870" spans="1:19" x14ac:dyDescent="0.25">
      <c r="A870" s="40">
        <f t="shared" si="135"/>
        <v>64.229676878151835</v>
      </c>
      <c r="B870" s="40">
        <f t="shared" si="135"/>
        <v>32.933286051621081</v>
      </c>
      <c r="C870" s="41">
        <f t="shared" si="130"/>
        <v>0.49289226185293716</v>
      </c>
      <c r="D870" s="41">
        <f t="shared" si="131"/>
        <v>0.98069361229543572</v>
      </c>
      <c r="E870" s="39">
        <f>IF(_xlfn.NORM.INV(R870,C870,'Regressão Grupo 2'!$B$7)&lt;=0,0,IF(_xlfn.NORM.INV(R870,C870,'Regressão Grupo 2'!$B$7)&gt;100%,100%,_xlfn.NORM.INV(R870,C870,'Regressão Grupo 2'!$B$7)))</f>
        <v>0.49599712557622205</v>
      </c>
      <c r="F870" s="39">
        <f>IF(_xlfn.NORM.INV(S870,D870,'Regressão Grupo 2'!$B$7)&lt;=0,0,IF(_xlfn.NORM.INV(S870,D870,'Regressão Grupo 2'!$B$7)&gt;100%,100%,_xlfn.NORM.INV(S870,D870,'Regressão Grupo 2'!$B$7)))</f>
        <v>0.82016687347461747</v>
      </c>
      <c r="G870" s="41">
        <v>1.4879642659634195E-2</v>
      </c>
      <c r="H870" s="41">
        <v>2.4600936197266797E-2</v>
      </c>
      <c r="I870" s="40">
        <f t="shared" si="132"/>
        <v>147.54115834061423</v>
      </c>
      <c r="J870" s="40">
        <f t="shared" si="132"/>
        <v>0</v>
      </c>
      <c r="K870" s="36">
        <v>0.14975990825497429</v>
      </c>
      <c r="L870" s="42">
        <f t="shared" si="137"/>
        <v>19991.322604477216</v>
      </c>
      <c r="M870" s="42">
        <f t="shared" si="137"/>
        <v>0</v>
      </c>
      <c r="N870" s="42">
        <f t="shared" si="133"/>
        <v>2993.8986391421017</v>
      </c>
      <c r="O870" s="36">
        <v>2.6908178897261905</v>
      </c>
      <c r="P870" s="42">
        <f t="shared" si="134"/>
        <v>6085.6158989699361</v>
      </c>
      <c r="Q870" s="42"/>
      <c r="R870">
        <v>0.50895718253120514</v>
      </c>
      <c r="S870">
        <v>0.1228370006408887</v>
      </c>
    </row>
    <row r="871" spans="1:19" x14ac:dyDescent="0.25">
      <c r="A871" s="40">
        <f t="shared" si="135"/>
        <v>64.229676878151835</v>
      </c>
      <c r="B871" s="40">
        <f t="shared" si="135"/>
        <v>32.933286051621081</v>
      </c>
      <c r="C871" s="41">
        <f t="shared" si="130"/>
        <v>0.49289226185293716</v>
      </c>
      <c r="D871" s="41">
        <f t="shared" si="131"/>
        <v>0.98069361229543572</v>
      </c>
      <c r="E871" s="39">
        <f>IF(_xlfn.NORM.INV(R871,C871,'Regressão Grupo 2'!$B$7)&lt;=0,0,IF(_xlfn.NORM.INV(R871,C871,'Regressão Grupo 2'!$B$7)&gt;100%,100%,_xlfn.NORM.INV(R871,C871,'Regressão Grupo 2'!$B$7)))</f>
        <v>0.48546832573035248</v>
      </c>
      <c r="F871" s="39">
        <f>IF(_xlfn.NORM.INV(S871,D871,'Regressão Grupo 2'!$B$7)&lt;=0,0,IF(_xlfn.NORM.INV(S871,D871,'Regressão Grupo 2'!$B$7)&gt;100%,100%,_xlfn.NORM.INV(S871,D871,'Regressão Grupo 2'!$B$7)))</f>
        <v>0.95770291394344564</v>
      </c>
      <c r="G871" s="41">
        <v>1.4821060507664029E-2</v>
      </c>
      <c r="H871" s="41">
        <v>1.0908908530899908E-2</v>
      </c>
      <c r="I871" s="40">
        <f t="shared" si="132"/>
        <v>143.84067339456232</v>
      </c>
      <c r="J871" s="40">
        <f t="shared" si="132"/>
        <v>0</v>
      </c>
      <c r="K871" s="36">
        <v>0.30276663562447609</v>
      </c>
      <c r="L871" s="42">
        <f t="shared" ref="L871:M886" si="138">L870</f>
        <v>19991.322604477216</v>
      </c>
      <c r="M871" s="42">
        <f t="shared" si="138"/>
        <v>0</v>
      </c>
      <c r="N871" s="42">
        <f t="shared" si="133"/>
        <v>6052.7054866411054</v>
      </c>
      <c r="O871" s="36">
        <v>6.276378682867997</v>
      </c>
      <c r="P871" s="42">
        <f t="shared" si="134"/>
        <v>2283.3359512043953</v>
      </c>
      <c r="Q871" s="42"/>
      <c r="R871">
        <v>0.47859126560258797</v>
      </c>
      <c r="S871">
        <v>0.43397320474868006</v>
      </c>
    </row>
    <row r="872" spans="1:19" x14ac:dyDescent="0.25">
      <c r="A872" s="40">
        <f t="shared" si="135"/>
        <v>64.229676878151835</v>
      </c>
      <c r="B872" s="40">
        <f t="shared" si="135"/>
        <v>32.933286051621081</v>
      </c>
      <c r="C872" s="41">
        <f t="shared" si="130"/>
        <v>0.49289226185293716</v>
      </c>
      <c r="D872" s="41">
        <f t="shared" si="131"/>
        <v>0.98069361229543572</v>
      </c>
      <c r="E872" s="39">
        <f>IF(_xlfn.NORM.INV(R872,C872,'Regressão Grupo 2'!$B$7)&lt;=0,0,IF(_xlfn.NORM.INV(R872,C872,'Regressão Grupo 2'!$B$7)&gt;100%,100%,_xlfn.NORM.INV(R872,C872,'Regressão Grupo 2'!$B$7)))</f>
        <v>0.35295615447788509</v>
      </c>
      <c r="F872" s="39">
        <f>IF(_xlfn.NORM.INV(S872,D872,'Regressão Grupo 2'!$B$7)&lt;=0,0,IF(_xlfn.NORM.INV(S872,D872,'Regressão Grupo 2'!$B$7)&gt;100%,100%,_xlfn.NORM.INV(S872,D872,'Regressão Grupo 2'!$B$7)))</f>
        <v>1</v>
      </c>
      <c r="G872" s="41">
        <v>1.8477248971457375E-2</v>
      </c>
      <c r="H872" s="41">
        <v>1.5050813913990558E-2</v>
      </c>
      <c r="I872" s="40">
        <f t="shared" si="132"/>
        <v>130.37658383354952</v>
      </c>
      <c r="J872" s="40">
        <f t="shared" si="132"/>
        <v>0</v>
      </c>
      <c r="K872" s="36">
        <v>0.45329156587618957</v>
      </c>
      <c r="L872" s="42">
        <f t="shared" si="138"/>
        <v>19991.322604477216</v>
      </c>
      <c r="M872" s="42">
        <f t="shared" si="138"/>
        <v>0</v>
      </c>
      <c r="N872" s="42">
        <f t="shared" si="133"/>
        <v>9061.8979273195419</v>
      </c>
      <c r="O872" s="36">
        <v>8.5643716074766747</v>
      </c>
      <c r="P872" s="42">
        <f t="shared" si="134"/>
        <v>-1804.4455880772366</v>
      </c>
      <c r="Q872" s="42"/>
      <c r="R872">
        <v>0.15576647236548968</v>
      </c>
      <c r="S872">
        <v>0.75914792321543012</v>
      </c>
    </row>
    <row r="873" spans="1:19" x14ac:dyDescent="0.25">
      <c r="A873" s="40">
        <f t="shared" si="135"/>
        <v>64.229676878151835</v>
      </c>
      <c r="B873" s="40">
        <f t="shared" si="135"/>
        <v>32.933286051621081</v>
      </c>
      <c r="C873" s="41">
        <f t="shared" si="130"/>
        <v>0.49289226185293716</v>
      </c>
      <c r="D873" s="41">
        <f t="shared" si="131"/>
        <v>0.98069361229543572</v>
      </c>
      <c r="E873" s="39">
        <f>IF(_xlfn.NORM.INV(R873,C873,'Regressão Grupo 2'!$B$7)&lt;=0,0,IF(_xlfn.NORM.INV(R873,C873,'Regressão Grupo 2'!$B$7)&gt;100%,100%,_xlfn.NORM.INV(R873,C873,'Regressão Grupo 2'!$B$7)))</f>
        <v>0.50841609126594911</v>
      </c>
      <c r="F873" s="39">
        <f>IF(_xlfn.NORM.INV(S873,D873,'Regressão Grupo 2'!$B$7)&lt;=0,0,IF(_xlfn.NORM.INV(S873,D873,'Regressão Grupo 2'!$B$7)&gt;100%,100%,_xlfn.NORM.INV(S873,D873,'Regressão Grupo 2'!$B$7)))</f>
        <v>0.86209637736339373</v>
      </c>
      <c r="G873" s="41">
        <v>1.9272047434184321E-2</v>
      </c>
      <c r="H873" s="41">
        <v>1.6765464689513995E-2</v>
      </c>
      <c r="I873" s="40">
        <f t="shared" si="132"/>
        <v>195.87935752168141</v>
      </c>
      <c r="J873" s="40">
        <f t="shared" si="132"/>
        <v>0</v>
      </c>
      <c r="K873" s="36">
        <v>0.1848040375054259</v>
      </c>
      <c r="L873" s="42">
        <f t="shared" si="138"/>
        <v>19991.322604477216</v>
      </c>
      <c r="M873" s="42">
        <f t="shared" si="138"/>
        <v>0</v>
      </c>
      <c r="N873" s="42">
        <f t="shared" si="133"/>
        <v>3694.4771323808759</v>
      </c>
      <c r="O873" s="36">
        <v>3.1458124014358591</v>
      </c>
      <c r="P873" s="42">
        <f t="shared" si="134"/>
        <v>8270.590996259707</v>
      </c>
      <c r="Q873" s="42"/>
      <c r="R873">
        <v>0.54469435712759784</v>
      </c>
      <c r="S873">
        <v>0.195532090212714</v>
      </c>
    </row>
    <row r="874" spans="1:19" x14ac:dyDescent="0.25">
      <c r="A874" s="40">
        <f t="shared" si="135"/>
        <v>64.229676878151835</v>
      </c>
      <c r="B874" s="40">
        <f t="shared" si="135"/>
        <v>32.933286051621081</v>
      </c>
      <c r="C874" s="41">
        <f t="shared" si="130"/>
        <v>0.49289226185293716</v>
      </c>
      <c r="D874" s="41">
        <f t="shared" si="131"/>
        <v>0.98069361229543572</v>
      </c>
      <c r="E874" s="39">
        <f>IF(_xlfn.NORM.INV(R874,C874,'Regressão Grupo 2'!$B$7)&lt;=0,0,IF(_xlfn.NORM.INV(R874,C874,'Regressão Grupo 2'!$B$7)&gt;100%,100%,_xlfn.NORM.INV(R874,C874,'Regressão Grupo 2'!$B$7)))</f>
        <v>0.43476541212715686</v>
      </c>
      <c r="F874" s="39">
        <f>IF(_xlfn.NORM.INV(S874,D874,'Regressão Grupo 2'!$B$7)&lt;=0,0,IF(_xlfn.NORM.INV(S874,D874,'Regressão Grupo 2'!$B$7)&gt;100%,100%,_xlfn.NORM.INV(S874,D874,'Regressão Grupo 2'!$B$7)))</f>
        <v>1</v>
      </c>
      <c r="G874" s="41">
        <v>2.1212722959674482E-2</v>
      </c>
      <c r="H874" s="41">
        <v>2.0136633845024319E-2</v>
      </c>
      <c r="I874" s="40">
        <f t="shared" si="132"/>
        <v>184.37113701246204</v>
      </c>
      <c r="J874" s="40">
        <f t="shared" si="132"/>
        <v>0</v>
      </c>
      <c r="K874" s="36">
        <v>0.44736119771632932</v>
      </c>
      <c r="L874" s="42">
        <f t="shared" si="138"/>
        <v>19991.322604477216</v>
      </c>
      <c r="M874" s="42">
        <f t="shared" si="138"/>
        <v>0</v>
      </c>
      <c r="N874" s="42">
        <f t="shared" si="133"/>
        <v>8943.3420242724551</v>
      </c>
      <c r="O874" s="36">
        <v>9.8201467870425674</v>
      </c>
      <c r="P874" s="42">
        <f t="shared" si="134"/>
        <v>1088.2049029391292</v>
      </c>
      <c r="Q874" s="42"/>
      <c r="R874">
        <v>0.33710745567186501</v>
      </c>
      <c r="S874">
        <v>0.78002258369701227</v>
      </c>
    </row>
    <row r="875" spans="1:19" x14ac:dyDescent="0.25">
      <c r="A875" s="40">
        <f t="shared" si="135"/>
        <v>64.229676878151835</v>
      </c>
      <c r="B875" s="40">
        <f t="shared" si="135"/>
        <v>32.933286051621081</v>
      </c>
      <c r="C875" s="41">
        <f t="shared" si="130"/>
        <v>0.49289226185293716</v>
      </c>
      <c r="D875" s="41">
        <f t="shared" si="131"/>
        <v>0.98069361229543572</v>
      </c>
      <c r="E875" s="39">
        <f>IF(_xlfn.NORM.INV(R875,C875,'Regressão Grupo 2'!$B$7)&lt;=0,0,IF(_xlfn.NORM.INV(R875,C875,'Regressão Grupo 2'!$B$7)&gt;100%,100%,_xlfn.NORM.INV(R875,C875,'Regressão Grupo 2'!$B$7)))</f>
        <v>0.66908685014977221</v>
      </c>
      <c r="F875" s="39">
        <f>IF(_xlfn.NORM.INV(S875,D875,'Regressão Grupo 2'!$B$7)&lt;=0,0,IF(_xlfn.NORM.INV(S875,D875,'Regressão Grupo 2'!$B$7)&gt;100%,100%,_xlfn.NORM.INV(S875,D875,'Regressão Grupo 2'!$B$7)))</f>
        <v>0.99794314197240275</v>
      </c>
      <c r="G875" s="41">
        <v>2.0482977871037034E-2</v>
      </c>
      <c r="H875" s="41">
        <v>2.4313182368707789E-2</v>
      </c>
      <c r="I875" s="40">
        <f t="shared" si="132"/>
        <v>273.97890014732764</v>
      </c>
      <c r="J875" s="40">
        <f t="shared" si="132"/>
        <v>0</v>
      </c>
      <c r="K875" s="36">
        <v>0.20926874721827987</v>
      </c>
      <c r="L875" s="42">
        <f t="shared" si="138"/>
        <v>19991.322604477216</v>
      </c>
      <c r="M875" s="42">
        <f t="shared" si="138"/>
        <v>0</v>
      </c>
      <c r="N875" s="42">
        <f t="shared" si="133"/>
        <v>4183.5590366754268</v>
      </c>
      <c r="O875" s="36">
        <v>6.2723588014827065</v>
      </c>
      <c r="P875" s="42">
        <f t="shared" si="134"/>
        <v>11695.523225459212</v>
      </c>
      <c r="Q875" s="42"/>
      <c r="R875">
        <v>0.89870906704916531</v>
      </c>
      <c r="S875">
        <v>0.54963835566270947</v>
      </c>
    </row>
    <row r="876" spans="1:19" x14ac:dyDescent="0.25">
      <c r="A876" s="40">
        <f t="shared" si="135"/>
        <v>64.229676878151835</v>
      </c>
      <c r="B876" s="40">
        <f t="shared" si="135"/>
        <v>32.933286051621081</v>
      </c>
      <c r="C876" s="41">
        <f t="shared" si="130"/>
        <v>0.49289226185293716</v>
      </c>
      <c r="D876" s="41">
        <f t="shared" si="131"/>
        <v>0.98069361229543572</v>
      </c>
      <c r="E876" s="39">
        <f>IF(_xlfn.NORM.INV(R876,C876,'Regressão Grupo 2'!$B$7)&lt;=0,0,IF(_xlfn.NORM.INV(R876,C876,'Regressão Grupo 2'!$B$7)&gt;100%,100%,_xlfn.NORM.INV(R876,C876,'Regressão Grupo 2'!$B$7)))</f>
        <v>0.229461123185976</v>
      </c>
      <c r="F876" s="39">
        <f>IF(_xlfn.NORM.INV(S876,D876,'Regressão Grupo 2'!$B$7)&lt;=0,0,IF(_xlfn.NORM.INV(S876,D876,'Regressão Grupo 2'!$B$7)&gt;100%,100%,_xlfn.NORM.INV(S876,D876,'Regressão Grupo 2'!$B$7)))</f>
        <v>0.95960985260868326</v>
      </c>
      <c r="G876" s="41">
        <v>1.4002456909260497E-2</v>
      </c>
      <c r="H876" s="41">
        <v>2.5159396916950703E-2</v>
      </c>
      <c r="I876" s="40">
        <f t="shared" si="132"/>
        <v>64.232509154307792</v>
      </c>
      <c r="J876" s="40">
        <f t="shared" si="132"/>
        <v>0</v>
      </c>
      <c r="K876" s="36">
        <v>0.30049138830123701</v>
      </c>
      <c r="L876" s="42">
        <f t="shared" si="138"/>
        <v>19991.322604477216</v>
      </c>
      <c r="M876" s="42">
        <f t="shared" si="138"/>
        <v>0</v>
      </c>
      <c r="N876" s="42">
        <f t="shared" si="133"/>
        <v>6007.2202833972597</v>
      </c>
      <c r="O876" s="36">
        <v>8.6375180926334529</v>
      </c>
      <c r="P876" s="42">
        <f t="shared" si="134"/>
        <v>-2436.3964352987182</v>
      </c>
      <c r="Q876" s="42"/>
      <c r="R876">
        <v>2.8382213812677391E-2</v>
      </c>
      <c r="S876">
        <v>0.43940549943540758</v>
      </c>
    </row>
    <row r="877" spans="1:19" x14ac:dyDescent="0.25">
      <c r="A877" s="40">
        <f t="shared" si="135"/>
        <v>64.229676878151835</v>
      </c>
      <c r="B877" s="40">
        <f t="shared" si="135"/>
        <v>32.933286051621081</v>
      </c>
      <c r="C877" s="41">
        <f t="shared" si="130"/>
        <v>0.49289226185293716</v>
      </c>
      <c r="D877" s="41">
        <f t="shared" si="131"/>
        <v>0.98069361229543572</v>
      </c>
      <c r="E877" s="39">
        <f>IF(_xlfn.NORM.INV(R877,C877,'Regressão Grupo 2'!$B$7)&lt;=0,0,IF(_xlfn.NORM.INV(R877,C877,'Regressão Grupo 2'!$B$7)&gt;100%,100%,_xlfn.NORM.INV(R877,C877,'Regressão Grupo 2'!$B$7)))</f>
        <v>0.58112917800578678</v>
      </c>
      <c r="F877" s="39">
        <f>IF(_xlfn.NORM.INV(S877,D877,'Regressão Grupo 2'!$B$7)&lt;=0,0,IF(_xlfn.NORM.INV(S877,D877,'Regressão Grupo 2'!$B$7)&gt;100%,100%,_xlfn.NORM.INV(S877,D877,'Regressão Grupo 2'!$B$7)))</f>
        <v>0.98928306908335195</v>
      </c>
      <c r="G877" s="41">
        <v>6.5789153650408893E-3</v>
      </c>
      <c r="H877" s="41">
        <v>2.156478276933272E-2</v>
      </c>
      <c r="I877" s="40">
        <f t="shared" si="132"/>
        <v>76.430818149346251</v>
      </c>
      <c r="J877" s="40">
        <f t="shared" si="132"/>
        <v>0</v>
      </c>
      <c r="K877" s="36">
        <v>0.37502435921552651</v>
      </c>
      <c r="L877" s="42">
        <f t="shared" si="138"/>
        <v>19991.322604477216</v>
      </c>
      <c r="M877" s="42">
        <f t="shared" si="138"/>
        <v>0</v>
      </c>
      <c r="N877" s="42">
        <f t="shared" si="133"/>
        <v>7497.2329496149387</v>
      </c>
      <c r="O877" s="36">
        <v>7.237574991232135</v>
      </c>
      <c r="P877" s="42">
        <f t="shared" si="134"/>
        <v>-3141.2799743467658</v>
      </c>
      <c r="Q877" s="42"/>
      <c r="R877">
        <v>0.73830378124332408</v>
      </c>
      <c r="S877">
        <v>0.52476577043977168</v>
      </c>
    </row>
    <row r="878" spans="1:19" x14ac:dyDescent="0.25">
      <c r="A878" s="40">
        <f t="shared" si="135"/>
        <v>64.229676878151835</v>
      </c>
      <c r="B878" s="40">
        <f t="shared" si="135"/>
        <v>32.933286051621081</v>
      </c>
      <c r="C878" s="41">
        <f t="shared" si="130"/>
        <v>0.49289226185293716</v>
      </c>
      <c r="D878" s="41">
        <f t="shared" si="131"/>
        <v>0.98069361229543572</v>
      </c>
      <c r="E878" s="39">
        <f>IF(_xlfn.NORM.INV(R878,C878,'Regressão Grupo 2'!$B$7)&lt;=0,0,IF(_xlfn.NORM.INV(R878,C878,'Regressão Grupo 2'!$B$7)&gt;100%,100%,_xlfn.NORM.INV(R878,C878,'Regressão Grupo 2'!$B$7)))</f>
        <v>0.59946441045918131</v>
      </c>
      <c r="F878" s="39">
        <f>IF(_xlfn.NORM.INV(S878,D878,'Regressão Grupo 2'!$B$7)&lt;=0,0,IF(_xlfn.NORM.INV(S878,D878,'Regressão Grupo 2'!$B$7)&gt;100%,100%,_xlfn.NORM.INV(S878,D878,'Regressão Grupo 2'!$B$7)))</f>
        <v>1</v>
      </c>
      <c r="G878" s="41">
        <v>2.643072751958768E-2</v>
      </c>
      <c r="H878" s="41">
        <v>1.4399945549067228E-2</v>
      </c>
      <c r="I878" s="40">
        <f t="shared" si="132"/>
        <v>316.74812272214746</v>
      </c>
      <c r="J878" s="40">
        <f t="shared" si="132"/>
        <v>0</v>
      </c>
      <c r="K878" s="36">
        <v>0.24328403416115701</v>
      </c>
      <c r="L878" s="42">
        <f t="shared" si="138"/>
        <v>19991.322604477216</v>
      </c>
      <c r="M878" s="42">
        <f t="shared" si="138"/>
        <v>0</v>
      </c>
      <c r="N878" s="42">
        <f t="shared" si="133"/>
        <v>4863.5696114343455</v>
      </c>
      <c r="O878" s="36">
        <v>4.466286540758877</v>
      </c>
      <c r="P878" s="42">
        <f t="shared" si="134"/>
        <v>14066.372085445801</v>
      </c>
      <c r="Q878" s="42"/>
      <c r="R878">
        <v>0.77956480605487233</v>
      </c>
      <c r="S878">
        <v>0.68181402020325332</v>
      </c>
    </row>
    <row r="879" spans="1:19" x14ac:dyDescent="0.25">
      <c r="A879" s="40">
        <f t="shared" si="135"/>
        <v>64.229676878151835</v>
      </c>
      <c r="B879" s="40">
        <f t="shared" si="135"/>
        <v>32.933286051621081</v>
      </c>
      <c r="C879" s="41">
        <f t="shared" si="130"/>
        <v>0.49289226185293716</v>
      </c>
      <c r="D879" s="41">
        <f t="shared" si="131"/>
        <v>0.98069361229543572</v>
      </c>
      <c r="E879" s="39">
        <f>IF(_xlfn.NORM.INV(R879,C879,'Regressão Grupo 2'!$B$7)&lt;=0,0,IF(_xlfn.NORM.INV(R879,C879,'Regressão Grupo 2'!$B$7)&gt;100%,100%,_xlfn.NORM.INV(R879,C879,'Regressão Grupo 2'!$B$7)))</f>
        <v>0.71682261259325331</v>
      </c>
      <c r="F879" s="39">
        <f>IF(_xlfn.NORM.INV(S879,D879,'Regressão Grupo 2'!$B$7)&lt;=0,0,IF(_xlfn.NORM.INV(S879,D879,'Regressão Grupo 2'!$B$7)&gt;100%,100%,_xlfn.NORM.INV(S879,D879,'Regressão Grupo 2'!$B$7)))</f>
        <v>1</v>
      </c>
      <c r="G879" s="41">
        <v>2.2121459848401536E-2</v>
      </c>
      <c r="H879" s="41">
        <v>2.6487425538170146E-2</v>
      </c>
      <c r="I879" s="40">
        <f t="shared" si="132"/>
        <v>317.00565398603726</v>
      </c>
      <c r="J879" s="40">
        <f t="shared" si="132"/>
        <v>0</v>
      </c>
      <c r="K879" s="36">
        <v>0.33948774502204537</v>
      </c>
      <c r="L879" s="42">
        <f t="shared" si="138"/>
        <v>19991.322604477216</v>
      </c>
      <c r="M879" s="42">
        <f t="shared" si="138"/>
        <v>0</v>
      </c>
      <c r="N879" s="42">
        <f t="shared" si="133"/>
        <v>6786.8090310022135</v>
      </c>
      <c r="O879" s="36">
        <v>7.9049092510382719</v>
      </c>
      <c r="P879" s="42">
        <f t="shared" si="134"/>
        <v>11068.460766242504</v>
      </c>
      <c r="Q879" s="42"/>
      <c r="R879">
        <v>0.9473250526444289</v>
      </c>
      <c r="S879">
        <v>0.81749931333353676</v>
      </c>
    </row>
    <row r="880" spans="1:19" x14ac:dyDescent="0.25">
      <c r="A880" s="40">
        <f t="shared" si="135"/>
        <v>64.229676878151835</v>
      </c>
      <c r="B880" s="40">
        <f t="shared" si="135"/>
        <v>32.933286051621081</v>
      </c>
      <c r="C880" s="41">
        <f t="shared" si="130"/>
        <v>0.49289226185293716</v>
      </c>
      <c r="D880" s="41">
        <f t="shared" si="131"/>
        <v>0.98069361229543572</v>
      </c>
      <c r="E880" s="39">
        <f>IF(_xlfn.NORM.INV(R880,C880,'Regressão Grupo 2'!$B$7)&lt;=0,0,IF(_xlfn.NORM.INV(R880,C880,'Regressão Grupo 2'!$B$7)&gt;100%,100%,_xlfn.NORM.INV(R880,C880,'Regressão Grupo 2'!$B$7)))</f>
        <v>0.72933031048135133</v>
      </c>
      <c r="F880" s="39">
        <f>IF(_xlfn.NORM.INV(S880,D880,'Regressão Grupo 2'!$B$7)&lt;=0,0,IF(_xlfn.NORM.INV(S880,D880,'Regressão Grupo 2'!$B$7)&gt;100%,100%,_xlfn.NORM.INV(S880,D880,'Regressão Grupo 2'!$B$7)))</f>
        <v>0.99570659920325122</v>
      </c>
      <c r="G880" s="41">
        <v>1.0917227349673339E-2</v>
      </c>
      <c r="H880" s="41">
        <v>1.4221050369807621E-2</v>
      </c>
      <c r="I880" s="40">
        <f t="shared" si="132"/>
        <v>159.17620452961964</v>
      </c>
      <c r="J880" s="40">
        <f t="shared" si="132"/>
        <v>0</v>
      </c>
      <c r="K880" s="36">
        <v>0.2667876265595025</v>
      </c>
      <c r="L880" s="42">
        <f t="shared" si="138"/>
        <v>19991.322604477216</v>
      </c>
      <c r="M880" s="42">
        <f t="shared" si="138"/>
        <v>0</v>
      </c>
      <c r="N880" s="42">
        <f t="shared" si="133"/>
        <v>5333.4375094338084</v>
      </c>
      <c r="O880" s="36">
        <v>7.2067693610200525</v>
      </c>
      <c r="P880" s="42">
        <f t="shared" si="134"/>
        <v>3743.2524803867454</v>
      </c>
      <c r="Q880" s="42"/>
      <c r="R880">
        <v>0.95635853144932403</v>
      </c>
      <c r="S880">
        <v>0.54322946867275002</v>
      </c>
    </row>
    <row r="881" spans="1:19" x14ac:dyDescent="0.25">
      <c r="A881" s="40">
        <f t="shared" si="135"/>
        <v>64.229676878151835</v>
      </c>
      <c r="B881" s="40">
        <f t="shared" si="135"/>
        <v>32.933286051621081</v>
      </c>
      <c r="C881" s="41">
        <f t="shared" si="130"/>
        <v>0.49289226185293716</v>
      </c>
      <c r="D881" s="41">
        <f t="shared" si="131"/>
        <v>0.98069361229543572</v>
      </c>
      <c r="E881" s="39">
        <f>IF(_xlfn.NORM.INV(R881,C881,'Regressão Grupo 2'!$B$7)&lt;=0,0,IF(_xlfn.NORM.INV(R881,C881,'Regressão Grupo 2'!$B$7)&gt;100%,100%,_xlfn.NORM.INV(R881,C881,'Regressão Grupo 2'!$B$7)))</f>
        <v>0.49905590766917174</v>
      </c>
      <c r="F881" s="39">
        <f>IF(_xlfn.NORM.INV(S881,D881,'Regressão Grupo 2'!$B$7)&lt;=0,0,IF(_xlfn.NORM.INV(S881,D881,'Regressão Grupo 2'!$B$7)&gt;100%,100%,_xlfn.NORM.INV(S881,D881,'Regressão Grupo 2'!$B$7)))</f>
        <v>1</v>
      </c>
      <c r="G881" s="41">
        <v>2.4092799248091962E-2</v>
      </c>
      <c r="H881" s="41">
        <v>1.1788638947236529E-2</v>
      </c>
      <c r="I881" s="40">
        <f t="shared" si="132"/>
        <v>240.36874194132747</v>
      </c>
      <c r="J881" s="40">
        <f t="shared" si="132"/>
        <v>0</v>
      </c>
      <c r="K881" s="36">
        <v>0.33841947851583193</v>
      </c>
      <c r="L881" s="42">
        <f t="shared" si="138"/>
        <v>19991.322604477216</v>
      </c>
      <c r="M881" s="42">
        <f t="shared" si="138"/>
        <v>0</v>
      </c>
      <c r="N881" s="42">
        <f t="shared" si="133"/>
        <v>6765.4529706489429</v>
      </c>
      <c r="O881" s="36">
        <v>6.233352070514008</v>
      </c>
      <c r="P881" s="42">
        <f t="shared" si="134"/>
        <v>7175.0506605835635</v>
      </c>
      <c r="Q881" s="42"/>
      <c r="R881">
        <v>0.51777703176976841</v>
      </c>
      <c r="S881">
        <v>0.65160069582201607</v>
      </c>
    </row>
    <row r="882" spans="1:19" x14ac:dyDescent="0.25">
      <c r="A882" s="40">
        <f t="shared" si="135"/>
        <v>64.229676878151835</v>
      </c>
      <c r="B882" s="40">
        <f t="shared" si="135"/>
        <v>32.933286051621081</v>
      </c>
      <c r="C882" s="41">
        <f t="shared" si="130"/>
        <v>0.49289226185293716</v>
      </c>
      <c r="D882" s="41">
        <f t="shared" si="131"/>
        <v>0.98069361229543572</v>
      </c>
      <c r="E882" s="39">
        <f>IF(_xlfn.NORM.INV(R882,C882,'Regressão Grupo 2'!$B$7)&lt;=0,0,IF(_xlfn.NORM.INV(R882,C882,'Regressão Grupo 2'!$B$7)&gt;100%,100%,_xlfn.NORM.INV(R882,C882,'Regressão Grupo 2'!$B$7)))</f>
        <v>0.60358341832554452</v>
      </c>
      <c r="F882" s="39">
        <f>IF(_xlfn.NORM.INV(S882,D882,'Regressão Grupo 2'!$B$7)&lt;=0,0,IF(_xlfn.NORM.INV(S882,D882,'Regressão Grupo 2'!$B$7)&gt;100%,100%,_xlfn.NORM.INV(S882,D882,'Regressão Grupo 2'!$B$7)))</f>
        <v>0.82649344260687696</v>
      </c>
      <c r="G882" s="41">
        <v>1.1596470495646095E-2</v>
      </c>
      <c r="H882" s="41">
        <v>2.8005780527027874E-2</v>
      </c>
      <c r="I882" s="40">
        <f t="shared" si="132"/>
        <v>139.92800915955908</v>
      </c>
      <c r="J882" s="40">
        <f t="shared" si="132"/>
        <v>0</v>
      </c>
      <c r="K882" s="36">
        <v>0.19441733313984891</v>
      </c>
      <c r="L882" s="42">
        <f t="shared" si="138"/>
        <v>19991.322604477216</v>
      </c>
      <c r="M882" s="42">
        <f t="shared" si="138"/>
        <v>0</v>
      </c>
      <c r="N882" s="42">
        <f t="shared" si="133"/>
        <v>3886.659626700839</v>
      </c>
      <c r="O882" s="36">
        <v>7.9699720309386972</v>
      </c>
      <c r="P882" s="42">
        <f t="shared" si="134"/>
        <v>3985.6488684740907</v>
      </c>
      <c r="Q882" s="42"/>
      <c r="R882">
        <v>0.7882930997650075</v>
      </c>
      <c r="S882">
        <v>0.13238929410687583</v>
      </c>
    </row>
    <row r="883" spans="1:19" x14ac:dyDescent="0.25">
      <c r="A883" s="40">
        <f t="shared" si="135"/>
        <v>64.229676878151835</v>
      </c>
      <c r="B883" s="40">
        <f t="shared" si="135"/>
        <v>32.933286051621081</v>
      </c>
      <c r="C883" s="41">
        <f t="shared" si="130"/>
        <v>0.49289226185293716</v>
      </c>
      <c r="D883" s="41">
        <f t="shared" si="131"/>
        <v>0.98069361229543572</v>
      </c>
      <c r="E883" s="39">
        <f>IF(_xlfn.NORM.INV(R883,C883,'Regressão Grupo 2'!$B$7)&lt;=0,0,IF(_xlfn.NORM.INV(R883,C883,'Regressão Grupo 2'!$B$7)&gt;100%,100%,_xlfn.NORM.INV(R883,C883,'Regressão Grupo 2'!$B$7)))</f>
        <v>0.39141588815624928</v>
      </c>
      <c r="F883" s="39">
        <f>IF(_xlfn.NORM.INV(S883,D883,'Regressão Grupo 2'!$B$7)&lt;=0,0,IF(_xlfn.NORM.INV(S883,D883,'Regressão Grupo 2'!$B$7)&gt;100%,100%,_xlfn.NORM.INV(S883,D883,'Regressão Grupo 2'!$B$7)))</f>
        <v>1</v>
      </c>
      <c r="G883" s="41">
        <v>1.6927946528408892E-2</v>
      </c>
      <c r="H883" s="41">
        <v>1.7534656948391961E-2</v>
      </c>
      <c r="I883" s="40">
        <f t="shared" si="132"/>
        <v>132.45984923097981</v>
      </c>
      <c r="J883" s="40">
        <f t="shared" si="132"/>
        <v>0</v>
      </c>
      <c r="K883" s="36">
        <v>0.26129611161825617</v>
      </c>
      <c r="L883" s="42">
        <f t="shared" si="138"/>
        <v>19991.322604477216</v>
      </c>
      <c r="M883" s="42">
        <f t="shared" si="138"/>
        <v>0</v>
      </c>
      <c r="N883" s="42">
        <f t="shared" si="133"/>
        <v>5223.6548626560461</v>
      </c>
      <c r="O883" s="36">
        <v>4.8428564239728331</v>
      </c>
      <c r="P883" s="42">
        <f t="shared" si="134"/>
        <v>2642.7144210117722</v>
      </c>
      <c r="Q883" s="42"/>
      <c r="R883">
        <v>0.2315134128849147</v>
      </c>
      <c r="S883">
        <v>0.85775322733237713</v>
      </c>
    </row>
    <row r="884" spans="1:19" x14ac:dyDescent="0.25">
      <c r="A884" s="40">
        <f t="shared" si="135"/>
        <v>64.229676878151835</v>
      </c>
      <c r="B884" s="40">
        <f t="shared" si="135"/>
        <v>32.933286051621081</v>
      </c>
      <c r="C884" s="41">
        <f t="shared" si="130"/>
        <v>0.49289226185293716</v>
      </c>
      <c r="D884" s="41">
        <f t="shared" si="131"/>
        <v>0.98069361229543572</v>
      </c>
      <c r="E884" s="39">
        <f>IF(_xlfn.NORM.INV(R884,C884,'Regressão Grupo 2'!$B$7)&lt;=0,0,IF(_xlfn.NORM.INV(R884,C884,'Regressão Grupo 2'!$B$7)&gt;100%,100%,_xlfn.NORM.INV(R884,C884,'Regressão Grupo 2'!$B$7)))</f>
        <v>0.58820960659077404</v>
      </c>
      <c r="F884" s="39">
        <f>IF(_xlfn.NORM.INV(S884,D884,'Regressão Grupo 2'!$B$7)&lt;=0,0,IF(_xlfn.NORM.INV(S884,D884,'Regressão Grupo 2'!$B$7)&gt;100%,100%,_xlfn.NORM.INV(S884,D884,'Regressão Grupo 2'!$B$7)))</f>
        <v>1</v>
      </c>
      <c r="G884" s="41">
        <v>2.5386073533102169E-2</v>
      </c>
      <c r="H884" s="41">
        <v>2.4404502992281921E-2</v>
      </c>
      <c r="I884" s="40">
        <f t="shared" si="132"/>
        <v>298.51707276214125</v>
      </c>
      <c r="J884" s="40">
        <f t="shared" si="132"/>
        <v>0</v>
      </c>
      <c r="K884" s="36">
        <v>0.28552867920649216</v>
      </c>
      <c r="L884" s="42">
        <f t="shared" si="138"/>
        <v>19991.322604477216</v>
      </c>
      <c r="M884" s="42">
        <f t="shared" si="138"/>
        <v>0</v>
      </c>
      <c r="N884" s="42">
        <f t="shared" si="133"/>
        <v>5708.0959388472702</v>
      </c>
      <c r="O884" s="36">
        <v>4.259475425609371</v>
      </c>
      <c r="P884" s="42">
        <f t="shared" si="134"/>
        <v>12194.033051721621</v>
      </c>
      <c r="Q884" s="42"/>
      <c r="R884">
        <v>0.75469222083193455</v>
      </c>
      <c r="S884">
        <v>0.59801019318216497</v>
      </c>
    </row>
    <row r="885" spans="1:19" x14ac:dyDescent="0.25">
      <c r="A885" s="40">
        <f t="shared" si="135"/>
        <v>64.229676878151835</v>
      </c>
      <c r="B885" s="40">
        <f t="shared" si="135"/>
        <v>32.933286051621081</v>
      </c>
      <c r="C885" s="41">
        <f t="shared" si="130"/>
        <v>0.49289226185293716</v>
      </c>
      <c r="D885" s="41">
        <f t="shared" si="131"/>
        <v>0.98069361229543572</v>
      </c>
      <c r="E885" s="39">
        <f>IF(_xlfn.NORM.INV(R885,C885,'Regressão Grupo 2'!$B$7)&lt;=0,0,IF(_xlfn.NORM.INV(R885,C885,'Regressão Grupo 2'!$B$7)&gt;100%,100%,_xlfn.NORM.INV(R885,C885,'Regressão Grupo 2'!$B$7)))</f>
        <v>0.45177580139916501</v>
      </c>
      <c r="F885" s="39">
        <f>IF(_xlfn.NORM.INV(S885,D885,'Regressão Grupo 2'!$B$7)&lt;=0,0,IF(_xlfn.NORM.INV(S885,D885,'Regressão Grupo 2'!$B$7)&gt;100%,100%,_xlfn.NORM.INV(S885,D885,'Regressão Grupo 2'!$B$7)))</f>
        <v>1</v>
      </c>
      <c r="G885" s="41">
        <v>1.621368531987458E-2</v>
      </c>
      <c r="H885" s="41">
        <v>2.7353912045372821E-2</v>
      </c>
      <c r="I885" s="40">
        <f t="shared" si="132"/>
        <v>146.43545208617758</v>
      </c>
      <c r="J885" s="40">
        <f t="shared" si="132"/>
        <v>0</v>
      </c>
      <c r="K885" s="36">
        <v>0.30348147012267762</v>
      </c>
      <c r="L885" s="42">
        <f t="shared" si="138"/>
        <v>19991.322604477216</v>
      </c>
      <c r="M885" s="42">
        <f t="shared" si="138"/>
        <v>0</v>
      </c>
      <c r="N885" s="42">
        <f t="shared" si="133"/>
        <v>6066.9959737034624</v>
      </c>
      <c r="O885" s="36">
        <v>4.1406611557851658</v>
      </c>
      <c r="P885" s="42">
        <f t="shared" si="134"/>
        <v>2732.1662090147329</v>
      </c>
      <c r="Q885" s="42"/>
      <c r="R885">
        <v>0.38309884945219275</v>
      </c>
      <c r="S885">
        <v>0.83013397625659968</v>
      </c>
    </row>
    <row r="886" spans="1:19" x14ac:dyDescent="0.25">
      <c r="A886" s="40">
        <f t="shared" si="135"/>
        <v>64.229676878151835</v>
      </c>
      <c r="B886" s="40">
        <f t="shared" si="135"/>
        <v>32.933286051621081</v>
      </c>
      <c r="C886" s="41">
        <f t="shared" si="130"/>
        <v>0.49289226185293716</v>
      </c>
      <c r="D886" s="41">
        <f t="shared" si="131"/>
        <v>0.98069361229543572</v>
      </c>
      <c r="E886" s="39">
        <f>IF(_xlfn.NORM.INV(R886,C886,'Regressão Grupo 2'!$B$7)&lt;=0,0,IF(_xlfn.NORM.INV(R886,C886,'Regressão Grupo 2'!$B$7)&gt;100%,100%,_xlfn.NORM.INV(R886,C886,'Regressão Grupo 2'!$B$7)))</f>
        <v>0.4356193787942359</v>
      </c>
      <c r="F886" s="39">
        <f>IF(_xlfn.NORM.INV(S886,D886,'Regressão Grupo 2'!$B$7)&lt;=0,0,IF(_xlfn.NORM.INV(S886,D886,'Regressão Grupo 2'!$B$7)&gt;100%,100%,_xlfn.NORM.INV(S886,D886,'Regressão Grupo 2'!$B$7)))</f>
        <v>1</v>
      </c>
      <c r="G886" s="41">
        <v>2.0899038048120711E-2</v>
      </c>
      <c r="H886" s="41">
        <v>1.6686184263329212E-2</v>
      </c>
      <c r="I886" s="40">
        <f t="shared" si="132"/>
        <v>182.00152020418085</v>
      </c>
      <c r="J886" s="40">
        <f t="shared" si="132"/>
        <v>0</v>
      </c>
      <c r="K886" s="36">
        <v>0.24776802474577533</v>
      </c>
      <c r="L886" s="42">
        <f t="shared" si="138"/>
        <v>19991.322604477216</v>
      </c>
      <c r="M886" s="42">
        <f t="shared" si="138"/>
        <v>0</v>
      </c>
      <c r="N886" s="42">
        <f t="shared" si="133"/>
        <v>4953.2105137668887</v>
      </c>
      <c r="O886" s="36">
        <v>9.3922370540147746</v>
      </c>
      <c r="P886" s="42">
        <f t="shared" si="134"/>
        <v>5027.2868983313447</v>
      </c>
      <c r="Q886" s="42"/>
      <c r="R886">
        <v>0.33936582537308879</v>
      </c>
      <c r="S886">
        <v>0.98879970702230902</v>
      </c>
    </row>
    <row r="887" spans="1:19" x14ac:dyDescent="0.25">
      <c r="A887" s="40">
        <f t="shared" si="135"/>
        <v>64.229676878151835</v>
      </c>
      <c r="B887" s="40">
        <f t="shared" si="135"/>
        <v>32.933286051621081</v>
      </c>
      <c r="C887" s="41">
        <f t="shared" si="130"/>
        <v>0.49289226185293716</v>
      </c>
      <c r="D887" s="41">
        <f t="shared" si="131"/>
        <v>0.98069361229543572</v>
      </c>
      <c r="E887" s="39">
        <f>IF(_xlfn.NORM.INV(R887,C887,'Regressão Grupo 2'!$B$7)&lt;=0,0,IF(_xlfn.NORM.INV(R887,C887,'Regressão Grupo 2'!$B$7)&gt;100%,100%,_xlfn.NORM.INV(R887,C887,'Regressão Grupo 2'!$B$7)))</f>
        <v>0.62201203095641866</v>
      </c>
      <c r="F887" s="39">
        <f>IF(_xlfn.NORM.INV(S887,D887,'Regressão Grupo 2'!$B$7)&lt;=0,0,IF(_xlfn.NORM.INV(S887,D887,'Regressão Grupo 2'!$B$7)&gt;100%,100%,_xlfn.NORM.INV(S887,D887,'Regressão Grupo 2'!$B$7)))</f>
        <v>0.98635964322364078</v>
      </c>
      <c r="G887" s="41">
        <v>2.0706348497185414E-2</v>
      </c>
      <c r="H887" s="41">
        <v>5.6422382700011074E-3</v>
      </c>
      <c r="I887" s="40">
        <f t="shared" si="132"/>
        <v>257.48019628351352</v>
      </c>
      <c r="J887" s="40">
        <f t="shared" si="132"/>
        <v>0</v>
      </c>
      <c r="K887" s="36">
        <v>0.41810444747648184</v>
      </c>
      <c r="L887" s="42">
        <f t="shared" ref="L887:M902" si="139">L886</f>
        <v>19991.322604477216</v>
      </c>
      <c r="M887" s="42">
        <f t="shared" si="139"/>
        <v>0</v>
      </c>
      <c r="N887" s="42">
        <f t="shared" si="133"/>
        <v>8358.4608918690483</v>
      </c>
      <c r="O887" s="36">
        <v>4.5776061142761026</v>
      </c>
      <c r="P887" s="42">
        <f t="shared" si="134"/>
        <v>7000.7659971317153</v>
      </c>
      <c r="Q887" s="42"/>
      <c r="R887">
        <v>0.8247932370983001</v>
      </c>
      <c r="S887">
        <v>0.51634266182439648</v>
      </c>
    </row>
    <row r="888" spans="1:19" x14ac:dyDescent="0.25">
      <c r="A888" s="40">
        <f t="shared" si="135"/>
        <v>64.229676878151835</v>
      </c>
      <c r="B888" s="40">
        <f t="shared" si="135"/>
        <v>32.933286051621081</v>
      </c>
      <c r="C888" s="41">
        <f t="shared" si="130"/>
        <v>0.49289226185293716</v>
      </c>
      <c r="D888" s="41">
        <f t="shared" si="131"/>
        <v>0.98069361229543572</v>
      </c>
      <c r="E888" s="39">
        <f>IF(_xlfn.NORM.INV(R888,C888,'Regressão Grupo 2'!$B$7)&lt;=0,0,IF(_xlfn.NORM.INV(R888,C888,'Regressão Grupo 2'!$B$7)&gt;100%,100%,_xlfn.NORM.INV(R888,C888,'Regressão Grupo 2'!$B$7)))</f>
        <v>0.56004546585809911</v>
      </c>
      <c r="F888" s="39">
        <f>IF(_xlfn.NORM.INV(S888,D888,'Regressão Grupo 2'!$B$7)&lt;=0,0,IF(_xlfn.NORM.INV(S888,D888,'Regressão Grupo 2'!$B$7)&gt;100%,100%,_xlfn.NORM.INV(S888,D888,'Regressão Grupo 2'!$B$7)))</f>
        <v>0.95008162979028821</v>
      </c>
      <c r="G888" s="41">
        <v>7.8299152816924816E-3</v>
      </c>
      <c r="H888" s="41">
        <v>1.9333249916795567E-2</v>
      </c>
      <c r="I888" s="40">
        <f t="shared" si="132"/>
        <v>87.664119709986025</v>
      </c>
      <c r="J888" s="40">
        <f t="shared" si="132"/>
        <v>0</v>
      </c>
      <c r="K888" s="36">
        <v>0.35816423933564967</v>
      </c>
      <c r="L888" s="42">
        <f t="shared" si="139"/>
        <v>19991.322604477216</v>
      </c>
      <c r="M888" s="42">
        <f t="shared" si="139"/>
        <v>0</v>
      </c>
      <c r="N888" s="42">
        <f t="shared" si="133"/>
        <v>7160.1768539461609</v>
      </c>
      <c r="O888" s="36">
        <v>4.8172053077883898</v>
      </c>
      <c r="P888" s="42">
        <f t="shared" si="134"/>
        <v>-1951.834833935678</v>
      </c>
      <c r="Q888" s="42"/>
      <c r="R888">
        <v>0.68639179662465288</v>
      </c>
      <c r="S888">
        <v>0.41239661854915005</v>
      </c>
    </row>
    <row r="889" spans="1:19" x14ac:dyDescent="0.25">
      <c r="A889" s="40">
        <f t="shared" si="135"/>
        <v>64.229676878151835</v>
      </c>
      <c r="B889" s="40">
        <f t="shared" si="135"/>
        <v>32.933286051621081</v>
      </c>
      <c r="C889" s="41">
        <f t="shared" si="130"/>
        <v>0.49289226185293716</v>
      </c>
      <c r="D889" s="41">
        <f t="shared" si="131"/>
        <v>0.98069361229543572</v>
      </c>
      <c r="E889" s="39">
        <f>IF(_xlfn.NORM.INV(R889,C889,'Regressão Grupo 2'!$B$7)&lt;=0,0,IF(_xlfn.NORM.INV(R889,C889,'Regressão Grupo 2'!$B$7)&gt;100%,100%,_xlfn.NORM.INV(R889,C889,'Regressão Grupo 2'!$B$7)))</f>
        <v>0.32697299912854022</v>
      </c>
      <c r="F889" s="39">
        <f>IF(_xlfn.NORM.INV(S889,D889,'Regressão Grupo 2'!$B$7)&lt;=0,0,IF(_xlfn.NORM.INV(S889,D889,'Regressão Grupo 2'!$B$7)&gt;100%,100%,_xlfn.NORM.INV(S889,D889,'Regressão Grupo 2'!$B$7)))</f>
        <v>0.80086520110533432</v>
      </c>
      <c r="G889" s="41">
        <v>9.5480230362258271E-3</v>
      </c>
      <c r="H889" s="41">
        <v>2.8301039090481078E-2</v>
      </c>
      <c r="I889" s="40">
        <f t="shared" si="132"/>
        <v>62.411824200181307</v>
      </c>
      <c r="J889" s="40">
        <f t="shared" si="132"/>
        <v>0</v>
      </c>
      <c r="K889" s="36">
        <v>0.3587732938545739</v>
      </c>
      <c r="L889" s="42">
        <f t="shared" si="139"/>
        <v>19991.322604477216</v>
      </c>
      <c r="M889" s="42">
        <f t="shared" si="139"/>
        <v>0</v>
      </c>
      <c r="N889" s="42">
        <f t="shared" si="133"/>
        <v>7172.3526593176903</v>
      </c>
      <c r="O889" s="36">
        <v>4.628651293426481</v>
      </c>
      <c r="P889" s="42">
        <f t="shared" si="134"/>
        <v>-3452.5439283733031</v>
      </c>
      <c r="Q889" s="42"/>
      <c r="R889">
        <v>0.11508529923398542</v>
      </c>
      <c r="S889">
        <v>9.6713156529435101E-2</v>
      </c>
    </row>
    <row r="890" spans="1:19" x14ac:dyDescent="0.25">
      <c r="A890" s="40">
        <f t="shared" si="135"/>
        <v>64.229676878151835</v>
      </c>
      <c r="B890" s="40">
        <f t="shared" si="135"/>
        <v>32.933286051621081</v>
      </c>
      <c r="C890" s="41">
        <f t="shared" si="130"/>
        <v>0.49289226185293716</v>
      </c>
      <c r="D890" s="41">
        <f t="shared" si="131"/>
        <v>0.98069361229543572</v>
      </c>
      <c r="E890" s="39">
        <f>IF(_xlfn.NORM.INV(R890,C890,'Regressão Grupo 2'!$B$7)&lt;=0,0,IF(_xlfn.NORM.INV(R890,C890,'Regressão Grupo 2'!$B$7)&gt;100%,100%,_xlfn.NORM.INV(R890,C890,'Regressão Grupo 2'!$B$7)))</f>
        <v>0.36986370943159519</v>
      </c>
      <c r="F890" s="39">
        <f>IF(_xlfn.NORM.INV(S890,D890,'Regressão Grupo 2'!$B$7)&lt;=0,0,IF(_xlfn.NORM.INV(S890,D890,'Regressão Grupo 2'!$B$7)&gt;100%,100%,_xlfn.NORM.INV(S890,D890,'Regressão Grupo 2'!$B$7)))</f>
        <v>0.9453582193721366</v>
      </c>
      <c r="G890" s="41">
        <v>1.7911654111238327E-2</v>
      </c>
      <c r="H890" s="41">
        <v>2.3503742763720768E-2</v>
      </c>
      <c r="I890" s="40">
        <f t="shared" si="132"/>
        <v>132.43993000827231</v>
      </c>
      <c r="J890" s="40">
        <f t="shared" si="132"/>
        <v>0</v>
      </c>
      <c r="K890" s="36">
        <v>0.20534982263290327</v>
      </c>
      <c r="L890" s="42">
        <f t="shared" si="139"/>
        <v>19991.322604477216</v>
      </c>
      <c r="M890" s="42">
        <f t="shared" si="139"/>
        <v>0</v>
      </c>
      <c r="N890" s="42">
        <f t="shared" si="133"/>
        <v>4105.2145510265464</v>
      </c>
      <c r="O890" s="36">
        <v>5.2248095333247804</v>
      </c>
      <c r="P890" s="42">
        <f t="shared" si="134"/>
        <v>3709.3859502697414</v>
      </c>
      <c r="Q890" s="42"/>
      <c r="R890">
        <v>0.18680379650257881</v>
      </c>
      <c r="S890">
        <v>0.39915158543656726</v>
      </c>
    </row>
    <row r="891" spans="1:19" x14ac:dyDescent="0.25">
      <c r="A891" s="40">
        <f t="shared" si="135"/>
        <v>64.229676878151835</v>
      </c>
      <c r="B891" s="40">
        <f t="shared" si="135"/>
        <v>32.933286051621081</v>
      </c>
      <c r="C891" s="41">
        <f t="shared" si="130"/>
        <v>0.49289226185293716</v>
      </c>
      <c r="D891" s="41">
        <f t="shared" si="131"/>
        <v>0.98069361229543572</v>
      </c>
      <c r="E891" s="39">
        <f>IF(_xlfn.NORM.INV(R891,C891,'Regressão Grupo 2'!$B$7)&lt;=0,0,IF(_xlfn.NORM.INV(R891,C891,'Regressão Grupo 2'!$B$7)&gt;100%,100%,_xlfn.NORM.INV(R891,C891,'Regressão Grupo 2'!$B$7)))</f>
        <v>0.26833150864753597</v>
      </c>
      <c r="F891" s="39">
        <f>IF(_xlfn.NORM.INV(S891,D891,'Regressão Grupo 2'!$B$7)&lt;=0,0,IF(_xlfn.NORM.INV(S891,D891,'Regressão Grupo 2'!$B$7)&gt;100%,100%,_xlfn.NORM.INV(S891,D891,'Regressão Grupo 2'!$B$7)))</f>
        <v>0.98396776686994303</v>
      </c>
      <c r="G891" s="41">
        <v>1.9798715808433547E-2</v>
      </c>
      <c r="H891" s="41">
        <v>1.0732432427023646E-2</v>
      </c>
      <c r="I891" s="40">
        <f t="shared" si="132"/>
        <v>106.20628594444258</v>
      </c>
      <c r="J891" s="40">
        <f t="shared" si="132"/>
        <v>0</v>
      </c>
      <c r="K891" s="36">
        <v>0.32569212862280761</v>
      </c>
      <c r="L891" s="42">
        <f t="shared" si="139"/>
        <v>19991.322604477216</v>
      </c>
      <c r="M891" s="42">
        <f t="shared" si="139"/>
        <v>0</v>
      </c>
      <c r="N891" s="42">
        <f t="shared" si="133"/>
        <v>6511.0164130374351</v>
      </c>
      <c r="O891" s="36">
        <v>6.006672734093204</v>
      </c>
      <c r="P891" s="42">
        <f t="shared" si="134"/>
        <v>-327.36738636907921</v>
      </c>
      <c r="Q891" s="42"/>
      <c r="R891">
        <v>5.2186651203955201E-2</v>
      </c>
      <c r="S891">
        <v>0.50944547868282108</v>
      </c>
    </row>
    <row r="892" spans="1:19" x14ac:dyDescent="0.25">
      <c r="A892" s="40">
        <f t="shared" si="135"/>
        <v>64.229676878151835</v>
      </c>
      <c r="B892" s="40">
        <f t="shared" si="135"/>
        <v>32.933286051621081</v>
      </c>
      <c r="C892" s="41">
        <f t="shared" si="130"/>
        <v>0.49289226185293716</v>
      </c>
      <c r="D892" s="41">
        <f t="shared" si="131"/>
        <v>0.98069361229543572</v>
      </c>
      <c r="E892" s="39">
        <f>IF(_xlfn.NORM.INV(R892,C892,'Regressão Grupo 2'!$B$7)&lt;=0,0,IF(_xlfn.NORM.INV(R892,C892,'Regressão Grupo 2'!$B$7)&gt;100%,100%,_xlfn.NORM.INV(R892,C892,'Regressão Grupo 2'!$B$7)))</f>
        <v>0.50287055130856362</v>
      </c>
      <c r="F892" s="39">
        <f>IF(_xlfn.NORM.INV(S892,D892,'Regressão Grupo 2'!$B$7)&lt;=0,0,IF(_xlfn.NORM.INV(S892,D892,'Regressão Grupo 2'!$B$7)&gt;100%,100%,_xlfn.NORM.INV(S892,D892,'Regressão Grupo 2'!$B$7)))</f>
        <v>1</v>
      </c>
      <c r="G892" s="41">
        <v>3.7671887328542607E-3</v>
      </c>
      <c r="H892" s="41">
        <v>1.6825793899125412E-2</v>
      </c>
      <c r="I892" s="40">
        <f t="shared" si="132"/>
        <v>37.871726969593041</v>
      </c>
      <c r="J892" s="40">
        <f t="shared" si="132"/>
        <v>0</v>
      </c>
      <c r="K892" s="36">
        <v>0.3088687552355196</v>
      </c>
      <c r="L892" s="42">
        <f t="shared" si="139"/>
        <v>19991.322604477216</v>
      </c>
      <c r="M892" s="42">
        <f t="shared" si="139"/>
        <v>0</v>
      </c>
      <c r="N892" s="42">
        <f t="shared" si="133"/>
        <v>6174.6949283565837</v>
      </c>
      <c r="O892" s="36">
        <v>3.475586159666336</v>
      </c>
      <c r="P892" s="42">
        <f t="shared" si="134"/>
        <v>-3873.832592380214</v>
      </c>
      <c r="Q892" s="42"/>
      <c r="R892">
        <v>0.52876369518112731</v>
      </c>
      <c r="S892">
        <v>0.87737662892544332</v>
      </c>
    </row>
    <row r="893" spans="1:19" x14ac:dyDescent="0.25">
      <c r="A893" s="40">
        <f t="shared" si="135"/>
        <v>64.229676878151835</v>
      </c>
      <c r="B893" s="40">
        <f t="shared" si="135"/>
        <v>32.933286051621081</v>
      </c>
      <c r="C893" s="41">
        <f t="shared" si="130"/>
        <v>0.49289226185293716</v>
      </c>
      <c r="D893" s="41">
        <f t="shared" si="131"/>
        <v>0.98069361229543572</v>
      </c>
      <c r="E893" s="39">
        <f>IF(_xlfn.NORM.INV(R893,C893,'Regressão Grupo 2'!$B$7)&lt;=0,0,IF(_xlfn.NORM.INV(R893,C893,'Regressão Grupo 2'!$B$7)&gt;100%,100%,_xlfn.NORM.INV(R893,C893,'Regressão Grupo 2'!$B$7)))</f>
        <v>0.44815709370047324</v>
      </c>
      <c r="F893" s="39">
        <f>IF(_xlfn.NORM.INV(S893,D893,'Regressão Grupo 2'!$B$7)&lt;=0,0,IF(_xlfn.NORM.INV(S893,D893,'Regressão Grupo 2'!$B$7)&gt;100%,100%,_xlfn.NORM.INV(S893,D893,'Regressão Grupo 2'!$B$7)))</f>
        <v>0.97281413091029945</v>
      </c>
      <c r="G893" s="41">
        <v>1.2497209237415964E-2</v>
      </c>
      <c r="H893" s="41">
        <v>1.264531263424265E-2</v>
      </c>
      <c r="I893" s="40">
        <f t="shared" si="132"/>
        <v>111.96565982248018</v>
      </c>
      <c r="J893" s="40">
        <f t="shared" si="132"/>
        <v>0</v>
      </c>
      <c r="K893" s="36">
        <v>0.40854344896157391</v>
      </c>
      <c r="L893" s="42">
        <f t="shared" si="139"/>
        <v>19991.322604477216</v>
      </c>
      <c r="M893" s="42">
        <f t="shared" si="139"/>
        <v>0</v>
      </c>
      <c r="N893" s="42">
        <f t="shared" si="133"/>
        <v>8167.3238861365962</v>
      </c>
      <c r="O893" s="36">
        <v>3.3456250349400043</v>
      </c>
      <c r="P893" s="42">
        <f t="shared" si="134"/>
        <v>-1350.4008488452928</v>
      </c>
      <c r="Q893" s="42"/>
      <c r="R893">
        <v>0.37314981536301767</v>
      </c>
      <c r="S893">
        <v>0.47727896969512007</v>
      </c>
    </row>
    <row r="894" spans="1:19" x14ac:dyDescent="0.25">
      <c r="A894" s="40">
        <f t="shared" si="135"/>
        <v>64.229676878151835</v>
      </c>
      <c r="B894" s="40">
        <f t="shared" si="135"/>
        <v>32.933286051621081</v>
      </c>
      <c r="C894" s="41">
        <f t="shared" si="130"/>
        <v>0.49289226185293716</v>
      </c>
      <c r="D894" s="41">
        <f t="shared" si="131"/>
        <v>0.98069361229543572</v>
      </c>
      <c r="E894" s="39">
        <f>IF(_xlfn.NORM.INV(R894,C894,'Regressão Grupo 2'!$B$7)&lt;=0,0,IF(_xlfn.NORM.INV(R894,C894,'Regressão Grupo 2'!$B$7)&gt;100%,100%,_xlfn.NORM.INV(R894,C894,'Regressão Grupo 2'!$B$7)))</f>
        <v>0.39586392997820719</v>
      </c>
      <c r="F894" s="39">
        <f>IF(_xlfn.NORM.INV(S894,D894,'Regressão Grupo 2'!$B$7)&lt;=0,0,IF(_xlfn.NORM.INV(S894,D894,'Regressão Grupo 2'!$B$7)&gt;100%,100%,_xlfn.NORM.INV(S894,D894,'Regressão Grupo 2'!$B$7)))</f>
        <v>1</v>
      </c>
      <c r="G894" s="41">
        <v>2.2384902066956314E-2</v>
      </c>
      <c r="H894" s="41">
        <v>3.6283108291547219E-3</v>
      </c>
      <c r="I894" s="40">
        <f t="shared" si="132"/>
        <v>177.15061242966024</v>
      </c>
      <c r="J894" s="40">
        <f t="shared" si="132"/>
        <v>0</v>
      </c>
      <c r="K894" s="36">
        <v>0.39902350833386191</v>
      </c>
      <c r="L894" s="42">
        <f t="shared" si="139"/>
        <v>19991.322604477216</v>
      </c>
      <c r="M894" s="42">
        <f t="shared" si="139"/>
        <v>0</v>
      </c>
      <c r="N894" s="42">
        <f t="shared" si="133"/>
        <v>7977.0076818725365</v>
      </c>
      <c r="O894" s="36">
        <v>8.2138619889268725</v>
      </c>
      <c r="P894" s="42">
        <f t="shared" si="134"/>
        <v>1946.2282315001476</v>
      </c>
      <c r="Q894" s="42"/>
      <c r="R894">
        <v>0.24143192846461378</v>
      </c>
      <c r="S894">
        <v>0.66603595080416278</v>
      </c>
    </row>
    <row r="895" spans="1:19" x14ac:dyDescent="0.25">
      <c r="A895" s="40">
        <f t="shared" si="135"/>
        <v>64.229676878151835</v>
      </c>
      <c r="B895" s="40">
        <f t="shared" si="135"/>
        <v>32.933286051621081</v>
      </c>
      <c r="C895" s="41">
        <f t="shared" si="130"/>
        <v>0.49289226185293716</v>
      </c>
      <c r="D895" s="41">
        <f t="shared" si="131"/>
        <v>0.98069361229543572</v>
      </c>
      <c r="E895" s="39">
        <f>IF(_xlfn.NORM.INV(R895,C895,'Regressão Grupo 2'!$B$7)&lt;=0,0,IF(_xlfn.NORM.INV(R895,C895,'Regressão Grupo 2'!$B$7)&gt;100%,100%,_xlfn.NORM.INV(R895,C895,'Regressão Grupo 2'!$B$7)))</f>
        <v>0.67054981485965226</v>
      </c>
      <c r="F895" s="39">
        <f>IF(_xlfn.NORM.INV(S895,D895,'Regressão Grupo 2'!$B$7)&lt;=0,0,IF(_xlfn.NORM.INV(S895,D895,'Regressão Grupo 2'!$B$7)&gt;100%,100%,_xlfn.NORM.INV(S895,D895,'Regressão Grupo 2'!$B$7)))</f>
        <v>0.86082306129616371</v>
      </c>
      <c r="G895" s="41">
        <v>1.7908108759567058E-2</v>
      </c>
      <c r="H895" s="41">
        <v>2.1828004228889898E-2</v>
      </c>
      <c r="I895" s="40">
        <f t="shared" si="132"/>
        <v>240.06137967773856</v>
      </c>
      <c r="J895" s="40">
        <f t="shared" si="132"/>
        <v>0</v>
      </c>
      <c r="K895" s="36">
        <v>0.14254804476090616</v>
      </c>
      <c r="L895" s="42">
        <f t="shared" si="139"/>
        <v>19991.322604477216</v>
      </c>
      <c r="M895" s="42">
        <f t="shared" si="139"/>
        <v>0</v>
      </c>
      <c r="N895" s="42">
        <f t="shared" si="133"/>
        <v>2849.7239494527335</v>
      </c>
      <c r="O895" s="36">
        <v>8.1497345621342898</v>
      </c>
      <c r="P895" s="42">
        <f t="shared" si="134"/>
        <v>10612.904375178432</v>
      </c>
      <c r="Q895" s="42"/>
      <c r="R895">
        <v>0.9005706961272012</v>
      </c>
      <c r="S895">
        <v>0.19299905392620625</v>
      </c>
    </row>
    <row r="896" spans="1:19" x14ac:dyDescent="0.25">
      <c r="A896" s="40">
        <f t="shared" si="135"/>
        <v>64.229676878151835</v>
      </c>
      <c r="B896" s="40">
        <f t="shared" si="135"/>
        <v>32.933286051621081</v>
      </c>
      <c r="C896" s="41">
        <f t="shared" si="130"/>
        <v>0.49289226185293716</v>
      </c>
      <c r="D896" s="41">
        <f t="shared" si="131"/>
        <v>0.98069361229543572</v>
      </c>
      <c r="E896" s="39">
        <f>IF(_xlfn.NORM.INV(R896,C896,'Regressão Grupo 2'!$B$7)&lt;=0,0,IF(_xlfn.NORM.INV(R896,C896,'Regressão Grupo 2'!$B$7)&gt;100%,100%,_xlfn.NORM.INV(R896,C896,'Regressão Grupo 2'!$B$7)))</f>
        <v>0.40592236392943015</v>
      </c>
      <c r="F896" s="39">
        <f>IF(_xlfn.NORM.INV(S896,D896,'Regressão Grupo 2'!$B$7)&lt;=0,0,IF(_xlfn.NORM.INV(S896,D896,'Regressão Grupo 2'!$B$7)&gt;100%,100%,_xlfn.NORM.INV(S896,D896,'Regressão Grupo 2'!$B$7)))</f>
        <v>1</v>
      </c>
      <c r="G896" s="41">
        <v>1.7932082870143851E-2</v>
      </c>
      <c r="H896" s="41">
        <v>1.8687713162536482E-2</v>
      </c>
      <c r="I896" s="40">
        <f t="shared" si="132"/>
        <v>145.51750632411208</v>
      </c>
      <c r="J896" s="40">
        <f t="shared" si="132"/>
        <v>0</v>
      </c>
      <c r="K896" s="36">
        <v>0.42174153855707008</v>
      </c>
      <c r="L896" s="42">
        <f t="shared" si="139"/>
        <v>19991.322604477216</v>
      </c>
      <c r="M896" s="42">
        <f t="shared" si="139"/>
        <v>0</v>
      </c>
      <c r="N896" s="42">
        <f t="shared" si="133"/>
        <v>8431.1711530029552</v>
      </c>
      <c r="O896" s="36">
        <v>8.7442174354848241</v>
      </c>
      <c r="P896" s="42">
        <f t="shared" si="134"/>
        <v>-357.06545765839383</v>
      </c>
      <c r="Q896" s="42"/>
      <c r="R896">
        <v>0.26468703268532368</v>
      </c>
      <c r="S896">
        <v>0.89168980986968593</v>
      </c>
    </row>
    <row r="897" spans="1:19" x14ac:dyDescent="0.25">
      <c r="A897" s="40">
        <f t="shared" si="135"/>
        <v>64.229676878151835</v>
      </c>
      <c r="B897" s="40">
        <f t="shared" si="135"/>
        <v>32.933286051621081</v>
      </c>
      <c r="C897" s="41">
        <f t="shared" si="130"/>
        <v>0.49289226185293716</v>
      </c>
      <c r="D897" s="41">
        <f t="shared" si="131"/>
        <v>0.98069361229543572</v>
      </c>
      <c r="E897" s="39">
        <f>IF(_xlfn.NORM.INV(R897,C897,'Regressão Grupo 2'!$B$7)&lt;=0,0,IF(_xlfn.NORM.INV(R897,C897,'Regressão Grupo 2'!$B$7)&gt;100%,100%,_xlfn.NORM.INV(R897,C897,'Regressão Grupo 2'!$B$7)))</f>
        <v>0.68513830120002195</v>
      </c>
      <c r="F897" s="39">
        <f>IF(_xlfn.NORM.INV(S897,D897,'Regressão Grupo 2'!$B$7)&lt;=0,0,IF(_xlfn.NORM.INV(S897,D897,'Regressão Grupo 2'!$B$7)&gt;100%,100%,_xlfn.NORM.INV(S897,D897,'Regressão Grupo 2'!$B$7)))</f>
        <v>0.91561572197452445</v>
      </c>
      <c r="G897" s="41">
        <v>1.8332569763870703E-2</v>
      </c>
      <c r="H897" s="41">
        <v>1.6912663073715674E-2</v>
      </c>
      <c r="I897" s="40">
        <f t="shared" si="132"/>
        <v>251.09792300540309</v>
      </c>
      <c r="J897" s="40">
        <f t="shared" si="132"/>
        <v>0</v>
      </c>
      <c r="K897" s="36">
        <v>0.24776923483978905</v>
      </c>
      <c r="L897" s="42">
        <f t="shared" si="139"/>
        <v>19991.322604477216</v>
      </c>
      <c r="M897" s="42">
        <f t="shared" si="139"/>
        <v>0</v>
      </c>
      <c r="N897" s="42">
        <f t="shared" si="133"/>
        <v>4953.2347051466986</v>
      </c>
      <c r="O897" s="36">
        <v>6.5545516881252448</v>
      </c>
      <c r="P897" s="42">
        <f t="shared" si="134"/>
        <v>9528.8694391455829</v>
      </c>
      <c r="Q897" s="42"/>
      <c r="R897">
        <v>0.91778313547166357</v>
      </c>
      <c r="S897">
        <v>0.31894894253364664</v>
      </c>
    </row>
    <row r="898" spans="1:19" x14ac:dyDescent="0.25">
      <c r="A898" s="40">
        <f t="shared" si="135"/>
        <v>64.229676878151835</v>
      </c>
      <c r="B898" s="40">
        <f t="shared" si="135"/>
        <v>32.933286051621081</v>
      </c>
      <c r="C898" s="41">
        <f t="shared" si="130"/>
        <v>0.49289226185293716</v>
      </c>
      <c r="D898" s="41">
        <f t="shared" si="131"/>
        <v>0.98069361229543572</v>
      </c>
      <c r="E898" s="39">
        <f>IF(_xlfn.NORM.INV(R898,C898,'Regressão Grupo 2'!$B$7)&lt;=0,0,IF(_xlfn.NORM.INV(R898,C898,'Regressão Grupo 2'!$B$7)&gt;100%,100%,_xlfn.NORM.INV(R898,C898,'Regressão Grupo 2'!$B$7)))</f>
        <v>0.51901009922949459</v>
      </c>
      <c r="F898" s="39">
        <f>IF(_xlfn.NORM.INV(S898,D898,'Regressão Grupo 2'!$B$7)&lt;=0,0,IF(_xlfn.NORM.INV(S898,D898,'Regressão Grupo 2'!$B$7)&gt;100%,100%,_xlfn.NORM.INV(S898,D898,'Regressão Grupo 2'!$B$7)))</f>
        <v>0.88066558849216625</v>
      </c>
      <c r="G898" s="41">
        <v>1.1195452692574281E-2</v>
      </c>
      <c r="H898" s="41">
        <v>1.2620129788422045E-2</v>
      </c>
      <c r="I898" s="40">
        <f t="shared" si="132"/>
        <v>116.16063979114283</v>
      </c>
      <c r="J898" s="40">
        <f t="shared" si="132"/>
        <v>0</v>
      </c>
      <c r="K898" s="36">
        <v>0.29994049379111298</v>
      </c>
      <c r="L898" s="42">
        <f t="shared" si="139"/>
        <v>19991.322604477216</v>
      </c>
      <c r="M898" s="42">
        <f t="shared" si="139"/>
        <v>0</v>
      </c>
      <c r="N898" s="42">
        <f t="shared" si="133"/>
        <v>5996.2071735243353</v>
      </c>
      <c r="O898" s="36">
        <v>8.3083224052714026</v>
      </c>
      <c r="P898" s="42">
        <f t="shared" si="134"/>
        <v>499.65314003274216</v>
      </c>
      <c r="Q898" s="42"/>
      <c r="R898">
        <v>0.57490768150883509</v>
      </c>
      <c r="S898">
        <v>0.2347178563798944</v>
      </c>
    </row>
    <row r="899" spans="1:19" x14ac:dyDescent="0.25">
      <c r="A899" s="40">
        <f t="shared" si="135"/>
        <v>64.229676878151835</v>
      </c>
      <c r="B899" s="40">
        <f t="shared" si="135"/>
        <v>32.933286051621081</v>
      </c>
      <c r="C899" s="41">
        <f t="shared" si="130"/>
        <v>0.49289226185293716</v>
      </c>
      <c r="D899" s="41">
        <f t="shared" si="131"/>
        <v>0.98069361229543572</v>
      </c>
      <c r="E899" s="39">
        <f>IF(_xlfn.NORM.INV(R899,C899,'Regressão Grupo 2'!$B$7)&lt;=0,0,IF(_xlfn.NORM.INV(R899,C899,'Regressão Grupo 2'!$B$7)&gt;100%,100%,_xlfn.NORM.INV(R899,C899,'Regressão Grupo 2'!$B$7)))</f>
        <v>0.27013152545561836</v>
      </c>
      <c r="F899" s="39">
        <f>IF(_xlfn.NORM.INV(S899,D899,'Regressão Grupo 2'!$B$7)&lt;=0,0,IF(_xlfn.NORM.INV(S899,D899,'Regressão Grupo 2'!$B$7)&gt;100%,100%,_xlfn.NORM.INV(S899,D899,'Regressão Grupo 2'!$B$7)))</f>
        <v>0.96586149929010279</v>
      </c>
      <c r="G899" s="41">
        <v>1.3278231558279027E-2</v>
      </c>
      <c r="H899" s="41">
        <v>2.0689746321150566E-2</v>
      </c>
      <c r="I899" s="40">
        <f t="shared" si="132"/>
        <v>71.70625424328243</v>
      </c>
      <c r="J899" s="40">
        <f t="shared" si="132"/>
        <v>0</v>
      </c>
      <c r="K899" s="36">
        <v>0.30461410070595074</v>
      </c>
      <c r="L899" s="42">
        <f t="shared" si="139"/>
        <v>19991.322604477216</v>
      </c>
      <c r="M899" s="42">
        <f t="shared" si="139"/>
        <v>0</v>
      </c>
      <c r="N899" s="42">
        <f t="shared" si="133"/>
        <v>6089.6387570853722</v>
      </c>
      <c r="O899" s="36">
        <v>8.1838076986237258</v>
      </c>
      <c r="P899" s="42">
        <f t="shared" si="134"/>
        <v>-2070.7994124123825</v>
      </c>
      <c r="Q899" s="42"/>
      <c r="R899">
        <v>5.3590502639851073E-2</v>
      </c>
      <c r="S899">
        <v>0.45728934598834192</v>
      </c>
    </row>
    <row r="900" spans="1:19" x14ac:dyDescent="0.25">
      <c r="A900" s="40">
        <f t="shared" si="135"/>
        <v>64.229676878151835</v>
      </c>
      <c r="B900" s="40">
        <f t="shared" si="135"/>
        <v>32.933286051621081</v>
      </c>
      <c r="C900" s="41">
        <f t="shared" si="130"/>
        <v>0.49289226185293716</v>
      </c>
      <c r="D900" s="41">
        <f t="shared" si="131"/>
        <v>0.98069361229543572</v>
      </c>
      <c r="E900" s="39">
        <f>IF(_xlfn.NORM.INV(R900,C900,'Regressão Grupo 2'!$B$7)&lt;=0,0,IF(_xlfn.NORM.INV(R900,C900,'Regressão Grupo 2'!$B$7)&gt;100%,100%,_xlfn.NORM.INV(R900,C900,'Regressão Grupo 2'!$B$7)))</f>
        <v>0.45757872637741198</v>
      </c>
      <c r="F900" s="39">
        <f>IF(_xlfn.NORM.INV(S900,D900,'Regressão Grupo 2'!$B$7)&lt;=0,0,IF(_xlfn.NORM.INV(S900,D900,'Regressão Grupo 2'!$B$7)&gt;100%,100%,_xlfn.NORM.INV(S900,D900,'Regressão Grupo 2'!$B$7)))</f>
        <v>0.95025505025686374</v>
      </c>
      <c r="G900" s="41">
        <v>5.1038647257448345E-3</v>
      </c>
      <c r="H900" s="41">
        <v>1.0926538151370641E-2</v>
      </c>
      <c r="I900" s="40">
        <f t="shared" si="132"/>
        <v>46.688133053813765</v>
      </c>
      <c r="J900" s="40">
        <f t="shared" si="132"/>
        <v>0</v>
      </c>
      <c r="K900" s="36">
        <v>0.38504511183835693</v>
      </c>
      <c r="L900" s="42">
        <f t="shared" si="139"/>
        <v>19991.322604477216</v>
      </c>
      <c r="M900" s="42">
        <f t="shared" si="139"/>
        <v>0</v>
      </c>
      <c r="N900" s="42">
        <f t="shared" si="133"/>
        <v>7697.5610480376026</v>
      </c>
      <c r="O900" s="36">
        <v>3.0266044190091526</v>
      </c>
      <c r="P900" s="42">
        <f t="shared" si="134"/>
        <v>-4840.1038577629442</v>
      </c>
      <c r="Q900" s="42"/>
      <c r="R900">
        <v>0.39921262245551925</v>
      </c>
      <c r="S900">
        <v>0.41288491470076599</v>
      </c>
    </row>
    <row r="901" spans="1:19" x14ac:dyDescent="0.25">
      <c r="A901" s="40">
        <f t="shared" si="135"/>
        <v>64.229676878151835</v>
      </c>
      <c r="B901" s="40">
        <f t="shared" si="135"/>
        <v>32.933286051621081</v>
      </c>
      <c r="C901" s="41">
        <f t="shared" si="130"/>
        <v>0.49289226185293716</v>
      </c>
      <c r="D901" s="41">
        <f t="shared" si="131"/>
        <v>0.98069361229543572</v>
      </c>
      <c r="E901" s="39">
        <f>IF(_xlfn.NORM.INV(R901,C901,'Regressão Grupo 2'!$B$7)&lt;=0,0,IF(_xlfn.NORM.INV(R901,C901,'Regressão Grupo 2'!$B$7)&gt;100%,100%,_xlfn.NORM.INV(R901,C901,'Regressão Grupo 2'!$B$7)))</f>
        <v>0.47845372829071248</v>
      </c>
      <c r="F901" s="39">
        <f>IF(_xlfn.NORM.INV(S901,D901,'Regressão Grupo 2'!$B$7)&lt;=0,0,IF(_xlfn.NORM.INV(S901,D901,'Regressão Grupo 2'!$B$7)&gt;100%,100%,_xlfn.NORM.INV(S901,D901,'Regressão Grupo 2'!$B$7)))</f>
        <v>1</v>
      </c>
      <c r="G901" s="41">
        <v>2.5704105835934299E-2</v>
      </c>
      <c r="H901" s="41">
        <v>1.5417743164144118E-2</v>
      </c>
      <c r="I901" s="40">
        <f t="shared" si="132"/>
        <v>245.85778882674407</v>
      </c>
      <c r="J901" s="40">
        <f t="shared" si="132"/>
        <v>0</v>
      </c>
      <c r="K901" s="36">
        <v>0.30067537615314083</v>
      </c>
      <c r="L901" s="42">
        <f t="shared" si="139"/>
        <v>19991.322604477216</v>
      </c>
      <c r="M901" s="42">
        <f t="shared" si="139"/>
        <v>0</v>
      </c>
      <c r="N901" s="42">
        <f t="shared" si="133"/>
        <v>6010.8984438999742</v>
      </c>
      <c r="O901" s="36">
        <v>4.8346236787528749</v>
      </c>
      <c r="P901" s="42">
        <f t="shared" si="134"/>
        <v>8591.8380029510845</v>
      </c>
      <c r="Q901" s="42"/>
      <c r="R901">
        <v>0.45841853083895384</v>
      </c>
      <c r="S901">
        <v>0.7473982970671712</v>
      </c>
    </row>
    <row r="902" spans="1:19" x14ac:dyDescent="0.25">
      <c r="A902" s="40">
        <f t="shared" si="135"/>
        <v>64.229676878151835</v>
      </c>
      <c r="B902" s="40">
        <f t="shared" si="135"/>
        <v>32.933286051621081</v>
      </c>
      <c r="C902" s="41">
        <f t="shared" ref="C902:C965" si="140">-0.007*A902 + 0.9425</f>
        <v>0.49289226185293716</v>
      </c>
      <c r="D902" s="41">
        <f t="shared" ref="D902:D965" si="141">-0.0059*B902+1.175</f>
        <v>0.98069361229543572</v>
      </c>
      <c r="E902" s="39">
        <f>IF(_xlfn.NORM.INV(R902,C902,'Regressão Grupo 2'!$B$7)&lt;=0,0,IF(_xlfn.NORM.INV(R902,C902,'Regressão Grupo 2'!$B$7)&gt;100%,100%,_xlfn.NORM.INV(R902,C902,'Regressão Grupo 2'!$B$7)))</f>
        <v>0.26340563637348174</v>
      </c>
      <c r="F902" s="39">
        <f>IF(_xlfn.NORM.INV(S902,D902,'Regressão Grupo 2'!$B$7)&lt;=0,0,IF(_xlfn.NORM.INV(S902,D902,'Regressão Grupo 2'!$B$7)&gt;100%,100%,_xlfn.NORM.INV(S902,D902,'Regressão Grupo 2'!$B$7)))</f>
        <v>1</v>
      </c>
      <c r="G902" s="41">
        <v>1.5291408883121213E-2</v>
      </c>
      <c r="H902" s="41">
        <v>1.9283624339016651E-2</v>
      </c>
      <c r="I902" s="40">
        <f t="shared" ref="I902:J965" si="142">IF(E902*G902*L902&gt;0,E902*G902*L902,0)</f>
        <v>80.521914568800142</v>
      </c>
      <c r="J902" s="40">
        <f t="shared" si="142"/>
        <v>0</v>
      </c>
      <c r="K902" s="36">
        <v>0.28843831835516875</v>
      </c>
      <c r="L902" s="42">
        <f t="shared" si="139"/>
        <v>19991.322604477216</v>
      </c>
      <c r="M902" s="42">
        <f t="shared" si="139"/>
        <v>0</v>
      </c>
      <c r="N902" s="42">
        <f t="shared" ref="N902:N965" si="143">(L902+M902)*K902</f>
        <v>5766.2634737310809</v>
      </c>
      <c r="O902" s="36">
        <v>4.2729375623820003</v>
      </c>
      <c r="P902" s="42">
        <f t="shared" ref="P902:P965" si="144">SUMPRODUCT(A902:B902,I902:J902)-SUM(I902:J902)*O902-N902</f>
        <v>-938.43203272284154</v>
      </c>
      <c r="Q902" s="42"/>
      <c r="R902">
        <v>4.8493911557359541E-2</v>
      </c>
      <c r="S902">
        <v>0.80648213141270175</v>
      </c>
    </row>
    <row r="903" spans="1:19" x14ac:dyDescent="0.25">
      <c r="A903" s="40">
        <f t="shared" ref="A903:B966" si="145">A902</f>
        <v>64.229676878151835</v>
      </c>
      <c r="B903" s="40">
        <f t="shared" si="145"/>
        <v>32.933286051621081</v>
      </c>
      <c r="C903" s="41">
        <f t="shared" si="140"/>
        <v>0.49289226185293716</v>
      </c>
      <c r="D903" s="41">
        <f t="shared" si="141"/>
        <v>0.98069361229543572</v>
      </c>
      <c r="E903" s="39">
        <f>IF(_xlfn.NORM.INV(R903,C903,'Regressão Grupo 2'!$B$7)&lt;=0,0,IF(_xlfn.NORM.INV(R903,C903,'Regressão Grupo 2'!$B$7)&gt;100%,100%,_xlfn.NORM.INV(R903,C903,'Regressão Grupo 2'!$B$7)))</f>
        <v>0.51100563339803073</v>
      </c>
      <c r="F903" s="39">
        <f>IF(_xlfn.NORM.INV(S903,D903,'Regressão Grupo 2'!$B$7)&lt;=0,0,IF(_xlfn.NORM.INV(S903,D903,'Regressão Grupo 2'!$B$7)&gt;100%,100%,_xlfn.NORM.INV(S903,D903,'Regressão Grupo 2'!$B$7)))</f>
        <v>1</v>
      </c>
      <c r="G903" s="41">
        <v>5.887135167571932E-3</v>
      </c>
      <c r="H903" s="41">
        <v>1.927268856156749E-2</v>
      </c>
      <c r="I903" s="40">
        <f t="shared" si="142"/>
        <v>60.141079981139839</v>
      </c>
      <c r="J903" s="40">
        <f t="shared" si="142"/>
        <v>0</v>
      </c>
      <c r="K903" s="36">
        <v>0.41691814538453531</v>
      </c>
      <c r="L903" s="42">
        <f t="shared" ref="L903:M918" si="146">L902</f>
        <v>19991.322604477216</v>
      </c>
      <c r="M903" s="42">
        <f t="shared" si="146"/>
        <v>0</v>
      </c>
      <c r="N903" s="42">
        <f t="shared" si="143"/>
        <v>8334.7451440425793</v>
      </c>
      <c r="O903" s="36">
        <v>4.3825618299364884</v>
      </c>
      <c r="P903" s="42">
        <f t="shared" si="144"/>
        <v>-4735.4750112873826</v>
      </c>
      <c r="Q903" s="42"/>
      <c r="R903">
        <v>0.55211035493026517</v>
      </c>
      <c r="S903">
        <v>0.74636066774498733</v>
      </c>
    </row>
    <row r="904" spans="1:19" x14ac:dyDescent="0.25">
      <c r="A904" s="40">
        <f t="shared" si="145"/>
        <v>64.229676878151835</v>
      </c>
      <c r="B904" s="40">
        <f t="shared" si="145"/>
        <v>32.933286051621081</v>
      </c>
      <c r="C904" s="41">
        <f t="shared" si="140"/>
        <v>0.49289226185293716</v>
      </c>
      <c r="D904" s="41">
        <f t="shared" si="141"/>
        <v>0.98069361229543572</v>
      </c>
      <c r="E904" s="39">
        <f>IF(_xlfn.NORM.INV(R904,C904,'Regressão Grupo 2'!$B$7)&lt;=0,0,IF(_xlfn.NORM.INV(R904,C904,'Regressão Grupo 2'!$B$7)&gt;100%,100%,_xlfn.NORM.INV(R904,C904,'Regressão Grupo 2'!$B$7)))</f>
        <v>0.67083996170303306</v>
      </c>
      <c r="F904" s="39">
        <f>IF(_xlfn.NORM.INV(S904,D904,'Regressão Grupo 2'!$B$7)&lt;=0,0,IF(_xlfn.NORM.INV(S904,D904,'Regressão Grupo 2'!$B$7)&gt;100%,100%,_xlfn.NORM.INV(S904,D904,'Regressão Grupo 2'!$B$7)))</f>
        <v>1</v>
      </c>
      <c r="G904" s="41">
        <v>2.1141977887792533E-2</v>
      </c>
      <c r="H904" s="41">
        <v>9.2791771934208605E-3</v>
      </c>
      <c r="I904" s="40">
        <f t="shared" si="142"/>
        <v>283.53460224049411</v>
      </c>
      <c r="J904" s="40">
        <f t="shared" si="142"/>
        <v>0</v>
      </c>
      <c r="K904" s="36">
        <v>0.37372089608139114</v>
      </c>
      <c r="L904" s="42">
        <f t="shared" si="146"/>
        <v>19991.322604477216</v>
      </c>
      <c r="M904" s="42">
        <f t="shared" si="146"/>
        <v>0</v>
      </c>
      <c r="N904" s="42">
        <f t="shared" si="143"/>
        <v>7471.1749975973953</v>
      </c>
      <c r="O904" s="36">
        <v>6.2340165570090864</v>
      </c>
      <c r="P904" s="42">
        <f t="shared" si="144"/>
        <v>8972.6014832326218</v>
      </c>
      <c r="Q904" s="42"/>
      <c r="R904">
        <v>0.90093691824091315</v>
      </c>
      <c r="S904">
        <v>0.63304544206060975</v>
      </c>
    </row>
    <row r="905" spans="1:19" x14ac:dyDescent="0.25">
      <c r="A905" s="40">
        <f t="shared" si="145"/>
        <v>64.229676878151835</v>
      </c>
      <c r="B905" s="40">
        <f t="shared" si="145"/>
        <v>32.933286051621081</v>
      </c>
      <c r="C905" s="41">
        <f t="shared" si="140"/>
        <v>0.49289226185293716</v>
      </c>
      <c r="D905" s="41">
        <f t="shared" si="141"/>
        <v>0.98069361229543572</v>
      </c>
      <c r="E905" s="39">
        <f>IF(_xlfn.NORM.INV(R905,C905,'Regressão Grupo 2'!$B$7)&lt;=0,0,IF(_xlfn.NORM.INV(R905,C905,'Regressão Grupo 2'!$B$7)&gt;100%,100%,_xlfn.NORM.INV(R905,C905,'Regressão Grupo 2'!$B$7)))</f>
        <v>0.33448408741696389</v>
      </c>
      <c r="F905" s="39">
        <f>IF(_xlfn.NORM.INV(S905,D905,'Regressão Grupo 2'!$B$7)&lt;=0,0,IF(_xlfn.NORM.INV(S905,D905,'Regressão Grupo 2'!$B$7)&gt;100%,100%,_xlfn.NORM.INV(S905,D905,'Regressão Grupo 2'!$B$7)))</f>
        <v>0.88689977464907965</v>
      </c>
      <c r="G905" s="41">
        <v>1.7202608230687203E-2</v>
      </c>
      <c r="H905" s="41">
        <v>1.6126979484596623E-2</v>
      </c>
      <c r="I905" s="40">
        <f t="shared" si="142"/>
        <v>115.03004458196956</v>
      </c>
      <c r="J905" s="40">
        <f t="shared" si="142"/>
        <v>0</v>
      </c>
      <c r="K905" s="36">
        <v>0.1885120716374977</v>
      </c>
      <c r="L905" s="42">
        <f t="shared" si="146"/>
        <v>19991.322604477216</v>
      </c>
      <c r="M905" s="42">
        <f t="shared" si="146"/>
        <v>0</v>
      </c>
      <c r="N905" s="42">
        <f t="shared" si="143"/>
        <v>3768.6056389435362</v>
      </c>
      <c r="O905" s="36">
        <v>5.165547111634746</v>
      </c>
      <c r="P905" s="42">
        <f t="shared" si="144"/>
        <v>3025.5438412941594</v>
      </c>
      <c r="Q905" s="42"/>
      <c r="R905">
        <v>0.12598040711691641</v>
      </c>
      <c r="S905">
        <v>0.24878688924832912</v>
      </c>
    </row>
    <row r="906" spans="1:19" x14ac:dyDescent="0.25">
      <c r="A906" s="40">
        <f t="shared" si="145"/>
        <v>64.229676878151835</v>
      </c>
      <c r="B906" s="40">
        <f t="shared" si="145"/>
        <v>32.933286051621081</v>
      </c>
      <c r="C906" s="41">
        <f t="shared" si="140"/>
        <v>0.49289226185293716</v>
      </c>
      <c r="D906" s="41">
        <f t="shared" si="141"/>
        <v>0.98069361229543572</v>
      </c>
      <c r="E906" s="39">
        <f>IF(_xlfn.NORM.INV(R906,C906,'Regressão Grupo 2'!$B$7)&lt;=0,0,IF(_xlfn.NORM.INV(R906,C906,'Regressão Grupo 2'!$B$7)&gt;100%,100%,_xlfn.NORM.INV(R906,C906,'Regressão Grupo 2'!$B$7)))</f>
        <v>0.51626915361228665</v>
      </c>
      <c r="F906" s="39">
        <f>IF(_xlfn.NORM.INV(S906,D906,'Regressão Grupo 2'!$B$7)&lt;=0,0,IF(_xlfn.NORM.INV(S906,D906,'Regressão Grupo 2'!$B$7)&gt;100%,100%,_xlfn.NORM.INV(S906,D906,'Regressão Grupo 2'!$B$7)))</f>
        <v>1</v>
      </c>
      <c r="G906" s="41">
        <v>2.6270931966228366E-2</v>
      </c>
      <c r="H906" s="41">
        <v>1.2304369241140837E-2</v>
      </c>
      <c r="I906" s="40">
        <f t="shared" si="142"/>
        <v>271.13974581308645</v>
      </c>
      <c r="J906" s="40">
        <f t="shared" si="142"/>
        <v>0</v>
      </c>
      <c r="K906" s="36">
        <v>0.25006756850154799</v>
      </c>
      <c r="L906" s="42">
        <f t="shared" si="146"/>
        <v>19991.322604477216</v>
      </c>
      <c r="M906" s="42">
        <f t="shared" si="146"/>
        <v>0</v>
      </c>
      <c r="N906" s="42">
        <f t="shared" si="143"/>
        <v>4999.1814348316511</v>
      </c>
      <c r="O906" s="36">
        <v>6.8360550630428394</v>
      </c>
      <c r="P906" s="42">
        <f t="shared" si="144"/>
        <v>10562.510595409416</v>
      </c>
      <c r="Q906" s="42"/>
      <c r="R906">
        <v>0.5671254615924558</v>
      </c>
      <c r="S906">
        <v>0.57679982909634697</v>
      </c>
    </row>
    <row r="907" spans="1:19" x14ac:dyDescent="0.25">
      <c r="A907" s="40">
        <f t="shared" si="145"/>
        <v>64.229676878151835</v>
      </c>
      <c r="B907" s="40">
        <f t="shared" si="145"/>
        <v>32.933286051621081</v>
      </c>
      <c r="C907" s="41">
        <f t="shared" si="140"/>
        <v>0.49289226185293716</v>
      </c>
      <c r="D907" s="41">
        <f t="shared" si="141"/>
        <v>0.98069361229543572</v>
      </c>
      <c r="E907" s="39">
        <f>IF(_xlfn.NORM.INV(R907,C907,'Regressão Grupo 2'!$B$7)&lt;=0,0,IF(_xlfn.NORM.INV(R907,C907,'Regressão Grupo 2'!$B$7)&gt;100%,100%,_xlfn.NORM.INV(R907,C907,'Regressão Grupo 2'!$B$7)))</f>
        <v>0.29771130959630682</v>
      </c>
      <c r="F907" s="39">
        <f>IF(_xlfn.NORM.INV(S907,D907,'Regressão Grupo 2'!$B$7)&lt;=0,0,IF(_xlfn.NORM.INV(S907,D907,'Regressão Grupo 2'!$B$7)&gt;100%,100%,_xlfn.NORM.INV(S907,D907,'Regressão Grupo 2'!$B$7)))</f>
        <v>0.86561837258414598</v>
      </c>
      <c r="G907" s="41">
        <v>2.3518113303488859E-2</v>
      </c>
      <c r="H907" s="41">
        <v>1.8694213847658545E-2</v>
      </c>
      <c r="I907" s="40">
        <f t="shared" si="142"/>
        <v>139.97141049171131</v>
      </c>
      <c r="J907" s="40">
        <f t="shared" si="142"/>
        <v>0</v>
      </c>
      <c r="K907" s="36">
        <v>0.19575941026625537</v>
      </c>
      <c r="L907" s="42">
        <f t="shared" si="146"/>
        <v>19991.322604477216</v>
      </c>
      <c r="M907" s="42">
        <f t="shared" si="146"/>
        <v>0</v>
      </c>
      <c r="N907" s="42">
        <f t="shared" si="143"/>
        <v>3913.4895234949204</v>
      </c>
      <c r="O907" s="36">
        <v>3.704015971223102</v>
      </c>
      <c r="P907" s="42">
        <f t="shared" si="144"/>
        <v>4558.3726045909261</v>
      </c>
      <c r="Q907" s="42"/>
      <c r="R907">
        <v>7.904293954283273E-2</v>
      </c>
      <c r="S907">
        <v>0.20264290292062137</v>
      </c>
    </row>
    <row r="908" spans="1:19" x14ac:dyDescent="0.25">
      <c r="A908" s="40">
        <f t="shared" si="145"/>
        <v>64.229676878151835</v>
      </c>
      <c r="B908" s="40">
        <f t="shared" si="145"/>
        <v>32.933286051621081</v>
      </c>
      <c r="C908" s="41">
        <f t="shared" si="140"/>
        <v>0.49289226185293716</v>
      </c>
      <c r="D908" s="41">
        <f t="shared" si="141"/>
        <v>0.98069361229543572</v>
      </c>
      <c r="E908" s="39">
        <f>IF(_xlfn.NORM.INV(R908,C908,'Regressão Grupo 2'!$B$7)&lt;=0,0,IF(_xlfn.NORM.INV(R908,C908,'Regressão Grupo 2'!$B$7)&gt;100%,100%,_xlfn.NORM.INV(R908,C908,'Regressão Grupo 2'!$B$7)))</f>
        <v>0.59427173351851514</v>
      </c>
      <c r="F908" s="39">
        <f>IF(_xlfn.NORM.INV(S908,D908,'Regressão Grupo 2'!$B$7)&lt;=0,0,IF(_xlfn.NORM.INV(S908,D908,'Regressão Grupo 2'!$B$7)&gt;100%,100%,_xlfn.NORM.INV(S908,D908,'Regressão Grupo 2'!$B$7)))</f>
        <v>0.89987826640250634</v>
      </c>
      <c r="G908" s="41">
        <v>8.2900170038230636E-3</v>
      </c>
      <c r="H908" s="41">
        <v>2.6213959788268484E-2</v>
      </c>
      <c r="I908" s="40">
        <f t="shared" si="142"/>
        <v>98.487706128520713</v>
      </c>
      <c r="J908" s="40">
        <f t="shared" si="142"/>
        <v>0</v>
      </c>
      <c r="K908" s="36">
        <v>0.34366326260019553</v>
      </c>
      <c r="L908" s="42">
        <f t="shared" si="146"/>
        <v>19991.322604477216</v>
      </c>
      <c r="M908" s="42">
        <f t="shared" si="146"/>
        <v>0</v>
      </c>
      <c r="N908" s="42">
        <f t="shared" si="143"/>
        <v>6870.2831499476788</v>
      </c>
      <c r="O908" s="36">
        <v>5.5283838643774672</v>
      </c>
      <c r="P908" s="42">
        <f t="shared" si="144"/>
        <v>-1088.927454242883</v>
      </c>
      <c r="Q908" s="42"/>
      <c r="R908">
        <v>0.76827295754875335</v>
      </c>
      <c r="S908">
        <v>0.27945799127170629</v>
      </c>
    </row>
    <row r="909" spans="1:19" x14ac:dyDescent="0.25">
      <c r="A909" s="40">
        <f t="shared" si="145"/>
        <v>64.229676878151835</v>
      </c>
      <c r="B909" s="40">
        <f t="shared" si="145"/>
        <v>32.933286051621081</v>
      </c>
      <c r="C909" s="41">
        <f t="shared" si="140"/>
        <v>0.49289226185293716</v>
      </c>
      <c r="D909" s="41">
        <f t="shared" si="141"/>
        <v>0.98069361229543572</v>
      </c>
      <c r="E909" s="39">
        <f>IF(_xlfn.NORM.INV(R909,C909,'Regressão Grupo 2'!$B$7)&lt;=0,0,IF(_xlfn.NORM.INV(R909,C909,'Regressão Grupo 2'!$B$7)&gt;100%,100%,_xlfn.NORM.INV(R909,C909,'Regressão Grupo 2'!$B$7)))</f>
        <v>0.5174933182037641</v>
      </c>
      <c r="F909" s="39">
        <f>IF(_xlfn.NORM.INV(S909,D909,'Regressão Grupo 2'!$B$7)&lt;=0,0,IF(_xlfn.NORM.INV(S909,D909,'Regressão Grupo 2'!$B$7)&gt;100%,100%,_xlfn.NORM.INV(S909,D909,'Regressão Grupo 2'!$B$7)))</f>
        <v>0.93727169352144346</v>
      </c>
      <c r="G909" s="41">
        <v>1.5372505171659093E-2</v>
      </c>
      <c r="H909" s="41">
        <v>1.8385714851821448E-2</v>
      </c>
      <c r="I909" s="40">
        <f t="shared" si="142"/>
        <v>159.03434406237727</v>
      </c>
      <c r="J909" s="40">
        <f t="shared" si="142"/>
        <v>0</v>
      </c>
      <c r="K909" s="36">
        <v>0.32158566600240418</v>
      </c>
      <c r="L909" s="42">
        <f t="shared" si="146"/>
        <v>19991.322604477216</v>
      </c>
      <c r="M909" s="42">
        <f t="shared" si="146"/>
        <v>0</v>
      </c>
      <c r="N909" s="42">
        <f t="shared" si="143"/>
        <v>6428.9227940297233</v>
      </c>
      <c r="O909" s="36">
        <v>4.194750513657465</v>
      </c>
      <c r="P909" s="42">
        <f t="shared" si="144"/>
        <v>3118.6923411807575</v>
      </c>
      <c r="Q909" s="42"/>
      <c r="R909">
        <v>0.5706045716727195</v>
      </c>
      <c r="S909">
        <v>0.37675099948118534</v>
      </c>
    </row>
    <row r="910" spans="1:19" x14ac:dyDescent="0.25">
      <c r="A910" s="40">
        <f t="shared" si="145"/>
        <v>64.229676878151835</v>
      </c>
      <c r="B910" s="40">
        <f t="shared" si="145"/>
        <v>32.933286051621081</v>
      </c>
      <c r="C910" s="41">
        <f t="shared" si="140"/>
        <v>0.49289226185293716</v>
      </c>
      <c r="D910" s="41">
        <f t="shared" si="141"/>
        <v>0.98069361229543572</v>
      </c>
      <c r="E910" s="39">
        <f>IF(_xlfn.NORM.INV(R910,C910,'Regressão Grupo 2'!$B$7)&lt;=0,0,IF(_xlfn.NORM.INV(R910,C910,'Regressão Grupo 2'!$B$7)&gt;100%,100%,_xlfn.NORM.INV(R910,C910,'Regressão Grupo 2'!$B$7)))</f>
        <v>0.73206874536707078</v>
      </c>
      <c r="F910" s="39">
        <f>IF(_xlfn.NORM.INV(S910,D910,'Regressão Grupo 2'!$B$7)&lt;=0,0,IF(_xlfn.NORM.INV(S910,D910,'Regressão Grupo 2'!$B$7)&gt;100%,100%,_xlfn.NORM.INV(S910,D910,'Regressão Grupo 2'!$B$7)))</f>
        <v>1</v>
      </c>
      <c r="G910" s="41">
        <v>1.1048068703738203E-2</v>
      </c>
      <c r="H910" s="41">
        <v>1.2737743657620201E-2</v>
      </c>
      <c r="I910" s="40">
        <f t="shared" si="142"/>
        <v>161.6887335888693</v>
      </c>
      <c r="J910" s="40">
        <f t="shared" si="142"/>
        <v>0</v>
      </c>
      <c r="K910" s="36">
        <v>0.42390350158767043</v>
      </c>
      <c r="L910" s="42">
        <f t="shared" si="146"/>
        <v>19991.322604477216</v>
      </c>
      <c r="M910" s="42">
        <f t="shared" si="146"/>
        <v>0</v>
      </c>
      <c r="N910" s="42">
        <f t="shared" si="143"/>
        <v>8474.3916534066393</v>
      </c>
      <c r="O910" s="36">
        <v>6.3975583772150024</v>
      </c>
      <c r="P910" s="42">
        <f t="shared" si="144"/>
        <v>876.41034777125424</v>
      </c>
      <c r="Q910" s="42"/>
      <c r="R910">
        <v>0.95815912350840782</v>
      </c>
      <c r="S910">
        <v>0.59874263740958888</v>
      </c>
    </row>
    <row r="911" spans="1:19" x14ac:dyDescent="0.25">
      <c r="A911" s="40">
        <f t="shared" si="145"/>
        <v>64.229676878151835</v>
      </c>
      <c r="B911" s="40">
        <f t="shared" si="145"/>
        <v>32.933286051621081</v>
      </c>
      <c r="C911" s="41">
        <f t="shared" si="140"/>
        <v>0.49289226185293716</v>
      </c>
      <c r="D911" s="41">
        <f t="shared" si="141"/>
        <v>0.98069361229543572</v>
      </c>
      <c r="E911" s="39">
        <f>IF(_xlfn.NORM.INV(R911,C911,'Regressão Grupo 2'!$B$7)&lt;=0,0,IF(_xlfn.NORM.INV(R911,C911,'Regressão Grupo 2'!$B$7)&gt;100%,100%,_xlfn.NORM.INV(R911,C911,'Regressão Grupo 2'!$B$7)))</f>
        <v>0.64851895196950871</v>
      </c>
      <c r="F911" s="39">
        <f>IF(_xlfn.NORM.INV(S911,D911,'Regressão Grupo 2'!$B$7)&lt;=0,0,IF(_xlfn.NORM.INV(S911,D911,'Regressão Grupo 2'!$B$7)&gt;100%,100%,_xlfn.NORM.INV(S911,D911,'Regressão Grupo 2'!$B$7)))</f>
        <v>1</v>
      </c>
      <c r="G911" s="41">
        <v>1.8211760866853593E-2</v>
      </c>
      <c r="H911" s="41">
        <v>1.8341087810990222E-2</v>
      </c>
      <c r="I911" s="40">
        <f t="shared" si="142"/>
        <v>236.11095554487505</v>
      </c>
      <c r="J911" s="40">
        <f t="shared" si="142"/>
        <v>0</v>
      </c>
      <c r="K911" s="36">
        <v>0.3126052516073124</v>
      </c>
      <c r="L911" s="42">
        <f t="shared" si="146"/>
        <v>19991.322604477216</v>
      </c>
      <c r="M911" s="42">
        <f t="shared" si="146"/>
        <v>0</v>
      </c>
      <c r="N911" s="42">
        <f t="shared" si="143"/>
        <v>6249.3924327355517</v>
      </c>
      <c r="O911" s="36">
        <v>9.8868527141662224</v>
      </c>
      <c r="P911" s="42">
        <f t="shared" si="144"/>
        <v>6581.5437076302178</v>
      </c>
      <c r="Q911" s="42"/>
      <c r="R911">
        <v>0.86980803857539601</v>
      </c>
      <c r="S911">
        <v>0.93655201879940186</v>
      </c>
    </row>
    <row r="912" spans="1:19" x14ac:dyDescent="0.25">
      <c r="A912" s="40">
        <f t="shared" si="145"/>
        <v>64.229676878151835</v>
      </c>
      <c r="B912" s="40">
        <f t="shared" si="145"/>
        <v>32.933286051621081</v>
      </c>
      <c r="C912" s="41">
        <f t="shared" si="140"/>
        <v>0.49289226185293716</v>
      </c>
      <c r="D912" s="41">
        <f t="shared" si="141"/>
        <v>0.98069361229543572</v>
      </c>
      <c r="E912" s="39">
        <f>IF(_xlfn.NORM.INV(R912,C912,'Regressão Grupo 2'!$B$7)&lt;=0,0,IF(_xlfn.NORM.INV(R912,C912,'Regressão Grupo 2'!$B$7)&gt;100%,100%,_xlfn.NORM.INV(R912,C912,'Regressão Grupo 2'!$B$7)))</f>
        <v>0.38654774429231487</v>
      </c>
      <c r="F912" s="39">
        <f>IF(_xlfn.NORM.INV(S912,D912,'Regressão Grupo 2'!$B$7)&lt;=0,0,IF(_xlfn.NORM.INV(S912,D912,'Regressão Grupo 2'!$B$7)&gt;100%,100%,_xlfn.NORM.INV(S912,D912,'Regressão Grupo 2'!$B$7)))</f>
        <v>0.73936361324987987</v>
      </c>
      <c r="G912" s="41">
        <v>9.6325664256795753E-3</v>
      </c>
      <c r="H912" s="41">
        <v>1.5461063209088174E-2</v>
      </c>
      <c r="I912" s="40">
        <f t="shared" si="142"/>
        <v>74.436626651050162</v>
      </c>
      <c r="J912" s="40">
        <f t="shared" si="142"/>
        <v>0</v>
      </c>
      <c r="K912" s="36">
        <v>0.44373122634523798</v>
      </c>
      <c r="L912" s="42">
        <f t="shared" si="146"/>
        <v>19991.322604477216</v>
      </c>
      <c r="M912" s="42">
        <f t="shared" si="146"/>
        <v>0</v>
      </c>
      <c r="N912" s="42">
        <f t="shared" si="143"/>
        <v>8870.774095547953</v>
      </c>
      <c r="O912" s="36">
        <v>5.0439098263515625</v>
      </c>
      <c r="P912" s="42">
        <f t="shared" si="144"/>
        <v>-4465.1852504570707</v>
      </c>
      <c r="Q912" s="42"/>
      <c r="R912">
        <v>0.22092349009674367</v>
      </c>
      <c r="S912">
        <v>4.0467543565172279E-2</v>
      </c>
    </row>
    <row r="913" spans="1:19" x14ac:dyDescent="0.25">
      <c r="A913" s="40">
        <f t="shared" si="145"/>
        <v>64.229676878151835</v>
      </c>
      <c r="B913" s="40">
        <f t="shared" si="145"/>
        <v>32.933286051621081</v>
      </c>
      <c r="C913" s="41">
        <f t="shared" si="140"/>
        <v>0.49289226185293716</v>
      </c>
      <c r="D913" s="41">
        <f t="shared" si="141"/>
        <v>0.98069361229543572</v>
      </c>
      <c r="E913" s="39">
        <f>IF(_xlfn.NORM.INV(R913,C913,'Regressão Grupo 2'!$B$7)&lt;=0,0,IF(_xlfn.NORM.INV(R913,C913,'Regressão Grupo 2'!$B$7)&gt;100%,100%,_xlfn.NORM.INV(R913,C913,'Regressão Grupo 2'!$B$7)))</f>
        <v>0.55916608522459377</v>
      </c>
      <c r="F913" s="39">
        <f>IF(_xlfn.NORM.INV(S913,D913,'Regressão Grupo 2'!$B$7)&lt;=0,0,IF(_xlfn.NORM.INV(S913,D913,'Regressão Grupo 2'!$B$7)&gt;100%,100%,_xlfn.NORM.INV(S913,D913,'Regressão Grupo 2'!$B$7)))</f>
        <v>1</v>
      </c>
      <c r="G913" s="41">
        <v>2.3288405480533805E-2</v>
      </c>
      <c r="H913" s="41">
        <v>1.3702017988424502E-2</v>
      </c>
      <c r="I913" s="40">
        <f t="shared" si="142"/>
        <v>260.32873267816342</v>
      </c>
      <c r="J913" s="40">
        <f t="shared" si="142"/>
        <v>0</v>
      </c>
      <c r="K913" s="36">
        <v>0.2165756324549663</v>
      </c>
      <c r="L913" s="42">
        <f t="shared" si="146"/>
        <v>19991.322604477216</v>
      </c>
      <c r="M913" s="42">
        <f t="shared" si="146"/>
        <v>0</v>
      </c>
      <c r="N913" s="42">
        <f t="shared" si="143"/>
        <v>4329.6333366759172</v>
      </c>
      <c r="O913" s="36">
        <v>5.8443816485189446</v>
      </c>
      <c r="P913" s="42">
        <f t="shared" si="144"/>
        <v>10869.736577494834</v>
      </c>
      <c r="Q913" s="42"/>
      <c r="R913">
        <v>0.68413342692342904</v>
      </c>
      <c r="S913">
        <v>0.58442945646534628</v>
      </c>
    </row>
    <row r="914" spans="1:19" x14ac:dyDescent="0.25">
      <c r="A914" s="40">
        <f t="shared" si="145"/>
        <v>64.229676878151835</v>
      </c>
      <c r="B914" s="40">
        <f t="shared" si="145"/>
        <v>32.933286051621081</v>
      </c>
      <c r="C914" s="41">
        <f t="shared" si="140"/>
        <v>0.49289226185293716</v>
      </c>
      <c r="D914" s="41">
        <f t="shared" si="141"/>
        <v>0.98069361229543572</v>
      </c>
      <c r="E914" s="39">
        <f>IF(_xlfn.NORM.INV(R914,C914,'Regressão Grupo 2'!$B$7)&lt;=0,0,IF(_xlfn.NORM.INV(R914,C914,'Regressão Grupo 2'!$B$7)&gt;100%,100%,_xlfn.NORM.INV(R914,C914,'Regressão Grupo 2'!$B$7)))</f>
        <v>0.4843240015467844</v>
      </c>
      <c r="F914" s="39">
        <f>IF(_xlfn.NORM.INV(S914,D914,'Regressão Grupo 2'!$B$7)&lt;=0,0,IF(_xlfn.NORM.INV(S914,D914,'Regressão Grupo 2'!$B$7)&gt;100%,100%,_xlfn.NORM.INV(S914,D914,'Regressão Grupo 2'!$B$7)))</f>
        <v>0.89644001623094849</v>
      </c>
      <c r="G914" s="41">
        <v>1.9715890849412089E-2</v>
      </c>
      <c r="H914" s="41">
        <v>1.2261484504204893E-2</v>
      </c>
      <c r="I914" s="40">
        <f t="shared" si="142"/>
        <v>190.89472360375191</v>
      </c>
      <c r="J914" s="40">
        <f t="shared" si="142"/>
        <v>0</v>
      </c>
      <c r="K914" s="36">
        <v>0.17935181767305383</v>
      </c>
      <c r="L914" s="42">
        <f t="shared" si="146"/>
        <v>19991.322604477216</v>
      </c>
      <c r="M914" s="42">
        <f t="shared" si="146"/>
        <v>0</v>
      </c>
      <c r="N914" s="42">
        <f t="shared" si="143"/>
        <v>3585.4800468013973</v>
      </c>
      <c r="O914" s="36">
        <v>2.6611822608475508</v>
      </c>
      <c r="P914" s="42">
        <f t="shared" si="144"/>
        <v>8167.6207158679927</v>
      </c>
      <c r="Q914" s="42"/>
      <c r="R914">
        <v>0.47529526657918025</v>
      </c>
      <c r="S914">
        <v>0.27115695669423506</v>
      </c>
    </row>
    <row r="915" spans="1:19" x14ac:dyDescent="0.25">
      <c r="A915" s="40">
        <f t="shared" si="145"/>
        <v>64.229676878151835</v>
      </c>
      <c r="B915" s="40">
        <f t="shared" si="145"/>
        <v>32.933286051621081</v>
      </c>
      <c r="C915" s="41">
        <f t="shared" si="140"/>
        <v>0.49289226185293716</v>
      </c>
      <c r="D915" s="41">
        <f t="shared" si="141"/>
        <v>0.98069361229543572</v>
      </c>
      <c r="E915" s="39">
        <f>IF(_xlfn.NORM.INV(R915,C915,'Regressão Grupo 2'!$B$7)&lt;=0,0,IF(_xlfn.NORM.INV(R915,C915,'Regressão Grupo 2'!$B$7)&gt;100%,100%,_xlfn.NORM.INV(R915,C915,'Regressão Grupo 2'!$B$7)))</f>
        <v>0.39841827337439223</v>
      </c>
      <c r="F915" s="39">
        <f>IF(_xlfn.NORM.INV(S915,D915,'Regressão Grupo 2'!$B$7)&lt;=0,0,IF(_xlfn.NORM.INV(S915,D915,'Regressão Grupo 2'!$B$7)&gt;100%,100%,_xlfn.NORM.INV(S915,D915,'Regressão Grupo 2'!$B$7)))</f>
        <v>0.95304505327513112</v>
      </c>
      <c r="G915" s="41">
        <v>2.2855709384348409E-3</v>
      </c>
      <c r="H915" s="41">
        <v>2.9950890877135962E-3</v>
      </c>
      <c r="I915" s="40">
        <f t="shared" si="142"/>
        <v>18.204362788179314</v>
      </c>
      <c r="J915" s="40">
        <f t="shared" si="142"/>
        <v>0</v>
      </c>
      <c r="K915" s="36">
        <v>0.36058107255791427</v>
      </c>
      <c r="L915" s="42">
        <f t="shared" si="146"/>
        <v>19991.322604477216</v>
      </c>
      <c r="M915" s="42">
        <f t="shared" si="146"/>
        <v>0</v>
      </c>
      <c r="N915" s="42">
        <f t="shared" si="143"/>
        <v>7208.4925465736706</v>
      </c>
      <c r="O915" s="36">
        <v>6.6040978700739172</v>
      </c>
      <c r="P915" s="42">
        <f t="shared" si="144"/>
        <v>-6159.4556004317301</v>
      </c>
      <c r="Q915" s="42"/>
      <c r="R915">
        <v>0.24723044526505325</v>
      </c>
      <c r="S915">
        <v>0.42075869014557327</v>
      </c>
    </row>
    <row r="916" spans="1:19" x14ac:dyDescent="0.25">
      <c r="A916" s="40">
        <f t="shared" si="145"/>
        <v>64.229676878151835</v>
      </c>
      <c r="B916" s="40">
        <f t="shared" si="145"/>
        <v>32.933286051621081</v>
      </c>
      <c r="C916" s="41">
        <f t="shared" si="140"/>
        <v>0.49289226185293716</v>
      </c>
      <c r="D916" s="41">
        <f t="shared" si="141"/>
        <v>0.98069361229543572</v>
      </c>
      <c r="E916" s="39">
        <f>IF(_xlfn.NORM.INV(R916,C916,'Regressão Grupo 2'!$B$7)&lt;=0,0,IF(_xlfn.NORM.INV(R916,C916,'Regressão Grupo 2'!$B$7)&gt;100%,100%,_xlfn.NORM.INV(R916,C916,'Regressão Grupo 2'!$B$7)))</f>
        <v>0.49860064003696009</v>
      </c>
      <c r="F916" s="39">
        <f>IF(_xlfn.NORM.INV(S916,D916,'Regressão Grupo 2'!$B$7)&lt;=0,0,IF(_xlfn.NORM.INV(S916,D916,'Regressão Grupo 2'!$B$7)&gt;100%,100%,_xlfn.NORM.INV(S916,D916,'Regressão Grupo 2'!$B$7)))</f>
        <v>0.81568339662786704</v>
      </c>
      <c r="G916" s="41">
        <v>1.700507050517271E-2</v>
      </c>
      <c r="H916" s="41">
        <v>1.8551416691049892E-2</v>
      </c>
      <c r="I916" s="40">
        <f t="shared" si="142"/>
        <v>169.50120738288987</v>
      </c>
      <c r="J916" s="40">
        <f t="shared" si="142"/>
        <v>0</v>
      </c>
      <c r="K916" s="36">
        <v>0.18853194837904033</v>
      </c>
      <c r="L916" s="42">
        <f t="shared" si="146"/>
        <v>19991.322604477216</v>
      </c>
      <c r="M916" s="42">
        <f t="shared" si="146"/>
        <v>0</v>
      </c>
      <c r="N916" s="42">
        <f t="shared" si="143"/>
        <v>3769.0030012960406</v>
      </c>
      <c r="O916" s="36">
        <v>5.3829320567496355</v>
      </c>
      <c r="P916" s="42">
        <f t="shared" si="144"/>
        <v>6205.5912964844529</v>
      </c>
      <c r="Q916" s="42"/>
      <c r="R916">
        <v>0.51646473586230046</v>
      </c>
      <c r="S916">
        <v>0.11636707663197729</v>
      </c>
    </row>
    <row r="917" spans="1:19" x14ac:dyDescent="0.25">
      <c r="A917" s="40">
        <f t="shared" si="145"/>
        <v>64.229676878151835</v>
      </c>
      <c r="B917" s="40">
        <f t="shared" si="145"/>
        <v>32.933286051621081</v>
      </c>
      <c r="C917" s="41">
        <f t="shared" si="140"/>
        <v>0.49289226185293716</v>
      </c>
      <c r="D917" s="41">
        <f t="shared" si="141"/>
        <v>0.98069361229543572</v>
      </c>
      <c r="E917" s="39">
        <f>IF(_xlfn.NORM.INV(R917,C917,'Regressão Grupo 2'!$B$7)&lt;=0,0,IF(_xlfn.NORM.INV(R917,C917,'Regressão Grupo 2'!$B$7)&gt;100%,100%,_xlfn.NORM.INV(R917,C917,'Regressão Grupo 2'!$B$7)))</f>
        <v>0.71773028987906828</v>
      </c>
      <c r="F917" s="39">
        <f>IF(_xlfn.NORM.INV(S917,D917,'Regressão Grupo 2'!$B$7)&lt;=0,0,IF(_xlfn.NORM.INV(S917,D917,'Regressão Grupo 2'!$B$7)&gt;100%,100%,_xlfn.NORM.INV(S917,D917,'Regressão Grupo 2'!$B$7)))</f>
        <v>0.85495421732908017</v>
      </c>
      <c r="G917" s="41">
        <v>1.6979485335216739E-2</v>
      </c>
      <c r="H917" s="41">
        <v>2.0002744574479911E-2</v>
      </c>
      <c r="I917" s="40">
        <f t="shared" si="142"/>
        <v>243.6280698955222</v>
      </c>
      <c r="J917" s="40">
        <f t="shared" si="142"/>
        <v>0</v>
      </c>
      <c r="K917" s="36">
        <v>0.27795376494353968</v>
      </c>
      <c r="L917" s="42">
        <f t="shared" si="146"/>
        <v>19991.322604477216</v>
      </c>
      <c r="M917" s="42">
        <f t="shared" si="146"/>
        <v>0</v>
      </c>
      <c r="N917" s="42">
        <f t="shared" si="143"/>
        <v>5556.6633841153316</v>
      </c>
      <c r="O917" s="36">
        <v>9.4743865074582327</v>
      </c>
      <c r="P917" s="42">
        <f t="shared" si="144"/>
        <v>7783.2623254656237</v>
      </c>
      <c r="Q917" s="42"/>
      <c r="R917">
        <v>0.94802697836237682</v>
      </c>
      <c r="S917">
        <v>0.1815851313821833</v>
      </c>
    </row>
    <row r="918" spans="1:19" x14ac:dyDescent="0.25">
      <c r="A918" s="40">
        <f t="shared" si="145"/>
        <v>64.229676878151835</v>
      </c>
      <c r="B918" s="40">
        <f t="shared" si="145"/>
        <v>32.933286051621081</v>
      </c>
      <c r="C918" s="41">
        <f t="shared" si="140"/>
        <v>0.49289226185293716</v>
      </c>
      <c r="D918" s="41">
        <f t="shared" si="141"/>
        <v>0.98069361229543572</v>
      </c>
      <c r="E918" s="39">
        <f>IF(_xlfn.NORM.INV(R918,C918,'Regressão Grupo 2'!$B$7)&lt;=0,0,IF(_xlfn.NORM.INV(R918,C918,'Regressão Grupo 2'!$B$7)&gt;100%,100%,_xlfn.NORM.INV(R918,C918,'Regressão Grupo 2'!$B$7)))</f>
        <v>0.69455879442471991</v>
      </c>
      <c r="F918" s="39">
        <f>IF(_xlfn.NORM.INV(S918,D918,'Regressão Grupo 2'!$B$7)&lt;=0,0,IF(_xlfn.NORM.INV(S918,D918,'Regressão Grupo 2'!$B$7)&gt;100%,100%,_xlfn.NORM.INV(S918,D918,'Regressão Grupo 2'!$B$7)))</f>
        <v>1</v>
      </c>
      <c r="G918" s="41">
        <v>1.4667182830195356E-2</v>
      </c>
      <c r="H918" s="41">
        <v>1.6670599791246337E-2</v>
      </c>
      <c r="I918" s="40">
        <f t="shared" si="142"/>
        <v>203.65601793857971</v>
      </c>
      <c r="J918" s="40">
        <f t="shared" si="142"/>
        <v>0</v>
      </c>
      <c r="K918" s="36">
        <v>0.31884648490523582</v>
      </c>
      <c r="L918" s="42">
        <f t="shared" si="146"/>
        <v>19991.322604477216</v>
      </c>
      <c r="M918" s="42">
        <f t="shared" si="146"/>
        <v>0</v>
      </c>
      <c r="N918" s="42">
        <f t="shared" si="143"/>
        <v>6374.1629410441446</v>
      </c>
      <c r="O918" s="36">
        <v>4.4498227483507442</v>
      </c>
      <c r="P918" s="42">
        <f t="shared" si="144"/>
        <v>5800.3641039803051</v>
      </c>
      <c r="Q918" s="42"/>
      <c r="R918">
        <v>0.9276406140324106</v>
      </c>
      <c r="S918">
        <v>0.95214697714163643</v>
      </c>
    </row>
    <row r="919" spans="1:19" x14ac:dyDescent="0.25">
      <c r="A919" s="40">
        <f t="shared" si="145"/>
        <v>64.229676878151835</v>
      </c>
      <c r="B919" s="40">
        <f t="shared" si="145"/>
        <v>32.933286051621081</v>
      </c>
      <c r="C919" s="41">
        <f t="shared" si="140"/>
        <v>0.49289226185293716</v>
      </c>
      <c r="D919" s="41">
        <f t="shared" si="141"/>
        <v>0.98069361229543572</v>
      </c>
      <c r="E919" s="39">
        <f>IF(_xlfn.NORM.INV(R919,C919,'Regressão Grupo 2'!$B$7)&lt;=0,0,IF(_xlfn.NORM.INV(R919,C919,'Regressão Grupo 2'!$B$7)&gt;100%,100%,_xlfn.NORM.INV(R919,C919,'Regressão Grupo 2'!$B$7)))</f>
        <v>0.60056395365569359</v>
      </c>
      <c r="F919" s="39">
        <f>IF(_xlfn.NORM.INV(S919,D919,'Regressão Grupo 2'!$B$7)&lt;=0,0,IF(_xlfn.NORM.INV(S919,D919,'Regressão Grupo 2'!$B$7)&gt;100%,100%,_xlfn.NORM.INV(S919,D919,'Regressão Grupo 2'!$B$7)))</f>
        <v>0.65906932902084447</v>
      </c>
      <c r="G919" s="41">
        <v>2.8881542793952743E-2</v>
      </c>
      <c r="H919" s="41">
        <v>2.2424850261393053E-2</v>
      </c>
      <c r="I919" s="40">
        <f t="shared" si="142"/>
        <v>346.75375928203766</v>
      </c>
      <c r="J919" s="40">
        <f t="shared" si="142"/>
        <v>0</v>
      </c>
      <c r="K919" s="36">
        <v>0.28513916194304523</v>
      </c>
      <c r="L919" s="42">
        <f t="shared" ref="L919:M934" si="147">L918</f>
        <v>19991.322604477216</v>
      </c>
      <c r="M919" s="42">
        <f t="shared" si="147"/>
        <v>0</v>
      </c>
      <c r="N919" s="42">
        <f t="shared" si="143"/>
        <v>5700.3089735736894</v>
      </c>
      <c r="O919" s="36">
        <v>5.518379022588217</v>
      </c>
      <c r="P919" s="42">
        <f t="shared" si="144"/>
        <v>14658.054270170433</v>
      </c>
      <c r="Q919" s="42"/>
      <c r="R919">
        <v>0.78191473128452404</v>
      </c>
      <c r="S919">
        <v>1.0010071108127079E-2</v>
      </c>
    </row>
    <row r="920" spans="1:19" x14ac:dyDescent="0.25">
      <c r="A920" s="40">
        <f t="shared" si="145"/>
        <v>64.229676878151835</v>
      </c>
      <c r="B920" s="40">
        <f t="shared" si="145"/>
        <v>32.933286051621081</v>
      </c>
      <c r="C920" s="41">
        <f t="shared" si="140"/>
        <v>0.49289226185293716</v>
      </c>
      <c r="D920" s="41">
        <f t="shared" si="141"/>
        <v>0.98069361229543572</v>
      </c>
      <c r="E920" s="39">
        <f>IF(_xlfn.NORM.INV(R920,C920,'Regressão Grupo 2'!$B$7)&lt;=0,0,IF(_xlfn.NORM.INV(R920,C920,'Regressão Grupo 2'!$B$7)&gt;100%,100%,_xlfn.NORM.INV(R920,C920,'Regressão Grupo 2'!$B$7)))</f>
        <v>0.45478457123022598</v>
      </c>
      <c r="F920" s="39">
        <f>IF(_xlfn.NORM.INV(S920,D920,'Regressão Grupo 2'!$B$7)&lt;=0,0,IF(_xlfn.NORM.INV(S920,D920,'Regressão Grupo 2'!$B$7)&gt;100%,100%,_xlfn.NORM.INV(S920,D920,'Regressão Grupo 2'!$B$7)))</f>
        <v>1</v>
      </c>
      <c r="G920" s="41">
        <v>1.6625526993508798E-2</v>
      </c>
      <c r="H920" s="41">
        <v>2.4161998822572049E-2</v>
      </c>
      <c r="I920" s="40">
        <f t="shared" si="142"/>
        <v>151.15505322905344</v>
      </c>
      <c r="J920" s="40">
        <f t="shared" si="142"/>
        <v>0</v>
      </c>
      <c r="K920" s="36">
        <v>0.3985542616414286</v>
      </c>
      <c r="L920" s="42">
        <f t="shared" si="147"/>
        <v>19991.322604477216</v>
      </c>
      <c r="M920" s="42">
        <f t="shared" si="147"/>
        <v>0</v>
      </c>
      <c r="N920" s="42">
        <f t="shared" si="143"/>
        <v>7967.6268198630187</v>
      </c>
      <c r="O920" s="36">
        <v>4.5532633110131941</v>
      </c>
      <c r="P920" s="42">
        <f t="shared" si="144"/>
        <v>1052.7646493968296</v>
      </c>
      <c r="Q920" s="42"/>
      <c r="R920">
        <v>0.39143040253913997</v>
      </c>
      <c r="S920">
        <v>0.89495529038361765</v>
      </c>
    </row>
    <row r="921" spans="1:19" x14ac:dyDescent="0.25">
      <c r="A921" s="40">
        <f t="shared" si="145"/>
        <v>64.229676878151835</v>
      </c>
      <c r="B921" s="40">
        <f t="shared" si="145"/>
        <v>32.933286051621081</v>
      </c>
      <c r="C921" s="41">
        <f t="shared" si="140"/>
        <v>0.49289226185293716</v>
      </c>
      <c r="D921" s="41">
        <f t="shared" si="141"/>
        <v>0.98069361229543572</v>
      </c>
      <c r="E921" s="39">
        <f>IF(_xlfn.NORM.INV(R921,C921,'Regressão Grupo 2'!$B$7)&lt;=0,0,IF(_xlfn.NORM.INV(R921,C921,'Regressão Grupo 2'!$B$7)&gt;100%,100%,_xlfn.NORM.INV(R921,C921,'Regressão Grupo 2'!$B$7)))</f>
        <v>0.459901617171877</v>
      </c>
      <c r="F921" s="39">
        <f>IF(_xlfn.NORM.INV(S921,D921,'Regressão Grupo 2'!$B$7)&lt;=0,0,IF(_xlfn.NORM.INV(S921,D921,'Regressão Grupo 2'!$B$7)&gt;100%,100%,_xlfn.NORM.INV(S921,D921,'Regressão Grupo 2'!$B$7)))</f>
        <v>0.95157582903089089</v>
      </c>
      <c r="G921" s="41">
        <v>1.5592974458111719E-2</v>
      </c>
      <c r="H921" s="41">
        <v>1.4585343858093706E-2</v>
      </c>
      <c r="I921" s="40">
        <f t="shared" si="142"/>
        <v>143.36245576082914</v>
      </c>
      <c r="J921" s="40">
        <f t="shared" si="142"/>
        <v>0</v>
      </c>
      <c r="K921" s="36">
        <v>0.18737462461988502</v>
      </c>
      <c r="L921" s="42">
        <f t="shared" si="147"/>
        <v>19991.322604477216</v>
      </c>
      <c r="M921" s="42">
        <f t="shared" si="147"/>
        <v>0</v>
      </c>
      <c r="N921" s="42">
        <f t="shared" si="143"/>
        <v>3745.8665686689405</v>
      </c>
      <c r="O921" s="36">
        <v>6.4721600308298104</v>
      </c>
      <c r="P921" s="42">
        <f t="shared" si="144"/>
        <v>4534.3928852106073</v>
      </c>
      <c r="Q921" s="42"/>
      <c r="R921">
        <v>0.40571306497390669</v>
      </c>
      <c r="S921">
        <v>0.41660817285683766</v>
      </c>
    </row>
    <row r="922" spans="1:19" x14ac:dyDescent="0.25">
      <c r="A922" s="40">
        <f t="shared" si="145"/>
        <v>64.229676878151835</v>
      </c>
      <c r="B922" s="40">
        <f t="shared" si="145"/>
        <v>32.933286051621081</v>
      </c>
      <c r="C922" s="41">
        <f t="shared" si="140"/>
        <v>0.49289226185293716</v>
      </c>
      <c r="D922" s="41">
        <f t="shared" si="141"/>
        <v>0.98069361229543572</v>
      </c>
      <c r="E922" s="39">
        <f>IF(_xlfn.NORM.INV(R922,C922,'Regressão Grupo 2'!$B$7)&lt;=0,0,IF(_xlfn.NORM.INV(R922,C922,'Regressão Grupo 2'!$B$7)&gt;100%,100%,_xlfn.NORM.INV(R922,C922,'Regressão Grupo 2'!$B$7)))</f>
        <v>0.46970848940279536</v>
      </c>
      <c r="F922" s="39">
        <f>IF(_xlfn.NORM.INV(S922,D922,'Regressão Grupo 2'!$B$7)&lt;=0,0,IF(_xlfn.NORM.INV(S922,D922,'Regressão Grupo 2'!$B$7)&gt;100%,100%,_xlfn.NORM.INV(S922,D922,'Regressão Grupo 2'!$B$7)))</f>
        <v>1</v>
      </c>
      <c r="G922" s="41">
        <v>1.8404469078446103E-2</v>
      </c>
      <c r="H922" s="41">
        <v>2.4155709419162598E-2</v>
      </c>
      <c r="I922" s="40">
        <f t="shared" si="142"/>
        <v>172.81969359396007</v>
      </c>
      <c r="J922" s="40">
        <f t="shared" si="142"/>
        <v>0</v>
      </c>
      <c r="K922" s="36">
        <v>0.2741243799640819</v>
      </c>
      <c r="L922" s="42">
        <f t="shared" si="147"/>
        <v>19991.322604477216</v>
      </c>
      <c r="M922" s="42">
        <f t="shared" si="147"/>
        <v>0</v>
      </c>
      <c r="N922" s="42">
        <f t="shared" si="143"/>
        <v>5480.1089136142518</v>
      </c>
      <c r="O922" s="36">
        <v>6.0466757492526915</v>
      </c>
      <c r="P922" s="42">
        <f t="shared" si="144"/>
        <v>4575.0595138591298</v>
      </c>
      <c r="Q922" s="42"/>
      <c r="R922">
        <v>0.43342387157811213</v>
      </c>
      <c r="S922">
        <v>0.69695120090334783</v>
      </c>
    </row>
    <row r="923" spans="1:19" x14ac:dyDescent="0.25">
      <c r="A923" s="40">
        <f t="shared" si="145"/>
        <v>64.229676878151835</v>
      </c>
      <c r="B923" s="40">
        <f t="shared" si="145"/>
        <v>32.933286051621081</v>
      </c>
      <c r="C923" s="41">
        <f t="shared" si="140"/>
        <v>0.49289226185293716</v>
      </c>
      <c r="D923" s="41">
        <f t="shared" si="141"/>
        <v>0.98069361229543572</v>
      </c>
      <c r="E923" s="39">
        <f>IF(_xlfn.NORM.INV(R923,C923,'Regressão Grupo 2'!$B$7)&lt;=0,0,IF(_xlfn.NORM.INV(R923,C923,'Regressão Grupo 2'!$B$7)&gt;100%,100%,_xlfn.NORM.INV(R923,C923,'Regressão Grupo 2'!$B$7)))</f>
        <v>0.29594813590262442</v>
      </c>
      <c r="F923" s="39">
        <f>IF(_xlfn.NORM.INV(S923,D923,'Regressão Grupo 2'!$B$7)&lt;=0,0,IF(_xlfn.NORM.INV(S923,D923,'Regressão Grupo 2'!$B$7)&gt;100%,100%,_xlfn.NORM.INV(S923,D923,'Regressão Grupo 2'!$B$7)))</f>
        <v>1</v>
      </c>
      <c r="G923" s="41">
        <v>2.0246885760361225E-2</v>
      </c>
      <c r="H923" s="41">
        <v>1.506502956502693E-2</v>
      </c>
      <c r="I923" s="40">
        <f t="shared" si="142"/>
        <v>119.7885667744506</v>
      </c>
      <c r="J923" s="40">
        <f t="shared" si="142"/>
        <v>0</v>
      </c>
      <c r="K923" s="36">
        <v>0.28111580451911544</v>
      </c>
      <c r="L923" s="42">
        <f t="shared" si="147"/>
        <v>19991.322604477216</v>
      </c>
      <c r="M923" s="42">
        <f t="shared" si="147"/>
        <v>0</v>
      </c>
      <c r="N923" s="42">
        <f t="shared" si="143"/>
        <v>5619.8767373587907</v>
      </c>
      <c r="O923" s="36">
        <v>6.8998642705495614</v>
      </c>
      <c r="P923" s="42">
        <f t="shared" si="144"/>
        <v>1247.5793483537145</v>
      </c>
      <c r="Q923" s="42"/>
      <c r="R923">
        <v>7.7181310464796898E-2</v>
      </c>
      <c r="S923">
        <v>0.58561967833491013</v>
      </c>
    </row>
    <row r="924" spans="1:19" x14ac:dyDescent="0.25">
      <c r="A924" s="40">
        <f t="shared" si="145"/>
        <v>64.229676878151835</v>
      </c>
      <c r="B924" s="40">
        <f t="shared" si="145"/>
        <v>32.933286051621081</v>
      </c>
      <c r="C924" s="41">
        <f t="shared" si="140"/>
        <v>0.49289226185293716</v>
      </c>
      <c r="D924" s="41">
        <f t="shared" si="141"/>
        <v>0.98069361229543572</v>
      </c>
      <c r="E924" s="39">
        <f>IF(_xlfn.NORM.INV(R924,C924,'Regressão Grupo 2'!$B$7)&lt;=0,0,IF(_xlfn.NORM.INV(R924,C924,'Regressão Grupo 2'!$B$7)&gt;100%,100%,_xlfn.NORM.INV(R924,C924,'Regressão Grupo 2'!$B$7)))</f>
        <v>0.33584245544601765</v>
      </c>
      <c r="F924" s="39">
        <f>IF(_xlfn.NORM.INV(S924,D924,'Regressão Grupo 2'!$B$7)&lt;=0,0,IF(_xlfn.NORM.INV(S924,D924,'Regressão Grupo 2'!$B$7)&gt;100%,100%,_xlfn.NORM.INV(S924,D924,'Regressão Grupo 2'!$B$7)))</f>
        <v>1</v>
      </c>
      <c r="G924" s="41">
        <v>7.726501156030182E-4</v>
      </c>
      <c r="H924" s="41">
        <v>1.9127717629120609E-2</v>
      </c>
      <c r="I924" s="40">
        <f t="shared" si="142"/>
        <v>5.1875225543074039</v>
      </c>
      <c r="J924" s="40">
        <f t="shared" si="142"/>
        <v>0</v>
      </c>
      <c r="K924" s="36">
        <v>0.32740614970035897</v>
      </c>
      <c r="L924" s="42">
        <f t="shared" si="147"/>
        <v>19991.322604477216</v>
      </c>
      <c r="M924" s="42">
        <f t="shared" si="147"/>
        <v>0</v>
      </c>
      <c r="N924" s="42">
        <f t="shared" si="143"/>
        <v>6545.2819613496376</v>
      </c>
      <c r="O924" s="36">
        <v>6.9683143496267093</v>
      </c>
      <c r="P924" s="42">
        <f t="shared" si="144"/>
        <v>-6248.2373517425403</v>
      </c>
      <c r="Q924" s="42"/>
      <c r="R924">
        <v>0.12802514725180822</v>
      </c>
      <c r="S924">
        <v>0.75240333262123482</v>
      </c>
    </row>
    <row r="925" spans="1:19" x14ac:dyDescent="0.25">
      <c r="A925" s="40">
        <f t="shared" si="145"/>
        <v>64.229676878151835</v>
      </c>
      <c r="B925" s="40">
        <f t="shared" si="145"/>
        <v>32.933286051621081</v>
      </c>
      <c r="C925" s="41">
        <f t="shared" si="140"/>
        <v>0.49289226185293716</v>
      </c>
      <c r="D925" s="41">
        <f t="shared" si="141"/>
        <v>0.98069361229543572</v>
      </c>
      <c r="E925" s="39">
        <f>IF(_xlfn.NORM.INV(R925,C925,'Regressão Grupo 2'!$B$7)&lt;=0,0,IF(_xlfn.NORM.INV(R925,C925,'Regressão Grupo 2'!$B$7)&gt;100%,100%,_xlfn.NORM.INV(R925,C925,'Regressão Grupo 2'!$B$7)))</f>
        <v>0.40417505428486344</v>
      </c>
      <c r="F925" s="39">
        <f>IF(_xlfn.NORM.INV(S925,D925,'Regressão Grupo 2'!$B$7)&lt;=0,0,IF(_xlfn.NORM.INV(S925,D925,'Regressão Grupo 2'!$B$7)&gt;100%,100%,_xlfn.NORM.INV(S925,D925,'Regressão Grupo 2'!$B$7)))</f>
        <v>1</v>
      </c>
      <c r="G925" s="41">
        <v>2.0479105336771473E-2</v>
      </c>
      <c r="H925" s="41">
        <v>2.1882771761044618E-2</v>
      </c>
      <c r="I925" s="40">
        <f t="shared" si="142"/>
        <v>165.47104617585546</v>
      </c>
      <c r="J925" s="40">
        <f t="shared" si="142"/>
        <v>0</v>
      </c>
      <c r="K925" s="36">
        <v>0.22952188234772136</v>
      </c>
      <c r="L925" s="42">
        <f t="shared" si="147"/>
        <v>19991.322604477216</v>
      </c>
      <c r="M925" s="42">
        <f t="shared" si="147"/>
        <v>0</v>
      </c>
      <c r="N925" s="42">
        <f t="shared" si="143"/>
        <v>4588.4459948001622</v>
      </c>
      <c r="O925" s="36">
        <v>5.2450728690835797</v>
      </c>
      <c r="P925" s="42">
        <f t="shared" si="144"/>
        <v>5171.7981388489206</v>
      </c>
      <c r="Q925" s="42"/>
      <c r="R925">
        <v>0.26056703390606401</v>
      </c>
      <c r="S925">
        <v>0.68340098269600513</v>
      </c>
    </row>
    <row r="926" spans="1:19" x14ac:dyDescent="0.25">
      <c r="A926" s="40">
        <f t="shared" si="145"/>
        <v>64.229676878151835</v>
      </c>
      <c r="B926" s="40">
        <f t="shared" si="145"/>
        <v>32.933286051621081</v>
      </c>
      <c r="C926" s="41">
        <f t="shared" si="140"/>
        <v>0.49289226185293716</v>
      </c>
      <c r="D926" s="41">
        <f t="shared" si="141"/>
        <v>0.98069361229543572</v>
      </c>
      <c r="E926" s="39">
        <f>IF(_xlfn.NORM.INV(R926,C926,'Regressão Grupo 2'!$B$7)&lt;=0,0,IF(_xlfn.NORM.INV(R926,C926,'Regressão Grupo 2'!$B$7)&gt;100%,100%,_xlfn.NORM.INV(R926,C926,'Regressão Grupo 2'!$B$7)))</f>
        <v>0.60879208345449154</v>
      </c>
      <c r="F926" s="39">
        <f>IF(_xlfn.NORM.INV(S926,D926,'Regressão Grupo 2'!$B$7)&lt;=0,0,IF(_xlfn.NORM.INV(S926,D926,'Regressão Grupo 2'!$B$7)&gt;100%,100%,_xlfn.NORM.INV(S926,D926,'Regressão Grupo 2'!$B$7)))</f>
        <v>0.81937567932409661</v>
      </c>
      <c r="G926" s="41">
        <v>7.944397460099055E-3</v>
      </c>
      <c r="H926" s="41">
        <v>5.9856689488475522E-3</v>
      </c>
      <c r="I926" s="40">
        <f t="shared" si="142"/>
        <v>96.68775752608019</v>
      </c>
      <c r="J926" s="40">
        <f t="shared" si="142"/>
        <v>0</v>
      </c>
      <c r="K926" s="36">
        <v>0.26241574670809342</v>
      </c>
      <c r="L926" s="42">
        <f t="shared" si="147"/>
        <v>19991.322604477216</v>
      </c>
      <c r="M926" s="42">
        <f t="shared" si="147"/>
        <v>0</v>
      </c>
      <c r="N926" s="42">
        <f t="shared" si="143"/>
        <v>5246.0378489362756</v>
      </c>
      <c r="O926" s="36">
        <v>2.9808529105024708</v>
      </c>
      <c r="P926" s="42">
        <f t="shared" si="144"/>
        <v>675.97359160537508</v>
      </c>
      <c r="Q926" s="42"/>
      <c r="R926">
        <v>0.79903561510055854</v>
      </c>
      <c r="S926">
        <v>0.1216772972808008</v>
      </c>
    </row>
    <row r="927" spans="1:19" x14ac:dyDescent="0.25">
      <c r="A927" s="40">
        <f t="shared" si="145"/>
        <v>64.229676878151835</v>
      </c>
      <c r="B927" s="40">
        <f t="shared" si="145"/>
        <v>32.933286051621081</v>
      </c>
      <c r="C927" s="41">
        <f t="shared" si="140"/>
        <v>0.49289226185293716</v>
      </c>
      <c r="D927" s="41">
        <f t="shared" si="141"/>
        <v>0.98069361229543572</v>
      </c>
      <c r="E927" s="39">
        <f>IF(_xlfn.NORM.INV(R927,C927,'Regressão Grupo 2'!$B$7)&lt;=0,0,IF(_xlfn.NORM.INV(R927,C927,'Regressão Grupo 2'!$B$7)&gt;100%,100%,_xlfn.NORM.INV(R927,C927,'Regressão Grupo 2'!$B$7)))</f>
        <v>0.36606135533594275</v>
      </c>
      <c r="F927" s="39">
        <f>IF(_xlfn.NORM.INV(S927,D927,'Regressão Grupo 2'!$B$7)&lt;=0,0,IF(_xlfn.NORM.INV(S927,D927,'Regressão Grupo 2'!$B$7)&gt;100%,100%,_xlfn.NORM.INV(S927,D927,'Regressão Grupo 2'!$B$7)))</f>
        <v>0.91782900048028671</v>
      </c>
      <c r="G927" s="41">
        <v>1.797984966278874E-2</v>
      </c>
      <c r="H927" s="41">
        <v>2.0910214688661478E-2</v>
      </c>
      <c r="I927" s="40">
        <f t="shared" si="142"/>
        <v>131.5774504676767</v>
      </c>
      <c r="J927" s="40">
        <f t="shared" si="142"/>
        <v>0</v>
      </c>
      <c r="K927" s="36">
        <v>0.32835907663085645</v>
      </c>
      <c r="L927" s="42">
        <f t="shared" si="147"/>
        <v>19991.322604477216</v>
      </c>
      <c r="M927" s="42">
        <f t="shared" si="147"/>
        <v>0</v>
      </c>
      <c r="N927" s="42">
        <f t="shared" si="143"/>
        <v>6564.3322310357071</v>
      </c>
      <c r="O927" s="36">
        <v>6.486775042789354</v>
      </c>
      <c r="P927" s="42">
        <f t="shared" si="144"/>
        <v>1033.331575066617</v>
      </c>
      <c r="Q927" s="42"/>
      <c r="R927">
        <v>0.17950987273781549</v>
      </c>
      <c r="S927">
        <v>0.32468642231513412</v>
      </c>
    </row>
    <row r="928" spans="1:19" x14ac:dyDescent="0.25">
      <c r="A928" s="40">
        <f t="shared" si="145"/>
        <v>64.229676878151835</v>
      </c>
      <c r="B928" s="40">
        <f t="shared" si="145"/>
        <v>32.933286051621081</v>
      </c>
      <c r="C928" s="41">
        <f t="shared" si="140"/>
        <v>0.49289226185293716</v>
      </c>
      <c r="D928" s="41">
        <f t="shared" si="141"/>
        <v>0.98069361229543572</v>
      </c>
      <c r="E928" s="39">
        <f>IF(_xlfn.NORM.INV(R928,C928,'Regressão Grupo 2'!$B$7)&lt;=0,0,IF(_xlfn.NORM.INV(R928,C928,'Regressão Grupo 2'!$B$7)&gt;100%,100%,_xlfn.NORM.INV(R928,C928,'Regressão Grupo 2'!$B$7)))</f>
        <v>0.39756150196234091</v>
      </c>
      <c r="F928" s="39">
        <f>IF(_xlfn.NORM.INV(S928,D928,'Regressão Grupo 2'!$B$7)&lt;=0,0,IF(_xlfn.NORM.INV(S928,D928,'Regressão Grupo 2'!$B$7)&gt;100%,100%,_xlfn.NORM.INV(S928,D928,'Regressão Grupo 2'!$B$7)))</f>
        <v>1</v>
      </c>
      <c r="G928" s="41">
        <v>1.1834526355582386E-2</v>
      </c>
      <c r="H928" s="41">
        <v>1.0479828395894536E-2</v>
      </c>
      <c r="I928" s="40">
        <f t="shared" si="142"/>
        <v>94.058214728712215</v>
      </c>
      <c r="J928" s="40">
        <f t="shared" si="142"/>
        <v>0</v>
      </c>
      <c r="K928" s="36">
        <v>0.32897296969689466</v>
      </c>
      <c r="L928" s="42">
        <f t="shared" si="147"/>
        <v>19991.322604477216</v>
      </c>
      <c r="M928" s="42">
        <f t="shared" si="147"/>
        <v>0</v>
      </c>
      <c r="N928" s="42">
        <f t="shared" si="143"/>
        <v>6576.6047653635287</v>
      </c>
      <c r="O928" s="36">
        <v>4.9879422163776379</v>
      </c>
      <c r="P928" s="42">
        <f t="shared" si="144"/>
        <v>-1004.4329656449781</v>
      </c>
      <c r="Q928" s="42"/>
      <c r="R928">
        <v>0.24527726065858943</v>
      </c>
      <c r="S928">
        <v>0.97924741355632194</v>
      </c>
    </row>
    <row r="929" spans="1:19" x14ac:dyDescent="0.25">
      <c r="A929" s="40">
        <f t="shared" si="145"/>
        <v>64.229676878151835</v>
      </c>
      <c r="B929" s="40">
        <f t="shared" si="145"/>
        <v>32.933286051621081</v>
      </c>
      <c r="C929" s="41">
        <f t="shared" si="140"/>
        <v>0.49289226185293716</v>
      </c>
      <c r="D929" s="41">
        <f t="shared" si="141"/>
        <v>0.98069361229543572</v>
      </c>
      <c r="E929" s="39">
        <f>IF(_xlfn.NORM.INV(R929,C929,'Regressão Grupo 2'!$B$7)&lt;=0,0,IF(_xlfn.NORM.INV(R929,C929,'Regressão Grupo 2'!$B$7)&gt;100%,100%,_xlfn.NORM.INV(R929,C929,'Regressão Grupo 2'!$B$7)))</f>
        <v>0.31438624654803426</v>
      </c>
      <c r="F929" s="39">
        <f>IF(_xlfn.NORM.INV(S929,D929,'Regressão Grupo 2'!$B$7)&lt;=0,0,IF(_xlfn.NORM.INV(S929,D929,'Regressão Grupo 2'!$B$7)&gt;100%,100%,_xlfn.NORM.INV(S929,D929,'Regressão Grupo 2'!$B$7)))</f>
        <v>1</v>
      </c>
      <c r="G929" s="41">
        <v>2.117334394945157E-2</v>
      </c>
      <c r="H929" s="41">
        <v>1.2498598497023618E-2</v>
      </c>
      <c r="I929" s="40">
        <f t="shared" si="142"/>
        <v>133.07440060117816</v>
      </c>
      <c r="J929" s="40">
        <f t="shared" si="142"/>
        <v>0</v>
      </c>
      <c r="K929" s="36">
        <v>0.22888050168982241</v>
      </c>
      <c r="L929" s="42">
        <f t="shared" si="147"/>
        <v>19991.322604477216</v>
      </c>
      <c r="M929" s="42">
        <f t="shared" si="147"/>
        <v>0</v>
      </c>
      <c r="N929" s="42">
        <f t="shared" si="143"/>
        <v>4575.6239471558329</v>
      </c>
      <c r="O929" s="36">
        <v>6.5476400129002181</v>
      </c>
      <c r="P929" s="42">
        <f t="shared" si="144"/>
        <v>3100.3785341425873</v>
      </c>
      <c r="Q929" s="42"/>
      <c r="R929">
        <v>9.8361156041138945E-2</v>
      </c>
      <c r="S929">
        <v>0.85360271004364152</v>
      </c>
    </row>
    <row r="930" spans="1:19" x14ac:dyDescent="0.25">
      <c r="A930" s="40">
        <f t="shared" si="145"/>
        <v>64.229676878151835</v>
      </c>
      <c r="B930" s="40">
        <f t="shared" si="145"/>
        <v>32.933286051621081</v>
      </c>
      <c r="C930" s="41">
        <f t="shared" si="140"/>
        <v>0.49289226185293716</v>
      </c>
      <c r="D930" s="41">
        <f t="shared" si="141"/>
        <v>0.98069361229543572</v>
      </c>
      <c r="E930" s="39">
        <f>IF(_xlfn.NORM.INV(R930,C930,'Regressão Grupo 2'!$B$7)&lt;=0,0,IF(_xlfn.NORM.INV(R930,C930,'Regressão Grupo 2'!$B$7)&gt;100%,100%,_xlfn.NORM.INV(R930,C930,'Regressão Grupo 2'!$B$7)))</f>
        <v>0.50082471907361847</v>
      </c>
      <c r="F930" s="39">
        <f>IF(_xlfn.NORM.INV(S930,D930,'Regressão Grupo 2'!$B$7)&lt;=0,0,IF(_xlfn.NORM.INV(S930,D930,'Regressão Grupo 2'!$B$7)&gt;100%,100%,_xlfn.NORM.INV(S930,D930,'Regressão Grupo 2'!$B$7)))</f>
        <v>0.94256394661154608</v>
      </c>
      <c r="G930" s="41">
        <v>1.3062197430770538E-2</v>
      </c>
      <c r="H930" s="41">
        <v>1.757945856757839E-2</v>
      </c>
      <c r="I930" s="40">
        <f t="shared" si="142"/>
        <v>130.78066076975688</v>
      </c>
      <c r="J930" s="40">
        <f t="shared" si="142"/>
        <v>0</v>
      </c>
      <c r="K930" s="36">
        <v>0.22852970498360053</v>
      </c>
      <c r="L930" s="42">
        <f t="shared" si="147"/>
        <v>19991.322604477216</v>
      </c>
      <c r="M930" s="42">
        <f t="shared" si="147"/>
        <v>0</v>
      </c>
      <c r="N930" s="42">
        <f t="shared" si="143"/>
        <v>4568.611057033163</v>
      </c>
      <c r="O930" s="36">
        <v>3.7882417187002346</v>
      </c>
      <c r="P930" s="42">
        <f t="shared" si="144"/>
        <v>3335.9597709923328</v>
      </c>
      <c r="Q930" s="42"/>
      <c r="R930">
        <v>0.52287362285225991</v>
      </c>
      <c r="S930">
        <v>0.39136936552018797</v>
      </c>
    </row>
    <row r="931" spans="1:19" x14ac:dyDescent="0.25">
      <c r="A931" s="40">
        <f t="shared" si="145"/>
        <v>64.229676878151835</v>
      </c>
      <c r="B931" s="40">
        <f t="shared" si="145"/>
        <v>32.933286051621081</v>
      </c>
      <c r="C931" s="41">
        <f t="shared" si="140"/>
        <v>0.49289226185293716</v>
      </c>
      <c r="D931" s="41">
        <f t="shared" si="141"/>
        <v>0.98069361229543572</v>
      </c>
      <c r="E931" s="39">
        <f>IF(_xlfn.NORM.INV(R931,C931,'Regressão Grupo 2'!$B$7)&lt;=0,0,IF(_xlfn.NORM.INV(R931,C931,'Regressão Grupo 2'!$B$7)&gt;100%,100%,_xlfn.NORM.INV(R931,C931,'Regressão Grupo 2'!$B$7)))</f>
        <v>0.5327500267812485</v>
      </c>
      <c r="F931" s="39">
        <f>IF(_xlfn.NORM.INV(S931,D931,'Regressão Grupo 2'!$B$7)&lt;=0,0,IF(_xlfn.NORM.INV(S931,D931,'Regressão Grupo 2'!$B$7)&gt;100%,100%,_xlfn.NORM.INV(S931,D931,'Regressão Grupo 2'!$B$7)))</f>
        <v>1</v>
      </c>
      <c r="G931" s="41">
        <v>1.6511244367034942E-2</v>
      </c>
      <c r="H931" s="41">
        <v>1.5437792230844004E-2</v>
      </c>
      <c r="I931" s="40">
        <f t="shared" si="142"/>
        <v>175.85098802869922</v>
      </c>
      <c r="J931" s="40">
        <f t="shared" si="142"/>
        <v>0</v>
      </c>
      <c r="K931" s="36">
        <v>0.31729984964377955</v>
      </c>
      <c r="L931" s="42">
        <f t="shared" si="147"/>
        <v>19991.322604477216</v>
      </c>
      <c r="M931" s="42">
        <f t="shared" si="147"/>
        <v>0</v>
      </c>
      <c r="N931" s="42">
        <f t="shared" si="143"/>
        <v>6343.2436565809121</v>
      </c>
      <c r="O931" s="36">
        <v>3.192086972739193</v>
      </c>
      <c r="P931" s="42">
        <f t="shared" si="144"/>
        <v>4390.276835176458</v>
      </c>
      <c r="Q931" s="42"/>
      <c r="R931">
        <v>0.61342204046754356</v>
      </c>
      <c r="S931">
        <v>0.59508041627246921</v>
      </c>
    </row>
    <row r="932" spans="1:19" x14ac:dyDescent="0.25">
      <c r="A932" s="40">
        <f t="shared" si="145"/>
        <v>64.229676878151835</v>
      </c>
      <c r="B932" s="40">
        <f t="shared" si="145"/>
        <v>32.933286051621081</v>
      </c>
      <c r="C932" s="41">
        <f t="shared" si="140"/>
        <v>0.49289226185293716</v>
      </c>
      <c r="D932" s="41">
        <f t="shared" si="141"/>
        <v>0.98069361229543572</v>
      </c>
      <c r="E932" s="39">
        <f>IF(_xlfn.NORM.INV(R932,C932,'Regressão Grupo 2'!$B$7)&lt;=0,0,IF(_xlfn.NORM.INV(R932,C932,'Regressão Grupo 2'!$B$7)&gt;100%,100%,_xlfn.NORM.INV(R932,C932,'Regressão Grupo 2'!$B$7)))</f>
        <v>0.61716725510661286</v>
      </c>
      <c r="F932" s="39">
        <f>IF(_xlfn.NORM.INV(S932,D932,'Regressão Grupo 2'!$B$7)&lt;=0,0,IF(_xlfn.NORM.INV(S932,D932,'Regressão Grupo 2'!$B$7)&gt;100%,100%,_xlfn.NORM.INV(S932,D932,'Regressão Grupo 2'!$B$7)))</f>
        <v>1</v>
      </c>
      <c r="G932" s="41">
        <v>1.5765860201363786E-2</v>
      </c>
      <c r="H932" s="41">
        <v>1.9230080032836716E-2</v>
      </c>
      <c r="I932" s="40">
        <f t="shared" si="142"/>
        <v>194.51902074068752</v>
      </c>
      <c r="J932" s="40">
        <f t="shared" si="142"/>
        <v>0</v>
      </c>
      <c r="K932" s="36">
        <v>0.41968914820362213</v>
      </c>
      <c r="L932" s="42">
        <f t="shared" si="147"/>
        <v>19991.322604477216</v>
      </c>
      <c r="M932" s="42">
        <f t="shared" si="147"/>
        <v>0</v>
      </c>
      <c r="N932" s="42">
        <f t="shared" si="143"/>
        <v>8390.1411553368598</v>
      </c>
      <c r="O932" s="36">
        <v>5.7260409803778343</v>
      </c>
      <c r="P932" s="42">
        <f t="shared" si="144"/>
        <v>2989.9288092678726</v>
      </c>
      <c r="Q932" s="42"/>
      <c r="R932">
        <v>0.81560716574602499</v>
      </c>
      <c r="S932">
        <v>0.8307748649555956</v>
      </c>
    </row>
    <row r="933" spans="1:19" x14ac:dyDescent="0.25">
      <c r="A933" s="40">
        <f t="shared" si="145"/>
        <v>64.229676878151835</v>
      </c>
      <c r="B933" s="40">
        <f t="shared" si="145"/>
        <v>32.933286051621081</v>
      </c>
      <c r="C933" s="41">
        <f t="shared" si="140"/>
        <v>0.49289226185293716</v>
      </c>
      <c r="D933" s="41">
        <f t="shared" si="141"/>
        <v>0.98069361229543572</v>
      </c>
      <c r="E933" s="39">
        <f>IF(_xlfn.NORM.INV(R933,C933,'Regressão Grupo 2'!$B$7)&lt;=0,0,IF(_xlfn.NORM.INV(R933,C933,'Regressão Grupo 2'!$B$7)&gt;100%,100%,_xlfn.NORM.INV(R933,C933,'Regressão Grupo 2'!$B$7)))</f>
        <v>0.57970751742488902</v>
      </c>
      <c r="F933" s="39">
        <f>IF(_xlfn.NORM.INV(S933,D933,'Regressão Grupo 2'!$B$7)&lt;=0,0,IF(_xlfn.NORM.INV(S933,D933,'Regressão Grupo 2'!$B$7)&gt;100%,100%,_xlfn.NORM.INV(S933,D933,'Regressão Grupo 2'!$B$7)))</f>
        <v>1</v>
      </c>
      <c r="G933" s="41">
        <v>5.3406965667233009E-3</v>
      </c>
      <c r="H933" s="41">
        <v>1.6020761550061248E-2</v>
      </c>
      <c r="I933" s="40">
        <f t="shared" si="142"/>
        <v>61.893973379757803</v>
      </c>
      <c r="J933" s="40">
        <f t="shared" si="142"/>
        <v>0</v>
      </c>
      <c r="K933" s="36">
        <v>0.23199995222957787</v>
      </c>
      <c r="L933" s="42">
        <f t="shared" si="147"/>
        <v>19991.322604477216</v>
      </c>
      <c r="M933" s="42">
        <f t="shared" si="147"/>
        <v>0</v>
      </c>
      <c r="N933" s="42">
        <f t="shared" si="143"/>
        <v>4637.9858892447946</v>
      </c>
      <c r="O933" s="36">
        <v>6.8977825578713059</v>
      </c>
      <c r="P933" s="42">
        <f t="shared" si="144"/>
        <v>-1089.4871483742641</v>
      </c>
      <c r="Q933" s="42"/>
      <c r="R933">
        <v>0.73494674520096437</v>
      </c>
      <c r="S933">
        <v>0.73354289376506854</v>
      </c>
    </row>
    <row r="934" spans="1:19" x14ac:dyDescent="0.25">
      <c r="A934" s="40">
        <f t="shared" si="145"/>
        <v>64.229676878151835</v>
      </c>
      <c r="B934" s="40">
        <f t="shared" si="145"/>
        <v>32.933286051621081</v>
      </c>
      <c r="C934" s="41">
        <f t="shared" si="140"/>
        <v>0.49289226185293716</v>
      </c>
      <c r="D934" s="41">
        <f t="shared" si="141"/>
        <v>0.98069361229543572</v>
      </c>
      <c r="E934" s="39">
        <f>IF(_xlfn.NORM.INV(R934,C934,'Regressão Grupo 2'!$B$7)&lt;=0,0,IF(_xlfn.NORM.INV(R934,C934,'Regressão Grupo 2'!$B$7)&gt;100%,100%,_xlfn.NORM.INV(R934,C934,'Regressão Grupo 2'!$B$7)))</f>
        <v>0.46646207839621179</v>
      </c>
      <c r="F934" s="39">
        <f>IF(_xlfn.NORM.INV(S934,D934,'Regressão Grupo 2'!$B$7)&lt;=0,0,IF(_xlfn.NORM.INV(S934,D934,'Regressão Grupo 2'!$B$7)&gt;100%,100%,_xlfn.NORM.INV(S934,D934,'Regressão Grupo 2'!$B$7)))</f>
        <v>0.92107274965509489</v>
      </c>
      <c r="G934" s="41">
        <v>1.4733388922372151E-2</v>
      </c>
      <c r="H934" s="41">
        <v>1.9222214549338121E-2</v>
      </c>
      <c r="I934" s="40">
        <f t="shared" si="142"/>
        <v>137.39170838697646</v>
      </c>
      <c r="J934" s="40">
        <f t="shared" si="142"/>
        <v>0</v>
      </c>
      <c r="K934" s="36">
        <v>0.29842693871455406</v>
      </c>
      <c r="L934" s="42">
        <f t="shared" si="147"/>
        <v>19991.322604477216</v>
      </c>
      <c r="M934" s="42">
        <f t="shared" si="147"/>
        <v>0</v>
      </c>
      <c r="N934" s="42">
        <f t="shared" si="143"/>
        <v>5965.9492057092011</v>
      </c>
      <c r="O934" s="36">
        <v>4.6420103761576064</v>
      </c>
      <c r="P934" s="42">
        <f t="shared" si="144"/>
        <v>2220.9020937931964</v>
      </c>
      <c r="Q934" s="42"/>
      <c r="R934">
        <v>0.42420728171636096</v>
      </c>
      <c r="S934">
        <v>0.33317056794946137</v>
      </c>
    </row>
    <row r="935" spans="1:19" x14ac:dyDescent="0.25">
      <c r="A935" s="40">
        <f t="shared" si="145"/>
        <v>64.229676878151835</v>
      </c>
      <c r="B935" s="40">
        <f t="shared" si="145"/>
        <v>32.933286051621081</v>
      </c>
      <c r="C935" s="41">
        <f t="shared" si="140"/>
        <v>0.49289226185293716</v>
      </c>
      <c r="D935" s="41">
        <f t="shared" si="141"/>
        <v>0.98069361229543572</v>
      </c>
      <c r="E935" s="39">
        <f>IF(_xlfn.NORM.INV(R935,C935,'Regressão Grupo 2'!$B$7)&lt;=0,0,IF(_xlfn.NORM.INV(R935,C935,'Regressão Grupo 2'!$B$7)&gt;100%,100%,_xlfn.NORM.INV(R935,C935,'Regressão Grupo 2'!$B$7)))</f>
        <v>0.25347935312786435</v>
      </c>
      <c r="F935" s="39">
        <f>IF(_xlfn.NORM.INV(S935,D935,'Regressão Grupo 2'!$B$7)&lt;=0,0,IF(_xlfn.NORM.INV(S935,D935,'Regressão Grupo 2'!$B$7)&gt;100%,100%,_xlfn.NORM.INV(S935,D935,'Regressão Grupo 2'!$B$7)))</f>
        <v>1</v>
      </c>
      <c r="G935" s="41">
        <v>1.8352995717875967E-2</v>
      </c>
      <c r="H935" s="41">
        <v>2.4132816177552176E-2</v>
      </c>
      <c r="I935" s="40">
        <f t="shared" si="142"/>
        <v>93.001741491227705</v>
      </c>
      <c r="J935" s="40">
        <f t="shared" si="142"/>
        <v>0</v>
      </c>
      <c r="K935" s="36">
        <v>0.25222747277782276</v>
      </c>
      <c r="L935" s="42">
        <f t="shared" ref="L935:M950" si="148">L934</f>
        <v>19991.322604477216</v>
      </c>
      <c r="M935" s="42">
        <f t="shared" si="148"/>
        <v>0</v>
      </c>
      <c r="N935" s="42">
        <f t="shared" si="143"/>
        <v>5042.3607780134498</v>
      </c>
      <c r="O935" s="36">
        <v>5.6739084986339687</v>
      </c>
      <c r="P935" s="42">
        <f t="shared" si="144"/>
        <v>403.42765563867579</v>
      </c>
      <c r="Q935" s="42"/>
      <c r="R935">
        <v>4.1688283944212166E-2</v>
      </c>
      <c r="S935">
        <v>0.97463911862544639</v>
      </c>
    </row>
    <row r="936" spans="1:19" x14ac:dyDescent="0.25">
      <c r="A936" s="40">
        <f t="shared" si="145"/>
        <v>64.229676878151835</v>
      </c>
      <c r="B936" s="40">
        <f t="shared" si="145"/>
        <v>32.933286051621081</v>
      </c>
      <c r="C936" s="41">
        <f t="shared" si="140"/>
        <v>0.49289226185293716</v>
      </c>
      <c r="D936" s="41">
        <f t="shared" si="141"/>
        <v>0.98069361229543572</v>
      </c>
      <c r="E936" s="39">
        <f>IF(_xlfn.NORM.INV(R936,C936,'Regressão Grupo 2'!$B$7)&lt;=0,0,IF(_xlfn.NORM.INV(R936,C936,'Regressão Grupo 2'!$B$7)&gt;100%,100%,_xlfn.NORM.INV(R936,C936,'Regressão Grupo 2'!$B$7)))</f>
        <v>0.46007572311878175</v>
      </c>
      <c r="F936" s="39">
        <f>IF(_xlfn.NORM.INV(S936,D936,'Regressão Grupo 2'!$B$7)&lt;=0,0,IF(_xlfn.NORM.INV(S936,D936,'Regressão Grupo 2'!$B$7)&gt;100%,100%,_xlfn.NORM.INV(S936,D936,'Regressão Grupo 2'!$B$7)))</f>
        <v>1</v>
      </c>
      <c r="G936" s="41">
        <v>1.4659331886294787E-2</v>
      </c>
      <c r="H936" s="41">
        <v>1.9470466329929527E-2</v>
      </c>
      <c r="I936" s="40">
        <f t="shared" si="142"/>
        <v>134.82953051055654</v>
      </c>
      <c r="J936" s="40">
        <f t="shared" si="142"/>
        <v>0</v>
      </c>
      <c r="K936" s="36">
        <v>0.30363623982330656</v>
      </c>
      <c r="L936" s="42">
        <f t="shared" si="148"/>
        <v>19991.322604477216</v>
      </c>
      <c r="M936" s="42">
        <f t="shared" si="148"/>
        <v>0</v>
      </c>
      <c r="N936" s="42">
        <f t="shared" si="143"/>
        <v>6070.0900247181335</v>
      </c>
      <c r="O936" s="36">
        <v>3.0364543333247971</v>
      </c>
      <c r="P936" s="42">
        <f t="shared" si="144"/>
        <v>2180.5634414288988</v>
      </c>
      <c r="Q936" s="42"/>
      <c r="R936">
        <v>0.40620136112552263</v>
      </c>
      <c r="S936">
        <v>0.7032074953459273</v>
      </c>
    </row>
    <row r="937" spans="1:19" x14ac:dyDescent="0.25">
      <c r="A937" s="40">
        <f t="shared" si="145"/>
        <v>64.229676878151835</v>
      </c>
      <c r="B937" s="40">
        <f t="shared" si="145"/>
        <v>32.933286051621081</v>
      </c>
      <c r="C937" s="41">
        <f t="shared" si="140"/>
        <v>0.49289226185293716</v>
      </c>
      <c r="D937" s="41">
        <f t="shared" si="141"/>
        <v>0.98069361229543572</v>
      </c>
      <c r="E937" s="39">
        <f>IF(_xlfn.NORM.INV(R937,C937,'Regressão Grupo 2'!$B$7)&lt;=0,0,IF(_xlfn.NORM.INV(R937,C937,'Regressão Grupo 2'!$B$7)&gt;100%,100%,_xlfn.NORM.INV(R937,C937,'Regressão Grupo 2'!$B$7)))</f>
        <v>0.56102309906962244</v>
      </c>
      <c r="F937" s="39">
        <f>IF(_xlfn.NORM.INV(S937,D937,'Regressão Grupo 2'!$B$7)&lt;=0,0,IF(_xlfn.NORM.INV(S937,D937,'Regressão Grupo 2'!$B$7)&gt;100%,100%,_xlfn.NORM.INV(S937,D937,'Regressão Grupo 2'!$B$7)))</f>
        <v>1</v>
      </c>
      <c r="G937" s="41">
        <v>1.6541784394979921E-2</v>
      </c>
      <c r="H937" s="41">
        <v>2.5633399716243632E-2</v>
      </c>
      <c r="I937" s="40">
        <f t="shared" si="142"/>
        <v>185.52593387375109</v>
      </c>
      <c r="J937" s="40">
        <f t="shared" si="142"/>
        <v>0</v>
      </c>
      <c r="K937" s="36">
        <v>0.29222369589758274</v>
      </c>
      <c r="L937" s="42">
        <f t="shared" si="148"/>
        <v>19991.322604477216</v>
      </c>
      <c r="M937" s="42">
        <f t="shared" si="148"/>
        <v>0</v>
      </c>
      <c r="N937" s="42">
        <f t="shared" si="143"/>
        <v>5841.9381773612222</v>
      </c>
      <c r="O937" s="36">
        <v>4.9778551313647519</v>
      </c>
      <c r="P937" s="42">
        <f t="shared" si="144"/>
        <v>5150.811385932484</v>
      </c>
      <c r="Q937" s="42"/>
      <c r="R937">
        <v>0.68889431440168458</v>
      </c>
      <c r="S937">
        <v>0.64629047517319249</v>
      </c>
    </row>
    <row r="938" spans="1:19" x14ac:dyDescent="0.25">
      <c r="A938" s="40">
        <f t="shared" si="145"/>
        <v>64.229676878151835</v>
      </c>
      <c r="B938" s="40">
        <f t="shared" si="145"/>
        <v>32.933286051621081</v>
      </c>
      <c r="C938" s="41">
        <f t="shared" si="140"/>
        <v>0.49289226185293716</v>
      </c>
      <c r="D938" s="41">
        <f t="shared" si="141"/>
        <v>0.98069361229543572</v>
      </c>
      <c r="E938" s="39">
        <f>IF(_xlfn.NORM.INV(R938,C938,'Regressão Grupo 2'!$B$7)&lt;=0,0,IF(_xlfn.NORM.INV(R938,C938,'Regressão Grupo 2'!$B$7)&gt;100%,100%,_xlfn.NORM.INV(R938,C938,'Regressão Grupo 2'!$B$7)))</f>
        <v>0.6679493805585085</v>
      </c>
      <c r="F938" s="39">
        <f>IF(_xlfn.NORM.INV(S938,D938,'Regressão Grupo 2'!$B$7)&lt;=0,0,IF(_xlfn.NORM.INV(S938,D938,'Regressão Grupo 2'!$B$7)&gt;100%,100%,_xlfn.NORM.INV(S938,D938,'Regressão Grupo 2'!$B$7)))</f>
        <v>1</v>
      </c>
      <c r="G938" s="41">
        <v>1.374356552770447E-2</v>
      </c>
      <c r="H938" s="41">
        <v>3.4146206397360993E-3</v>
      </c>
      <c r="I938" s="40">
        <f t="shared" si="142"/>
        <v>183.52046307424393</v>
      </c>
      <c r="J938" s="40">
        <f t="shared" si="142"/>
        <v>0</v>
      </c>
      <c r="K938" s="36">
        <v>0.45349552364770912</v>
      </c>
      <c r="L938" s="42">
        <f t="shared" si="148"/>
        <v>19991.322604477216</v>
      </c>
      <c r="M938" s="42">
        <f t="shared" si="148"/>
        <v>0</v>
      </c>
      <c r="N938" s="42">
        <f t="shared" si="143"/>
        <v>9065.9753129276796</v>
      </c>
      <c r="O938" s="36">
        <v>4.8788129462724221</v>
      </c>
      <c r="P938" s="42">
        <f t="shared" si="144"/>
        <v>1826.1227197072731</v>
      </c>
      <c r="Q938" s="42"/>
      <c r="R938">
        <v>0.89724417859431749</v>
      </c>
      <c r="S938">
        <v>0.67491683706167793</v>
      </c>
    </row>
    <row r="939" spans="1:19" x14ac:dyDescent="0.25">
      <c r="A939" s="40">
        <f t="shared" si="145"/>
        <v>64.229676878151835</v>
      </c>
      <c r="B939" s="40">
        <f t="shared" si="145"/>
        <v>32.933286051621081</v>
      </c>
      <c r="C939" s="41">
        <f t="shared" si="140"/>
        <v>0.49289226185293716</v>
      </c>
      <c r="D939" s="41">
        <f t="shared" si="141"/>
        <v>0.98069361229543572</v>
      </c>
      <c r="E939" s="39">
        <f>IF(_xlfn.NORM.INV(R939,C939,'Regressão Grupo 2'!$B$7)&lt;=0,0,IF(_xlfn.NORM.INV(R939,C939,'Regressão Grupo 2'!$B$7)&gt;100%,100%,_xlfn.NORM.INV(R939,C939,'Regressão Grupo 2'!$B$7)))</f>
        <v>0.51052563613429014</v>
      </c>
      <c r="F939" s="39">
        <f>IF(_xlfn.NORM.INV(S939,D939,'Regressão Grupo 2'!$B$7)&lt;=0,0,IF(_xlfn.NORM.INV(S939,D939,'Regressão Grupo 2'!$B$7)&gt;100%,100%,_xlfn.NORM.INV(S939,D939,'Regressão Grupo 2'!$B$7)))</f>
        <v>0.9441656363990143</v>
      </c>
      <c r="G939" s="41">
        <v>2.6105528469409649E-2</v>
      </c>
      <c r="H939" s="41">
        <v>1.4276547598917139E-2</v>
      </c>
      <c r="I939" s="40">
        <f t="shared" si="142"/>
        <v>266.43518222015484</v>
      </c>
      <c r="J939" s="40">
        <f t="shared" si="142"/>
        <v>0</v>
      </c>
      <c r="K939" s="36">
        <v>0.18034492520897594</v>
      </c>
      <c r="L939" s="42">
        <f t="shared" si="148"/>
        <v>19991.322604477216</v>
      </c>
      <c r="M939" s="42">
        <f t="shared" si="148"/>
        <v>0</v>
      </c>
      <c r="N939" s="42">
        <f t="shared" si="143"/>
        <v>3605.3335799329534</v>
      </c>
      <c r="O939" s="36">
        <v>6.3808528972775997</v>
      </c>
      <c r="P939" s="42">
        <f t="shared" si="144"/>
        <v>11807.628378632937</v>
      </c>
      <c r="Q939" s="42"/>
      <c r="R939">
        <v>0.55073702200384533</v>
      </c>
      <c r="S939">
        <v>0.3958250679036836</v>
      </c>
    </row>
    <row r="940" spans="1:19" x14ac:dyDescent="0.25">
      <c r="A940" s="40">
        <f t="shared" si="145"/>
        <v>64.229676878151835</v>
      </c>
      <c r="B940" s="40">
        <f t="shared" si="145"/>
        <v>32.933286051621081</v>
      </c>
      <c r="C940" s="41">
        <f t="shared" si="140"/>
        <v>0.49289226185293716</v>
      </c>
      <c r="D940" s="41">
        <f t="shared" si="141"/>
        <v>0.98069361229543572</v>
      </c>
      <c r="E940" s="39">
        <f>IF(_xlfn.NORM.INV(R940,C940,'Regressão Grupo 2'!$B$7)&lt;=0,0,IF(_xlfn.NORM.INV(R940,C940,'Regressão Grupo 2'!$B$7)&gt;100%,100%,_xlfn.NORM.INV(R940,C940,'Regressão Grupo 2'!$B$7)))</f>
        <v>0.54446140085195516</v>
      </c>
      <c r="F940" s="39">
        <f>IF(_xlfn.NORM.INV(S940,D940,'Regressão Grupo 2'!$B$7)&lt;=0,0,IF(_xlfn.NORM.INV(S940,D940,'Regressão Grupo 2'!$B$7)&gt;100%,100%,_xlfn.NORM.INV(S940,D940,'Regressão Grupo 2'!$B$7)))</f>
        <v>0.95776726199796902</v>
      </c>
      <c r="G940" s="41">
        <v>1.9368337593230239E-2</v>
      </c>
      <c r="H940" s="41">
        <v>2.1224569083466982E-2</v>
      </c>
      <c r="I940" s="40">
        <f t="shared" si="142"/>
        <v>210.81473851864598</v>
      </c>
      <c r="J940" s="40">
        <f t="shared" si="142"/>
        <v>0</v>
      </c>
      <c r="K940" s="36">
        <v>0.27410400443689376</v>
      </c>
      <c r="L940" s="42">
        <f t="shared" si="148"/>
        <v>19991.322604477216</v>
      </c>
      <c r="M940" s="42">
        <f t="shared" si="148"/>
        <v>0</v>
      </c>
      <c r="N940" s="42">
        <f t="shared" si="143"/>
        <v>5479.7015798769971</v>
      </c>
      <c r="O940" s="36">
        <v>6.239454781718897</v>
      </c>
      <c r="P940" s="42">
        <f t="shared" si="144"/>
        <v>6745.4919280207196</v>
      </c>
      <c r="Q940" s="42"/>
      <c r="R940">
        <v>0.6454054383983886</v>
      </c>
      <c r="S940">
        <v>0.43415631580553604</v>
      </c>
    </row>
    <row r="941" spans="1:19" x14ac:dyDescent="0.25">
      <c r="A941" s="40">
        <f t="shared" si="145"/>
        <v>64.229676878151835</v>
      </c>
      <c r="B941" s="40">
        <f t="shared" si="145"/>
        <v>32.933286051621081</v>
      </c>
      <c r="C941" s="41">
        <f t="shared" si="140"/>
        <v>0.49289226185293716</v>
      </c>
      <c r="D941" s="41">
        <f t="shared" si="141"/>
        <v>0.98069361229543572</v>
      </c>
      <c r="E941" s="39">
        <f>IF(_xlfn.NORM.INV(R941,C941,'Regressão Grupo 2'!$B$7)&lt;=0,0,IF(_xlfn.NORM.INV(R941,C941,'Regressão Grupo 2'!$B$7)&gt;100%,100%,_xlfn.NORM.INV(R941,C941,'Regressão Grupo 2'!$B$7)))</f>
        <v>0.41200161639272237</v>
      </c>
      <c r="F941" s="39">
        <f>IF(_xlfn.NORM.INV(S941,D941,'Regressão Grupo 2'!$B$7)&lt;=0,0,IF(_xlfn.NORM.INV(S941,D941,'Regressão Grupo 2'!$B$7)&gt;100%,100%,_xlfn.NORM.INV(S941,D941,'Regressão Grupo 2'!$B$7)))</f>
        <v>0.83046789472347349</v>
      </c>
      <c r="G941" s="41">
        <v>1.0971337428949053E-2</v>
      </c>
      <c r="H941" s="41">
        <v>2.1183757846045568E-2</v>
      </c>
      <c r="I941" s="40">
        <f t="shared" si="142"/>
        <v>90.364951455129457</v>
      </c>
      <c r="J941" s="40">
        <f t="shared" si="142"/>
        <v>0</v>
      </c>
      <c r="K941" s="36">
        <v>0.3683729773058263</v>
      </c>
      <c r="L941" s="42">
        <f t="shared" si="148"/>
        <v>19991.322604477216</v>
      </c>
      <c r="M941" s="42">
        <f t="shared" si="148"/>
        <v>0</v>
      </c>
      <c r="N941" s="42">
        <f t="shared" si="143"/>
        <v>7364.2630280925378</v>
      </c>
      <c r="O941" s="36">
        <v>3.5355072202683537</v>
      </c>
      <c r="P941" s="42">
        <f t="shared" si="144"/>
        <v>-1879.6373333485053</v>
      </c>
      <c r="Q941" s="42"/>
      <c r="R941">
        <v>0.27927488021485031</v>
      </c>
      <c r="S941">
        <v>0.13864558854945525</v>
      </c>
    </row>
    <row r="942" spans="1:19" x14ac:dyDescent="0.25">
      <c r="A942" s="40">
        <f t="shared" si="145"/>
        <v>64.229676878151835</v>
      </c>
      <c r="B942" s="40">
        <f t="shared" si="145"/>
        <v>32.933286051621081</v>
      </c>
      <c r="C942" s="41">
        <f t="shared" si="140"/>
        <v>0.49289226185293716</v>
      </c>
      <c r="D942" s="41">
        <f t="shared" si="141"/>
        <v>0.98069361229543572</v>
      </c>
      <c r="E942" s="39">
        <f>IF(_xlfn.NORM.INV(R942,C942,'Regressão Grupo 2'!$B$7)&lt;=0,0,IF(_xlfn.NORM.INV(R942,C942,'Regressão Grupo 2'!$B$7)&gt;100%,100%,_xlfn.NORM.INV(R942,C942,'Regressão Grupo 2'!$B$7)))</f>
        <v>0.6042989809144359</v>
      </c>
      <c r="F942" s="39">
        <f>IF(_xlfn.NORM.INV(S942,D942,'Regressão Grupo 2'!$B$7)&lt;=0,0,IF(_xlfn.NORM.INV(S942,D942,'Regressão Grupo 2'!$B$7)&gt;100%,100%,_xlfn.NORM.INV(S942,D942,'Regressão Grupo 2'!$B$7)))</f>
        <v>0.94852951013462872</v>
      </c>
      <c r="G942" s="41">
        <v>2.7121088201354778E-2</v>
      </c>
      <c r="H942" s="41">
        <v>2.1492034787374253E-2</v>
      </c>
      <c r="I942" s="40">
        <f t="shared" si="142"/>
        <v>327.64270325785748</v>
      </c>
      <c r="J942" s="40">
        <f t="shared" si="142"/>
        <v>0</v>
      </c>
      <c r="K942" s="36">
        <v>0.27929686170257984</v>
      </c>
      <c r="L942" s="42">
        <f t="shared" si="148"/>
        <v>19991.322604477216</v>
      </c>
      <c r="M942" s="42">
        <f t="shared" si="148"/>
        <v>0</v>
      </c>
      <c r="N942" s="42">
        <f t="shared" si="143"/>
        <v>5583.5136647143308</v>
      </c>
      <c r="O942" s="36">
        <v>6.6719325375852492</v>
      </c>
      <c r="P942" s="42">
        <f t="shared" si="144"/>
        <v>13274.861284453553</v>
      </c>
      <c r="Q942" s="42"/>
      <c r="R942">
        <v>0.78978850672933132</v>
      </c>
      <c r="S942">
        <v>0.40803247169408247</v>
      </c>
    </row>
    <row r="943" spans="1:19" x14ac:dyDescent="0.25">
      <c r="A943" s="40">
        <f t="shared" si="145"/>
        <v>64.229676878151835</v>
      </c>
      <c r="B943" s="40">
        <f t="shared" si="145"/>
        <v>32.933286051621081</v>
      </c>
      <c r="C943" s="41">
        <f t="shared" si="140"/>
        <v>0.49289226185293716</v>
      </c>
      <c r="D943" s="41">
        <f t="shared" si="141"/>
        <v>0.98069361229543572</v>
      </c>
      <c r="E943" s="39">
        <f>IF(_xlfn.NORM.INV(R943,C943,'Regressão Grupo 2'!$B$7)&lt;=0,0,IF(_xlfn.NORM.INV(R943,C943,'Regressão Grupo 2'!$B$7)&gt;100%,100%,_xlfn.NORM.INV(R943,C943,'Regressão Grupo 2'!$B$7)))</f>
        <v>0.51391181454825563</v>
      </c>
      <c r="F943" s="39">
        <f>IF(_xlfn.NORM.INV(S943,D943,'Regressão Grupo 2'!$B$7)&lt;=0,0,IF(_xlfn.NORM.INV(S943,D943,'Regressão Grupo 2'!$B$7)&gt;100%,100%,_xlfn.NORM.INV(S943,D943,'Regressão Grupo 2'!$B$7)))</f>
        <v>0.95112144058679859</v>
      </c>
      <c r="G943" s="41">
        <v>1.5147628298271369E-2</v>
      </c>
      <c r="H943" s="41">
        <v>2.7367695813763039E-3</v>
      </c>
      <c r="I943" s="40">
        <f t="shared" si="142"/>
        <v>155.62335332015593</v>
      </c>
      <c r="J943" s="40">
        <f t="shared" si="142"/>
        <v>0</v>
      </c>
      <c r="K943" s="36">
        <v>0.3689159716094883</v>
      </c>
      <c r="L943" s="42">
        <f t="shared" si="148"/>
        <v>19991.322604477216</v>
      </c>
      <c r="M943" s="42">
        <f t="shared" si="148"/>
        <v>0</v>
      </c>
      <c r="N943" s="42">
        <f t="shared" si="143"/>
        <v>7375.1182023894389</v>
      </c>
      <c r="O943" s="36">
        <v>7.6343240789583691</v>
      </c>
      <c r="P943" s="42">
        <f t="shared" si="144"/>
        <v>1432.4403825583204</v>
      </c>
      <c r="Q943" s="42"/>
      <c r="R943">
        <v>0.56041138950773639</v>
      </c>
      <c r="S943">
        <v>0.41532639545884581</v>
      </c>
    </row>
    <row r="944" spans="1:19" x14ac:dyDescent="0.25">
      <c r="A944" s="40">
        <f t="shared" si="145"/>
        <v>64.229676878151835</v>
      </c>
      <c r="B944" s="40">
        <f t="shared" si="145"/>
        <v>32.933286051621081</v>
      </c>
      <c r="C944" s="41">
        <f t="shared" si="140"/>
        <v>0.49289226185293716</v>
      </c>
      <c r="D944" s="41">
        <f t="shared" si="141"/>
        <v>0.98069361229543572</v>
      </c>
      <c r="E944" s="39">
        <f>IF(_xlfn.NORM.INV(R944,C944,'Regressão Grupo 2'!$B$7)&lt;=0,0,IF(_xlfn.NORM.INV(R944,C944,'Regressão Grupo 2'!$B$7)&gt;100%,100%,_xlfn.NORM.INV(R944,C944,'Regressão Grupo 2'!$B$7)))</f>
        <v>0.4628870422260648</v>
      </c>
      <c r="F944" s="39">
        <f>IF(_xlfn.NORM.INV(S944,D944,'Regressão Grupo 2'!$B$7)&lt;=0,0,IF(_xlfn.NORM.INV(S944,D944,'Regressão Grupo 2'!$B$7)&gt;100%,100%,_xlfn.NORM.INV(S944,D944,'Regressão Grupo 2'!$B$7)))</f>
        <v>1</v>
      </c>
      <c r="G944" s="41">
        <v>2.1674401256682005E-2</v>
      </c>
      <c r="H944" s="41">
        <v>2.8146118843258079E-2</v>
      </c>
      <c r="I944" s="40">
        <f t="shared" si="142"/>
        <v>200.56893122515555</v>
      </c>
      <c r="J944" s="40">
        <f t="shared" si="142"/>
        <v>0</v>
      </c>
      <c r="K944" s="36">
        <v>0.30878099530631775</v>
      </c>
      <c r="L944" s="42">
        <f t="shared" si="148"/>
        <v>19991.322604477216</v>
      </c>
      <c r="M944" s="42">
        <f t="shared" si="148"/>
        <v>0</v>
      </c>
      <c r="N944" s="42">
        <f t="shared" si="143"/>
        <v>6172.9404913001636</v>
      </c>
      <c r="O944" s="36">
        <v>8.3550488623605581</v>
      </c>
      <c r="P944" s="42">
        <f t="shared" si="144"/>
        <v>5033.7739324302274</v>
      </c>
      <c r="Q944" s="42"/>
      <c r="R944">
        <v>0.4141056550798059</v>
      </c>
      <c r="S944">
        <v>0.72859889522995702</v>
      </c>
    </row>
    <row r="945" spans="1:19" x14ac:dyDescent="0.25">
      <c r="A945" s="40">
        <f t="shared" si="145"/>
        <v>64.229676878151835</v>
      </c>
      <c r="B945" s="40">
        <f t="shared" si="145"/>
        <v>32.933286051621081</v>
      </c>
      <c r="C945" s="41">
        <f t="shared" si="140"/>
        <v>0.49289226185293716</v>
      </c>
      <c r="D945" s="41">
        <f t="shared" si="141"/>
        <v>0.98069361229543572</v>
      </c>
      <c r="E945" s="39">
        <f>IF(_xlfn.NORM.INV(R945,C945,'Regressão Grupo 2'!$B$7)&lt;=0,0,IF(_xlfn.NORM.INV(R945,C945,'Regressão Grupo 2'!$B$7)&gt;100%,100%,_xlfn.NORM.INV(R945,C945,'Regressão Grupo 2'!$B$7)))</f>
        <v>0.43894540651514513</v>
      </c>
      <c r="F945" s="39">
        <f>IF(_xlfn.NORM.INV(S945,D945,'Regressão Grupo 2'!$B$7)&lt;=0,0,IF(_xlfn.NORM.INV(S945,D945,'Regressão Grupo 2'!$B$7)&gt;100%,100%,_xlfn.NORM.INV(S945,D945,'Regressão Grupo 2'!$B$7)))</f>
        <v>1</v>
      </c>
      <c r="G945" s="41">
        <v>2.1287314072982375E-2</v>
      </c>
      <c r="H945" s="41">
        <v>1.4146090973805179E-2</v>
      </c>
      <c r="I945" s="40">
        <f t="shared" si="142"/>
        <v>186.79829327519903</v>
      </c>
      <c r="J945" s="40">
        <f t="shared" si="142"/>
        <v>0</v>
      </c>
      <c r="K945" s="36">
        <v>0.36078198160177499</v>
      </c>
      <c r="L945" s="42">
        <f t="shared" si="148"/>
        <v>19991.322604477216</v>
      </c>
      <c r="M945" s="42">
        <f t="shared" si="148"/>
        <v>0</v>
      </c>
      <c r="N945" s="42">
        <f t="shared" si="143"/>
        <v>7212.5089840836472</v>
      </c>
      <c r="O945" s="36">
        <v>8.4519631397257573</v>
      </c>
      <c r="P945" s="42">
        <f t="shared" si="144"/>
        <v>3206.6727450469652</v>
      </c>
      <c r="Q945" s="42"/>
      <c r="R945">
        <v>0.34821619312112795</v>
      </c>
      <c r="S945">
        <v>0.81319620349742117</v>
      </c>
    </row>
    <row r="946" spans="1:19" x14ac:dyDescent="0.25">
      <c r="A946" s="40">
        <f t="shared" si="145"/>
        <v>64.229676878151835</v>
      </c>
      <c r="B946" s="40">
        <f t="shared" si="145"/>
        <v>32.933286051621081</v>
      </c>
      <c r="C946" s="41">
        <f t="shared" si="140"/>
        <v>0.49289226185293716</v>
      </c>
      <c r="D946" s="41">
        <f t="shared" si="141"/>
        <v>0.98069361229543572</v>
      </c>
      <c r="E946" s="39">
        <f>IF(_xlfn.NORM.INV(R946,C946,'Regressão Grupo 2'!$B$7)&lt;=0,0,IF(_xlfn.NORM.INV(R946,C946,'Regressão Grupo 2'!$B$7)&gt;100%,100%,_xlfn.NORM.INV(R946,C946,'Regressão Grupo 2'!$B$7)))</f>
        <v>0.67607530526184223</v>
      </c>
      <c r="F946" s="39">
        <f>IF(_xlfn.NORM.INV(S946,D946,'Regressão Grupo 2'!$B$7)&lt;=0,0,IF(_xlfn.NORM.INV(S946,D946,'Regressão Grupo 2'!$B$7)&gt;100%,100%,_xlfn.NORM.INV(S946,D946,'Regressão Grupo 2'!$B$7)))</f>
        <v>0.89854441221566961</v>
      </c>
      <c r="G946" s="41">
        <v>2.3184403519513008E-2</v>
      </c>
      <c r="H946" s="41">
        <v>2.6192169265884649E-2</v>
      </c>
      <c r="I946" s="40">
        <f t="shared" si="142"/>
        <v>313.35204074367323</v>
      </c>
      <c r="J946" s="40">
        <f t="shared" si="142"/>
        <v>0</v>
      </c>
      <c r="K946" s="36">
        <v>0.31695386377956647</v>
      </c>
      <c r="L946" s="42">
        <f t="shared" si="148"/>
        <v>19991.322604477216</v>
      </c>
      <c r="M946" s="42">
        <f t="shared" si="148"/>
        <v>0</v>
      </c>
      <c r="N946" s="42">
        <f t="shared" si="143"/>
        <v>6336.3269415528393</v>
      </c>
      <c r="O946" s="36">
        <v>4.6254795862514682</v>
      </c>
      <c r="P946" s="42">
        <f t="shared" si="144"/>
        <v>12340.769916752661</v>
      </c>
      <c r="Q946" s="42"/>
      <c r="R946">
        <v>0.90737632374034849</v>
      </c>
      <c r="S946">
        <v>0.27622302926725056</v>
      </c>
    </row>
    <row r="947" spans="1:19" x14ac:dyDescent="0.25">
      <c r="A947" s="40">
        <f t="shared" si="145"/>
        <v>64.229676878151835</v>
      </c>
      <c r="B947" s="40">
        <f t="shared" si="145"/>
        <v>32.933286051621081</v>
      </c>
      <c r="C947" s="41">
        <f t="shared" si="140"/>
        <v>0.49289226185293716</v>
      </c>
      <c r="D947" s="41">
        <f t="shared" si="141"/>
        <v>0.98069361229543572</v>
      </c>
      <c r="E947" s="39">
        <f>IF(_xlfn.NORM.INV(R947,C947,'Regressão Grupo 2'!$B$7)&lt;=0,0,IF(_xlfn.NORM.INV(R947,C947,'Regressão Grupo 2'!$B$7)&gt;100%,100%,_xlfn.NORM.INV(R947,C947,'Regressão Grupo 2'!$B$7)))</f>
        <v>0.44311052597526635</v>
      </c>
      <c r="F947" s="39">
        <f>IF(_xlfn.NORM.INV(S947,D947,'Regressão Grupo 2'!$B$7)&lt;=0,0,IF(_xlfn.NORM.INV(S947,D947,'Regressão Grupo 2'!$B$7)&gt;100%,100%,_xlfn.NORM.INV(S947,D947,'Regressão Grupo 2'!$B$7)))</f>
        <v>1</v>
      </c>
      <c r="G947" s="41">
        <v>8.7888020794751939E-3</v>
      </c>
      <c r="H947" s="41">
        <v>2.2620723299487513E-2</v>
      </c>
      <c r="I947" s="40">
        <f t="shared" si="142"/>
        <v>77.854420900498056</v>
      </c>
      <c r="J947" s="40">
        <f t="shared" si="142"/>
        <v>0</v>
      </c>
      <c r="K947" s="36">
        <v>0.16341155024109955</v>
      </c>
      <c r="L947" s="42">
        <f t="shared" si="148"/>
        <v>19991.322604477216</v>
      </c>
      <c r="M947" s="42">
        <f t="shared" si="148"/>
        <v>0</v>
      </c>
      <c r="N947" s="42">
        <f t="shared" si="143"/>
        <v>3266.8130181675579</v>
      </c>
      <c r="O947" s="36">
        <v>6.5278553018385077</v>
      </c>
      <c r="P947" s="42">
        <f t="shared" si="144"/>
        <v>1225.5288855601802</v>
      </c>
      <c r="Q947" s="42"/>
      <c r="R947">
        <v>0.35941648609881893</v>
      </c>
      <c r="S947">
        <v>0.60841700491348005</v>
      </c>
    </row>
    <row r="948" spans="1:19" x14ac:dyDescent="0.25">
      <c r="A948" s="40">
        <f t="shared" si="145"/>
        <v>64.229676878151835</v>
      </c>
      <c r="B948" s="40">
        <f t="shared" si="145"/>
        <v>32.933286051621081</v>
      </c>
      <c r="C948" s="41">
        <f t="shared" si="140"/>
        <v>0.49289226185293716</v>
      </c>
      <c r="D948" s="41">
        <f t="shared" si="141"/>
        <v>0.98069361229543572</v>
      </c>
      <c r="E948" s="39">
        <f>IF(_xlfn.NORM.INV(R948,C948,'Regressão Grupo 2'!$B$7)&lt;=0,0,IF(_xlfn.NORM.INV(R948,C948,'Regressão Grupo 2'!$B$7)&gt;100%,100%,_xlfn.NORM.INV(R948,C948,'Regressão Grupo 2'!$B$7)))</f>
        <v>0.55074190800298639</v>
      </c>
      <c r="F948" s="39">
        <f>IF(_xlfn.NORM.INV(S948,D948,'Regressão Grupo 2'!$B$7)&lt;=0,0,IF(_xlfn.NORM.INV(S948,D948,'Regressão Grupo 2'!$B$7)&gt;100%,100%,_xlfn.NORM.INV(S948,D948,'Regressão Grupo 2'!$B$7)))</f>
        <v>1</v>
      </c>
      <c r="G948" s="41">
        <v>1.2688812469848746E-2</v>
      </c>
      <c r="H948" s="41">
        <v>7.6111238259845846E-3</v>
      </c>
      <c r="I948" s="40">
        <f t="shared" si="142"/>
        <v>139.70457589584106</v>
      </c>
      <c r="J948" s="40">
        <f t="shared" si="142"/>
        <v>0</v>
      </c>
      <c r="K948" s="36">
        <v>0.24460104417014994</v>
      </c>
      <c r="L948" s="42">
        <f t="shared" si="148"/>
        <v>19991.322604477216</v>
      </c>
      <c r="M948" s="42">
        <f t="shared" si="148"/>
        <v>0</v>
      </c>
      <c r="N948" s="42">
        <f t="shared" si="143"/>
        <v>4889.8983833974489</v>
      </c>
      <c r="O948" s="36">
        <v>4.4351625238655341</v>
      </c>
      <c r="P948" s="42">
        <f t="shared" si="144"/>
        <v>3463.6688853658998</v>
      </c>
      <c r="Q948" s="42"/>
      <c r="R948">
        <v>0.66216010010071114</v>
      </c>
      <c r="S948">
        <v>0.70964690084536275</v>
      </c>
    </row>
    <row r="949" spans="1:19" x14ac:dyDescent="0.25">
      <c r="A949" s="40">
        <f t="shared" si="145"/>
        <v>64.229676878151835</v>
      </c>
      <c r="B949" s="40">
        <f t="shared" si="145"/>
        <v>32.933286051621081</v>
      </c>
      <c r="C949" s="41">
        <f t="shared" si="140"/>
        <v>0.49289226185293716</v>
      </c>
      <c r="D949" s="41">
        <f t="shared" si="141"/>
        <v>0.98069361229543572</v>
      </c>
      <c r="E949" s="39">
        <f>IF(_xlfn.NORM.INV(R949,C949,'Regressão Grupo 2'!$B$7)&lt;=0,0,IF(_xlfn.NORM.INV(R949,C949,'Regressão Grupo 2'!$B$7)&gt;100%,100%,_xlfn.NORM.INV(R949,C949,'Regressão Grupo 2'!$B$7)))</f>
        <v>0.53097797837688931</v>
      </c>
      <c r="F949" s="39">
        <f>IF(_xlfn.NORM.INV(S949,D949,'Regressão Grupo 2'!$B$7)&lt;=0,0,IF(_xlfn.NORM.INV(S949,D949,'Regressão Grupo 2'!$B$7)&gt;100%,100%,_xlfn.NORM.INV(S949,D949,'Regressão Grupo 2'!$B$7)))</f>
        <v>0.9022629812999261</v>
      </c>
      <c r="G949" s="41">
        <v>1.7360990049152019E-2</v>
      </c>
      <c r="H949" s="41">
        <v>7.9500315107764747E-3</v>
      </c>
      <c r="I949" s="40">
        <f t="shared" si="142"/>
        <v>184.28607711375918</v>
      </c>
      <c r="J949" s="40">
        <f t="shared" si="142"/>
        <v>0</v>
      </c>
      <c r="K949" s="36">
        <v>0.29887216376314818</v>
      </c>
      <c r="L949" s="42">
        <f t="shared" si="148"/>
        <v>19991.322604477216</v>
      </c>
      <c r="M949" s="42">
        <f t="shared" si="148"/>
        <v>0</v>
      </c>
      <c r="N949" s="42">
        <f t="shared" si="143"/>
        <v>5974.8498432872402</v>
      </c>
      <c r="O949" s="36">
        <v>8.7792437315684388</v>
      </c>
      <c r="P949" s="42">
        <f t="shared" si="144"/>
        <v>4243.8929555553768</v>
      </c>
      <c r="Q949" s="42"/>
      <c r="R949">
        <v>0.60850856044190804</v>
      </c>
      <c r="S949">
        <v>0.28528702658162175</v>
      </c>
    </row>
    <row r="950" spans="1:19" x14ac:dyDescent="0.25">
      <c r="A950" s="40">
        <f t="shared" si="145"/>
        <v>64.229676878151835</v>
      </c>
      <c r="B950" s="40">
        <f t="shared" si="145"/>
        <v>32.933286051621081</v>
      </c>
      <c r="C950" s="41">
        <f t="shared" si="140"/>
        <v>0.49289226185293716</v>
      </c>
      <c r="D950" s="41">
        <f t="shared" si="141"/>
        <v>0.98069361229543572</v>
      </c>
      <c r="E950" s="39">
        <f>IF(_xlfn.NORM.INV(R950,C950,'Regressão Grupo 2'!$B$7)&lt;=0,0,IF(_xlfn.NORM.INV(R950,C950,'Regressão Grupo 2'!$B$7)&gt;100%,100%,_xlfn.NORM.INV(R950,C950,'Regressão Grupo 2'!$B$7)))</f>
        <v>0.34478643821513955</v>
      </c>
      <c r="F950" s="39">
        <f>IF(_xlfn.NORM.INV(S950,D950,'Regressão Grupo 2'!$B$7)&lt;=0,0,IF(_xlfn.NORM.INV(S950,D950,'Regressão Grupo 2'!$B$7)&gt;100%,100%,_xlfn.NORM.INV(S950,D950,'Regressão Grupo 2'!$B$7)))</f>
        <v>0.941496987916985</v>
      </c>
      <c r="G950" s="41">
        <v>2.7358350942673615E-3</v>
      </c>
      <c r="H950" s="41">
        <v>2.3166333821114559E-2</v>
      </c>
      <c r="I950" s="40">
        <f t="shared" si="142"/>
        <v>18.85739155036552</v>
      </c>
      <c r="J950" s="40">
        <f t="shared" si="142"/>
        <v>0</v>
      </c>
      <c r="K950" s="36">
        <v>0.18468359568699833</v>
      </c>
      <c r="L950" s="42">
        <f t="shared" si="148"/>
        <v>19991.322604477216</v>
      </c>
      <c r="M950" s="42">
        <f t="shared" si="148"/>
        <v>0</v>
      </c>
      <c r="N950" s="42">
        <f t="shared" si="143"/>
        <v>3692.0693411336206</v>
      </c>
      <c r="O950" s="36">
        <v>4.6140923716678994</v>
      </c>
      <c r="P950" s="42">
        <f t="shared" si="144"/>
        <v>-2567.8749215909488</v>
      </c>
      <c r="Q950" s="42"/>
      <c r="R950">
        <v>0.14206366161076692</v>
      </c>
      <c r="S950">
        <v>0.38840907010101627</v>
      </c>
    </row>
    <row r="951" spans="1:19" x14ac:dyDescent="0.25">
      <c r="A951" s="40">
        <f t="shared" si="145"/>
        <v>64.229676878151835</v>
      </c>
      <c r="B951" s="40">
        <f t="shared" si="145"/>
        <v>32.933286051621081</v>
      </c>
      <c r="C951" s="41">
        <f t="shared" si="140"/>
        <v>0.49289226185293716</v>
      </c>
      <c r="D951" s="41">
        <f t="shared" si="141"/>
        <v>0.98069361229543572</v>
      </c>
      <c r="E951" s="39">
        <f>IF(_xlfn.NORM.INV(R951,C951,'Regressão Grupo 2'!$B$7)&lt;=0,0,IF(_xlfn.NORM.INV(R951,C951,'Regressão Grupo 2'!$B$7)&gt;100%,100%,_xlfn.NORM.INV(R951,C951,'Regressão Grupo 2'!$B$7)))</f>
        <v>0.40621866644085547</v>
      </c>
      <c r="F951" s="39">
        <f>IF(_xlfn.NORM.INV(S951,D951,'Regressão Grupo 2'!$B$7)&lt;=0,0,IF(_xlfn.NORM.INV(S951,D951,'Regressão Grupo 2'!$B$7)&gt;100%,100%,_xlfn.NORM.INV(S951,D951,'Regressão Grupo 2'!$B$7)))</f>
        <v>0.79409711032927888</v>
      </c>
      <c r="G951" s="41">
        <v>8.0170904236564512E-3</v>
      </c>
      <c r="H951" s="41">
        <v>1.0968052833767941E-2</v>
      </c>
      <c r="I951" s="40">
        <f t="shared" si="142"/>
        <v>65.105576009993172</v>
      </c>
      <c r="J951" s="40">
        <f t="shared" si="142"/>
        <v>0</v>
      </c>
      <c r="K951" s="36">
        <v>0.41315753585488035</v>
      </c>
      <c r="L951" s="42">
        <f t="shared" ref="L951:M966" si="149">L950</f>
        <v>19991.322604477216</v>
      </c>
      <c r="M951" s="42">
        <f t="shared" si="149"/>
        <v>0</v>
      </c>
      <c r="N951" s="42">
        <f t="shared" si="143"/>
        <v>8259.565585745775</v>
      </c>
      <c r="O951" s="36">
        <v>3.2463771772777856</v>
      </c>
      <c r="P951" s="42">
        <f t="shared" si="144"/>
        <v>-4289.2127317303257</v>
      </c>
      <c r="Q951" s="42"/>
      <c r="R951">
        <v>0.26538895840327159</v>
      </c>
      <c r="S951">
        <v>8.8595233008819843E-2</v>
      </c>
    </row>
    <row r="952" spans="1:19" x14ac:dyDescent="0.25">
      <c r="A952" s="40">
        <f t="shared" si="145"/>
        <v>64.229676878151835</v>
      </c>
      <c r="B952" s="40">
        <f t="shared" si="145"/>
        <v>32.933286051621081</v>
      </c>
      <c r="C952" s="41">
        <f t="shared" si="140"/>
        <v>0.49289226185293716</v>
      </c>
      <c r="D952" s="41">
        <f t="shared" si="141"/>
        <v>0.98069361229543572</v>
      </c>
      <c r="E952" s="39">
        <f>IF(_xlfn.NORM.INV(R952,C952,'Regressão Grupo 2'!$B$7)&lt;=0,0,IF(_xlfn.NORM.INV(R952,C952,'Regressão Grupo 2'!$B$7)&gt;100%,100%,_xlfn.NORM.INV(R952,C952,'Regressão Grupo 2'!$B$7)))</f>
        <v>0.6360796974089572</v>
      </c>
      <c r="F952" s="39">
        <f>IF(_xlfn.NORM.INV(S952,D952,'Regressão Grupo 2'!$B$7)&lt;=0,0,IF(_xlfn.NORM.INV(S952,D952,'Regressão Grupo 2'!$B$7)&gt;100%,100%,_xlfn.NORM.INV(S952,D952,'Regressão Grupo 2'!$B$7)))</f>
        <v>1</v>
      </c>
      <c r="G952" s="41">
        <v>1.0914208271251878E-2</v>
      </c>
      <c r="H952" s="41">
        <v>2.7291504302367861E-2</v>
      </c>
      <c r="I952" s="40">
        <f t="shared" si="142"/>
        <v>138.7858847551658</v>
      </c>
      <c r="J952" s="40">
        <f t="shared" si="142"/>
        <v>0</v>
      </c>
      <c r="K952" s="36">
        <v>0.23366320851165945</v>
      </c>
      <c r="L952" s="42">
        <f t="shared" si="149"/>
        <v>19991.322604477216</v>
      </c>
      <c r="M952" s="42">
        <f t="shared" si="149"/>
        <v>0</v>
      </c>
      <c r="N952" s="42">
        <f t="shared" si="143"/>
        <v>4671.2365821538106</v>
      </c>
      <c r="O952" s="36">
        <v>7.4679471650052225</v>
      </c>
      <c r="P952" s="42">
        <f t="shared" si="144"/>
        <v>3206.490296318826</v>
      </c>
      <c r="Q952" s="42"/>
      <c r="R952">
        <v>0.84978789635914187</v>
      </c>
      <c r="S952">
        <v>0.59419537949766532</v>
      </c>
    </row>
    <row r="953" spans="1:19" x14ac:dyDescent="0.25">
      <c r="A953" s="40">
        <f t="shared" si="145"/>
        <v>64.229676878151835</v>
      </c>
      <c r="B953" s="40">
        <f t="shared" si="145"/>
        <v>32.933286051621081</v>
      </c>
      <c r="C953" s="41">
        <f t="shared" si="140"/>
        <v>0.49289226185293716</v>
      </c>
      <c r="D953" s="41">
        <f t="shared" si="141"/>
        <v>0.98069361229543572</v>
      </c>
      <c r="E953" s="39">
        <f>IF(_xlfn.NORM.INV(R953,C953,'Regressão Grupo 2'!$B$7)&lt;=0,0,IF(_xlfn.NORM.INV(R953,C953,'Regressão Grupo 2'!$B$7)&gt;100%,100%,_xlfn.NORM.INV(R953,C953,'Regressão Grupo 2'!$B$7)))</f>
        <v>0.53383186001819394</v>
      </c>
      <c r="F953" s="39">
        <f>IF(_xlfn.NORM.INV(S953,D953,'Regressão Grupo 2'!$B$7)&lt;=0,0,IF(_xlfn.NORM.INV(S953,D953,'Regressão Grupo 2'!$B$7)&gt;100%,100%,_xlfn.NORM.INV(S953,D953,'Regressão Grupo 2'!$B$7)))</f>
        <v>0.89396851463047577</v>
      </c>
      <c r="G953" s="41">
        <v>2.7142296701289103E-2</v>
      </c>
      <c r="H953" s="41">
        <v>2.2382411087049248E-2</v>
      </c>
      <c r="I953" s="40">
        <f t="shared" si="142"/>
        <v>289.66272421234413</v>
      </c>
      <c r="J953" s="40">
        <f t="shared" si="142"/>
        <v>0</v>
      </c>
      <c r="K953" s="36">
        <v>0.30613665050929084</v>
      </c>
      <c r="L953" s="42">
        <f t="shared" si="149"/>
        <v>19991.322604477216</v>
      </c>
      <c r="M953" s="42">
        <f t="shared" si="149"/>
        <v>0</v>
      </c>
      <c r="N953" s="42">
        <f t="shared" si="143"/>
        <v>6120.0765413853278</v>
      </c>
      <c r="O953" s="36">
        <v>8.1907668967433072</v>
      </c>
      <c r="P953" s="42">
        <f t="shared" si="144"/>
        <v>10112.306785719789</v>
      </c>
      <c r="Q953" s="42"/>
      <c r="R953">
        <v>0.61641285439619131</v>
      </c>
      <c r="S953">
        <v>0.26526688436536761</v>
      </c>
    </row>
    <row r="954" spans="1:19" x14ac:dyDescent="0.25">
      <c r="A954" s="40">
        <f t="shared" si="145"/>
        <v>64.229676878151835</v>
      </c>
      <c r="B954" s="40">
        <f t="shared" si="145"/>
        <v>32.933286051621081</v>
      </c>
      <c r="C954" s="41">
        <f t="shared" si="140"/>
        <v>0.49289226185293716</v>
      </c>
      <c r="D954" s="41">
        <f t="shared" si="141"/>
        <v>0.98069361229543572</v>
      </c>
      <c r="E954" s="39">
        <f>IF(_xlfn.NORM.INV(R954,C954,'Regressão Grupo 2'!$B$7)&lt;=0,0,IF(_xlfn.NORM.INV(R954,C954,'Regressão Grupo 2'!$B$7)&gt;100%,100%,_xlfn.NORM.INV(R954,C954,'Regressão Grupo 2'!$B$7)))</f>
        <v>0.38907504992892789</v>
      </c>
      <c r="F954" s="39">
        <f>IF(_xlfn.NORM.INV(S954,D954,'Regressão Grupo 2'!$B$7)&lt;=0,0,IF(_xlfn.NORM.INV(S954,D954,'Regressão Grupo 2'!$B$7)&gt;100%,100%,_xlfn.NORM.INV(S954,D954,'Regressão Grupo 2'!$B$7)))</f>
        <v>1</v>
      </c>
      <c r="G954" s="41">
        <v>2.1318249526144903E-2</v>
      </c>
      <c r="H954" s="41">
        <v>2.5195046408973638E-2</v>
      </c>
      <c r="I954" s="40">
        <f t="shared" si="142"/>
        <v>165.8160061949072</v>
      </c>
      <c r="J954" s="40">
        <f t="shared" si="142"/>
        <v>0</v>
      </c>
      <c r="K954" s="36">
        <v>0.30859033704413985</v>
      </c>
      <c r="L954" s="42">
        <f t="shared" si="149"/>
        <v>19991.322604477216</v>
      </c>
      <c r="M954" s="42">
        <f t="shared" si="149"/>
        <v>0</v>
      </c>
      <c r="N954" s="42">
        <f t="shared" si="143"/>
        <v>6169.1289804737562</v>
      </c>
      <c r="O954" s="36">
        <v>7.5373022452683696</v>
      </c>
      <c r="P954" s="42">
        <f t="shared" si="144"/>
        <v>3231.3741628564485</v>
      </c>
      <c r="Q954" s="42"/>
      <c r="R954">
        <v>0.22638630329294718</v>
      </c>
      <c r="S954">
        <v>0.95721304971465193</v>
      </c>
    </row>
    <row r="955" spans="1:19" x14ac:dyDescent="0.25">
      <c r="A955" s="40">
        <f t="shared" si="145"/>
        <v>64.229676878151835</v>
      </c>
      <c r="B955" s="40">
        <f t="shared" si="145"/>
        <v>32.933286051621081</v>
      </c>
      <c r="C955" s="41">
        <f t="shared" si="140"/>
        <v>0.49289226185293716</v>
      </c>
      <c r="D955" s="41">
        <f t="shared" si="141"/>
        <v>0.98069361229543572</v>
      </c>
      <c r="E955" s="39">
        <f>IF(_xlfn.NORM.INV(R955,C955,'Regressão Grupo 2'!$B$7)&lt;=0,0,IF(_xlfn.NORM.INV(R955,C955,'Regressão Grupo 2'!$B$7)&gt;100%,100%,_xlfn.NORM.INV(R955,C955,'Regressão Grupo 2'!$B$7)))</f>
        <v>0.46145586926414112</v>
      </c>
      <c r="F955" s="39">
        <f>IF(_xlfn.NORM.INV(S955,D955,'Regressão Grupo 2'!$B$7)&lt;=0,0,IF(_xlfn.NORM.INV(S955,D955,'Regressão Grupo 2'!$B$7)&gt;100%,100%,_xlfn.NORM.INV(S955,D955,'Regressão Grupo 2'!$B$7)))</f>
        <v>0.83864052552813195</v>
      </c>
      <c r="G955" s="41">
        <v>2.450122682209048E-2</v>
      </c>
      <c r="H955" s="41">
        <v>2.4501235969663607E-3</v>
      </c>
      <c r="I955" s="40">
        <f t="shared" si="142"/>
        <v>226.02658975222803</v>
      </c>
      <c r="J955" s="40">
        <f t="shared" si="142"/>
        <v>0</v>
      </c>
      <c r="K955" s="36">
        <v>0.26273091855089181</v>
      </c>
      <c r="L955" s="42">
        <f t="shared" si="149"/>
        <v>19991.322604477216</v>
      </c>
      <c r="M955" s="42">
        <f t="shared" si="149"/>
        <v>0</v>
      </c>
      <c r="N955" s="42">
        <f t="shared" si="143"/>
        <v>5252.3385509215059</v>
      </c>
      <c r="O955" s="36">
        <v>4.504021747561703</v>
      </c>
      <c r="P955" s="42">
        <f t="shared" si="144"/>
        <v>8247.247598963444</v>
      </c>
      <c r="Q955" s="42"/>
      <c r="R955">
        <v>0.41007721182897428</v>
      </c>
      <c r="S955">
        <v>0.15213476973784601</v>
      </c>
    </row>
    <row r="956" spans="1:19" x14ac:dyDescent="0.25">
      <c r="A956" s="40">
        <f t="shared" si="145"/>
        <v>64.229676878151835</v>
      </c>
      <c r="B956" s="40">
        <f t="shared" si="145"/>
        <v>32.933286051621081</v>
      </c>
      <c r="C956" s="41">
        <f t="shared" si="140"/>
        <v>0.49289226185293716</v>
      </c>
      <c r="D956" s="41">
        <f t="shared" si="141"/>
        <v>0.98069361229543572</v>
      </c>
      <c r="E956" s="39">
        <f>IF(_xlfn.NORM.INV(R956,C956,'Regressão Grupo 2'!$B$7)&lt;=0,0,IF(_xlfn.NORM.INV(R956,C956,'Regressão Grupo 2'!$B$7)&gt;100%,100%,_xlfn.NORM.INV(R956,C956,'Regressão Grupo 2'!$B$7)))</f>
        <v>0.18909274549171257</v>
      </c>
      <c r="F956" s="39">
        <f>IF(_xlfn.NORM.INV(S956,D956,'Regressão Grupo 2'!$B$7)&lt;=0,0,IF(_xlfn.NORM.INV(S956,D956,'Regressão Grupo 2'!$B$7)&gt;100%,100%,_xlfn.NORM.INV(S956,D956,'Regressão Grupo 2'!$B$7)))</f>
        <v>0.97856208845621107</v>
      </c>
      <c r="G956" s="41">
        <v>2.5217786175505463E-2</v>
      </c>
      <c r="H956" s="41">
        <v>2.3685189584963746E-2</v>
      </c>
      <c r="I956" s="40">
        <f t="shared" si="142"/>
        <v>95.328630298763414</v>
      </c>
      <c r="J956" s="40">
        <f t="shared" si="142"/>
        <v>0</v>
      </c>
      <c r="K956" s="36">
        <v>0.2914098124269886</v>
      </c>
      <c r="L956" s="42">
        <f t="shared" si="149"/>
        <v>19991.322604477216</v>
      </c>
      <c r="M956" s="42">
        <f t="shared" si="149"/>
        <v>0</v>
      </c>
      <c r="N956" s="42">
        <f t="shared" si="143"/>
        <v>5825.6675703381225</v>
      </c>
      <c r="O956" s="36">
        <v>4.7353118381523416</v>
      </c>
      <c r="P956" s="42">
        <f t="shared" si="144"/>
        <v>-154.15124058033598</v>
      </c>
      <c r="Q956" s="42"/>
      <c r="R956">
        <v>1.4007995849482712E-2</v>
      </c>
      <c r="S956">
        <v>0.49385052034058657</v>
      </c>
    </row>
    <row r="957" spans="1:19" x14ac:dyDescent="0.25">
      <c r="A957" s="40">
        <f t="shared" si="145"/>
        <v>64.229676878151835</v>
      </c>
      <c r="B957" s="40">
        <f t="shared" si="145"/>
        <v>32.933286051621081</v>
      </c>
      <c r="C957" s="41">
        <f t="shared" si="140"/>
        <v>0.49289226185293716</v>
      </c>
      <c r="D957" s="41">
        <f t="shared" si="141"/>
        <v>0.98069361229543572</v>
      </c>
      <c r="E957" s="39">
        <f>IF(_xlfn.NORM.INV(R957,C957,'Regressão Grupo 2'!$B$7)&lt;=0,0,IF(_xlfn.NORM.INV(R957,C957,'Regressão Grupo 2'!$B$7)&gt;100%,100%,_xlfn.NORM.INV(R957,C957,'Regressão Grupo 2'!$B$7)))</f>
        <v>0.44668323183371883</v>
      </c>
      <c r="F957" s="39">
        <f>IF(_xlfn.NORM.INV(S957,D957,'Regressão Grupo 2'!$B$7)&lt;=0,0,IF(_xlfn.NORM.INV(S957,D957,'Regressão Grupo 2'!$B$7)&gt;100%,100%,_xlfn.NORM.INV(S957,D957,'Regressão Grupo 2'!$B$7)))</f>
        <v>1</v>
      </c>
      <c r="G957" s="41">
        <v>1.9030085974362277E-2</v>
      </c>
      <c r="H957" s="41">
        <v>1.6484103087582618E-2</v>
      </c>
      <c r="I957" s="40">
        <f t="shared" si="142"/>
        <v>169.93464459293605</v>
      </c>
      <c r="J957" s="40">
        <f t="shared" si="142"/>
        <v>0</v>
      </c>
      <c r="K957" s="36">
        <v>0.24706711885953977</v>
      </c>
      <c r="L957" s="42">
        <f t="shared" si="149"/>
        <v>19991.322604477216</v>
      </c>
      <c r="M957" s="42">
        <f t="shared" si="149"/>
        <v>0</v>
      </c>
      <c r="N957" s="42">
        <f t="shared" si="143"/>
        <v>4939.1984780797766</v>
      </c>
      <c r="O957" s="36">
        <v>4.5351453054982418</v>
      </c>
      <c r="P957" s="42">
        <f t="shared" si="144"/>
        <v>5204.9705288609121</v>
      </c>
      <c r="Q957" s="42"/>
      <c r="R957">
        <v>0.36912137211218604</v>
      </c>
      <c r="S957">
        <v>0.76525162511062961</v>
      </c>
    </row>
    <row r="958" spans="1:19" x14ac:dyDescent="0.25">
      <c r="A958" s="40">
        <f t="shared" si="145"/>
        <v>64.229676878151835</v>
      </c>
      <c r="B958" s="40">
        <f t="shared" si="145"/>
        <v>32.933286051621081</v>
      </c>
      <c r="C958" s="41">
        <f t="shared" si="140"/>
        <v>0.49289226185293716</v>
      </c>
      <c r="D958" s="41">
        <f t="shared" si="141"/>
        <v>0.98069361229543572</v>
      </c>
      <c r="E958" s="39">
        <f>IF(_xlfn.NORM.INV(R958,C958,'Regressão Grupo 2'!$B$7)&lt;=0,0,IF(_xlfn.NORM.INV(R958,C958,'Regressão Grupo 2'!$B$7)&gt;100%,100%,_xlfn.NORM.INV(R958,C958,'Regressão Grupo 2'!$B$7)))</f>
        <v>0.32491203859348727</v>
      </c>
      <c r="F958" s="39">
        <f>IF(_xlfn.NORM.INV(S958,D958,'Regressão Grupo 2'!$B$7)&lt;=0,0,IF(_xlfn.NORM.INV(S958,D958,'Regressão Grupo 2'!$B$7)&gt;100%,100%,_xlfn.NORM.INV(S958,D958,'Regressão Grupo 2'!$B$7)))</f>
        <v>0.84438105745571335</v>
      </c>
      <c r="G958" s="41">
        <v>2.0043635801118939E-2</v>
      </c>
      <c r="H958" s="41">
        <v>7.0921813642093314E-3</v>
      </c>
      <c r="I958" s="40">
        <f t="shared" si="142"/>
        <v>130.19186054760635</v>
      </c>
      <c r="J958" s="40">
        <f t="shared" si="142"/>
        <v>0</v>
      </c>
      <c r="K958" s="36">
        <v>0.42452072059049434</v>
      </c>
      <c r="L958" s="42">
        <f t="shared" si="149"/>
        <v>19991.322604477216</v>
      </c>
      <c r="M958" s="42">
        <f t="shared" si="149"/>
        <v>0</v>
      </c>
      <c r="N958" s="42">
        <f t="shared" si="143"/>
        <v>8486.7306776097066</v>
      </c>
      <c r="O958" s="36">
        <v>5.602135651426182</v>
      </c>
      <c r="P958" s="42">
        <f t="shared" si="144"/>
        <v>-853.9020059707982</v>
      </c>
      <c r="Q958" s="42"/>
      <c r="R958">
        <v>0.11221655934324168</v>
      </c>
      <c r="S958">
        <v>0.16211432233649709</v>
      </c>
    </row>
    <row r="959" spans="1:19" x14ac:dyDescent="0.25">
      <c r="A959" s="40">
        <f t="shared" si="145"/>
        <v>64.229676878151835</v>
      </c>
      <c r="B959" s="40">
        <f t="shared" si="145"/>
        <v>32.933286051621081</v>
      </c>
      <c r="C959" s="41">
        <f t="shared" si="140"/>
        <v>0.49289226185293716</v>
      </c>
      <c r="D959" s="41">
        <f t="shared" si="141"/>
        <v>0.98069361229543572</v>
      </c>
      <c r="E959" s="39">
        <f>IF(_xlfn.NORM.INV(R959,C959,'Regressão Grupo 2'!$B$7)&lt;=0,0,IF(_xlfn.NORM.INV(R959,C959,'Regressão Grupo 2'!$B$7)&gt;100%,100%,_xlfn.NORM.INV(R959,C959,'Regressão Grupo 2'!$B$7)))</f>
        <v>0.34923386308791016</v>
      </c>
      <c r="F959" s="39">
        <f>IF(_xlfn.NORM.INV(S959,D959,'Regressão Grupo 2'!$B$7)&lt;=0,0,IF(_xlfn.NORM.INV(S959,D959,'Regressão Grupo 2'!$B$7)&gt;100%,100%,_xlfn.NORM.INV(S959,D959,'Regressão Grupo 2'!$B$7)))</f>
        <v>0.74989694823704023</v>
      </c>
      <c r="G959" s="41">
        <v>1.7634859208836645E-2</v>
      </c>
      <c r="H959" s="41">
        <v>1.4782261029561332E-2</v>
      </c>
      <c r="I959" s="40">
        <f t="shared" si="142"/>
        <v>123.12035874117983</v>
      </c>
      <c r="J959" s="40">
        <f t="shared" si="142"/>
        <v>0</v>
      </c>
      <c r="K959" s="36">
        <v>0.18035652705365329</v>
      </c>
      <c r="L959" s="42">
        <f t="shared" si="149"/>
        <v>19991.322604477216</v>
      </c>
      <c r="M959" s="42">
        <f t="shared" si="149"/>
        <v>0</v>
      </c>
      <c r="N959" s="42">
        <f t="shared" si="143"/>
        <v>3605.5655161527056</v>
      </c>
      <c r="O959" s="36">
        <v>9.3879416161169953</v>
      </c>
      <c r="P959" s="42">
        <f t="shared" si="144"/>
        <v>3146.5686032978347</v>
      </c>
      <c r="Q959" s="42"/>
      <c r="R959">
        <v>0.14941862239448225</v>
      </c>
      <c r="S959">
        <v>4.7547837763603627E-2</v>
      </c>
    </row>
    <row r="960" spans="1:19" x14ac:dyDescent="0.25">
      <c r="A960" s="40">
        <f t="shared" si="145"/>
        <v>64.229676878151835</v>
      </c>
      <c r="B960" s="40">
        <f t="shared" si="145"/>
        <v>32.933286051621081</v>
      </c>
      <c r="C960" s="41">
        <f t="shared" si="140"/>
        <v>0.49289226185293716</v>
      </c>
      <c r="D960" s="41">
        <f t="shared" si="141"/>
        <v>0.98069361229543572</v>
      </c>
      <c r="E960" s="39">
        <f>IF(_xlfn.NORM.INV(R960,C960,'Regressão Grupo 2'!$B$7)&lt;=0,0,IF(_xlfn.NORM.INV(R960,C960,'Regressão Grupo 2'!$B$7)&gt;100%,100%,_xlfn.NORM.INV(R960,C960,'Regressão Grupo 2'!$B$7)))</f>
        <v>0.47903856367326497</v>
      </c>
      <c r="F960" s="39">
        <f>IF(_xlfn.NORM.INV(S960,D960,'Regressão Grupo 2'!$B$7)&lt;=0,0,IF(_xlfn.NORM.INV(S960,D960,'Regressão Grupo 2'!$B$7)&gt;100%,100%,_xlfn.NORM.INV(S960,D960,'Regressão Grupo 2'!$B$7)))</f>
        <v>0.92390444095025803</v>
      </c>
      <c r="G960" s="41">
        <v>2.4052468291724353E-2</v>
      </c>
      <c r="H960" s="41">
        <v>1.697532079783988E-2</v>
      </c>
      <c r="I960" s="40">
        <f t="shared" si="142"/>
        <v>230.34121579461691</v>
      </c>
      <c r="J960" s="40">
        <f t="shared" si="142"/>
        <v>0</v>
      </c>
      <c r="K960" s="36">
        <v>0.42404374342489731</v>
      </c>
      <c r="L960" s="42">
        <f t="shared" si="149"/>
        <v>19991.322604477216</v>
      </c>
      <c r="M960" s="42">
        <f t="shared" si="149"/>
        <v>0</v>
      </c>
      <c r="N960" s="42">
        <f t="shared" si="143"/>
        <v>8477.1952732172867</v>
      </c>
      <c r="O960" s="36">
        <v>4.0288802481987611</v>
      </c>
      <c r="P960" s="42">
        <f t="shared" si="144"/>
        <v>5389.52941433058</v>
      </c>
      <c r="Q960" s="42"/>
      <c r="R960">
        <v>0.46009704886013369</v>
      </c>
      <c r="S960">
        <v>0.34064760277108064</v>
      </c>
    </row>
    <row r="961" spans="1:19" x14ac:dyDescent="0.25">
      <c r="A961" s="40">
        <f t="shared" si="145"/>
        <v>64.229676878151835</v>
      </c>
      <c r="B961" s="40">
        <f t="shared" si="145"/>
        <v>32.933286051621081</v>
      </c>
      <c r="C961" s="41">
        <f t="shared" si="140"/>
        <v>0.49289226185293716</v>
      </c>
      <c r="D961" s="41">
        <f t="shared" si="141"/>
        <v>0.98069361229543572</v>
      </c>
      <c r="E961" s="39">
        <f>IF(_xlfn.NORM.INV(R961,C961,'Regressão Grupo 2'!$B$7)&lt;=0,0,IF(_xlfn.NORM.INV(R961,C961,'Regressão Grupo 2'!$B$7)&gt;100%,100%,_xlfn.NORM.INV(R961,C961,'Regressão Grupo 2'!$B$7)))</f>
        <v>0.50248879298828908</v>
      </c>
      <c r="F961" s="39">
        <f>IF(_xlfn.NORM.INV(S961,D961,'Regressão Grupo 2'!$B$7)&lt;=0,0,IF(_xlfn.NORM.INV(S961,D961,'Regressão Grupo 2'!$B$7)&gt;100%,100%,_xlfn.NORM.INV(S961,D961,'Regressão Grupo 2'!$B$7)))</f>
        <v>0.95673708735843865</v>
      </c>
      <c r="G961" s="41">
        <v>1.3732871744737947E-2</v>
      </c>
      <c r="H961" s="41">
        <v>1.5661974836771342E-2</v>
      </c>
      <c r="I961" s="40">
        <f t="shared" si="142"/>
        <v>137.952403587221</v>
      </c>
      <c r="J961" s="40">
        <f t="shared" si="142"/>
        <v>0</v>
      </c>
      <c r="K961" s="36">
        <v>0.34621983769721432</v>
      </c>
      <c r="L961" s="42">
        <f t="shared" si="149"/>
        <v>19991.322604477216</v>
      </c>
      <c r="M961" s="42">
        <f t="shared" si="149"/>
        <v>0</v>
      </c>
      <c r="N961" s="42">
        <f t="shared" si="143"/>
        <v>6921.3924674747541</v>
      </c>
      <c r="O961" s="36">
        <v>4.3255895082615012</v>
      </c>
      <c r="P961" s="42">
        <f t="shared" si="144"/>
        <v>1342.5203699005051</v>
      </c>
      <c r="Q961" s="42"/>
      <c r="R961">
        <v>0.52766502883999145</v>
      </c>
      <c r="S961">
        <v>0.43122653889584034</v>
      </c>
    </row>
    <row r="962" spans="1:19" x14ac:dyDescent="0.25">
      <c r="A962" s="40">
        <f t="shared" si="145"/>
        <v>64.229676878151835</v>
      </c>
      <c r="B962" s="40">
        <f t="shared" si="145"/>
        <v>32.933286051621081</v>
      </c>
      <c r="C962" s="41">
        <f t="shared" si="140"/>
        <v>0.49289226185293716</v>
      </c>
      <c r="D962" s="41">
        <f t="shared" si="141"/>
        <v>0.98069361229543572</v>
      </c>
      <c r="E962" s="39">
        <f>IF(_xlfn.NORM.INV(R962,C962,'Regressão Grupo 2'!$B$7)&lt;=0,0,IF(_xlfn.NORM.INV(R962,C962,'Regressão Grupo 2'!$B$7)&gt;100%,100%,_xlfn.NORM.INV(R962,C962,'Regressão Grupo 2'!$B$7)))</f>
        <v>0.76327258030599165</v>
      </c>
      <c r="F962" s="39">
        <f>IF(_xlfn.NORM.INV(S962,D962,'Regressão Grupo 2'!$B$7)&lt;=0,0,IF(_xlfn.NORM.INV(S962,D962,'Regressão Grupo 2'!$B$7)&gt;100%,100%,_xlfn.NORM.INV(S962,D962,'Regressão Grupo 2'!$B$7)))</f>
        <v>0.83000901851953601</v>
      </c>
      <c r="G962" s="41">
        <v>1.3491685426136253E-2</v>
      </c>
      <c r="H962" s="41">
        <v>1.5894534595008211E-2</v>
      </c>
      <c r="I962" s="40">
        <f t="shared" si="142"/>
        <v>205.86731258295242</v>
      </c>
      <c r="J962" s="40">
        <f t="shared" si="142"/>
        <v>0</v>
      </c>
      <c r="K962" s="36">
        <v>0.16856560688055941</v>
      </c>
      <c r="L962" s="42">
        <f t="shared" si="149"/>
        <v>19991.322604477216</v>
      </c>
      <c r="M962" s="42">
        <f t="shared" si="149"/>
        <v>0</v>
      </c>
      <c r="N962" s="42">
        <f t="shared" si="143"/>
        <v>3369.8494271687478</v>
      </c>
      <c r="O962" s="36">
        <v>4.6628049192308367</v>
      </c>
      <c r="P962" s="42">
        <f t="shared" si="144"/>
        <v>8893.0224219871452</v>
      </c>
      <c r="Q962" s="42"/>
      <c r="R962">
        <v>0.97473067415387438</v>
      </c>
      <c r="S962">
        <v>0.13791314432203131</v>
      </c>
    </row>
    <row r="963" spans="1:19" x14ac:dyDescent="0.25">
      <c r="A963" s="40">
        <f t="shared" si="145"/>
        <v>64.229676878151835</v>
      </c>
      <c r="B963" s="40">
        <f t="shared" si="145"/>
        <v>32.933286051621081</v>
      </c>
      <c r="C963" s="41">
        <f t="shared" si="140"/>
        <v>0.49289226185293716</v>
      </c>
      <c r="D963" s="41">
        <f t="shared" si="141"/>
        <v>0.98069361229543572</v>
      </c>
      <c r="E963" s="39">
        <f>IF(_xlfn.NORM.INV(R963,C963,'Regressão Grupo 2'!$B$7)&lt;=0,0,IF(_xlfn.NORM.INV(R963,C963,'Regressão Grupo 2'!$B$7)&gt;100%,100%,_xlfn.NORM.INV(R963,C963,'Regressão Grupo 2'!$B$7)))</f>
        <v>0.3147021730738403</v>
      </c>
      <c r="F963" s="39">
        <f>IF(_xlfn.NORM.INV(S963,D963,'Regressão Grupo 2'!$B$7)&lt;=0,0,IF(_xlfn.NORM.INV(S963,D963,'Regressão Grupo 2'!$B$7)&gt;100%,100%,_xlfn.NORM.INV(S963,D963,'Regressão Grupo 2'!$B$7)))</f>
        <v>1</v>
      </c>
      <c r="G963" s="41">
        <v>1.9623980003625887E-2</v>
      </c>
      <c r="H963" s="41">
        <v>8.4175361114987215E-3</v>
      </c>
      <c r="I963" s="40">
        <f t="shared" si="142"/>
        <v>123.46059395903188</v>
      </c>
      <c r="J963" s="40">
        <f t="shared" si="142"/>
        <v>0</v>
      </c>
      <c r="K963" s="36">
        <v>0.44763621244067048</v>
      </c>
      <c r="L963" s="42">
        <f t="shared" si="149"/>
        <v>19991.322604477216</v>
      </c>
      <c r="M963" s="42">
        <f t="shared" si="149"/>
        <v>0</v>
      </c>
      <c r="N963" s="42">
        <f t="shared" si="143"/>
        <v>8948.8399323477406</v>
      </c>
      <c r="O963" s="36">
        <v>10.228337330234627</v>
      </c>
      <c r="P963" s="42">
        <f t="shared" si="144"/>
        <v>-2281.802477178524</v>
      </c>
      <c r="Q963" s="42"/>
      <c r="R963">
        <v>9.8757896664326911E-2</v>
      </c>
      <c r="S963">
        <v>0.87020477919858397</v>
      </c>
    </row>
    <row r="964" spans="1:19" x14ac:dyDescent="0.25">
      <c r="A964" s="40">
        <f t="shared" si="145"/>
        <v>64.229676878151835</v>
      </c>
      <c r="B964" s="40">
        <f t="shared" si="145"/>
        <v>32.933286051621081</v>
      </c>
      <c r="C964" s="41">
        <f t="shared" si="140"/>
        <v>0.49289226185293716</v>
      </c>
      <c r="D964" s="41">
        <f t="shared" si="141"/>
        <v>0.98069361229543572</v>
      </c>
      <c r="E964" s="39">
        <f>IF(_xlfn.NORM.INV(R964,C964,'Regressão Grupo 2'!$B$7)&lt;=0,0,IF(_xlfn.NORM.INV(R964,C964,'Regressão Grupo 2'!$B$7)&gt;100%,100%,_xlfn.NORM.INV(R964,C964,'Regressão Grupo 2'!$B$7)))</f>
        <v>0.29652974720787068</v>
      </c>
      <c r="F964" s="39">
        <f>IF(_xlfn.NORM.INV(S964,D964,'Regressão Grupo 2'!$B$7)&lt;=0,0,IF(_xlfn.NORM.INV(S964,D964,'Regressão Grupo 2'!$B$7)&gt;100%,100%,_xlfn.NORM.INV(S964,D964,'Regressão Grupo 2'!$B$7)))</f>
        <v>1</v>
      </c>
      <c r="G964" s="41">
        <v>1.8353283135245823E-2</v>
      </c>
      <c r="H964" s="41">
        <v>2.4404939219009783E-2</v>
      </c>
      <c r="I964" s="40">
        <f t="shared" si="142"/>
        <v>108.79866322944416</v>
      </c>
      <c r="J964" s="40">
        <f t="shared" si="142"/>
        <v>0</v>
      </c>
      <c r="K964" s="36">
        <v>0.31743143820844</v>
      </c>
      <c r="L964" s="42">
        <f t="shared" si="149"/>
        <v>19991.322604477216</v>
      </c>
      <c r="M964" s="42">
        <f t="shared" si="149"/>
        <v>0</v>
      </c>
      <c r="N964" s="42">
        <f t="shared" si="143"/>
        <v>6345.874286028099</v>
      </c>
      <c r="O964" s="36">
        <v>10.877346121452563</v>
      </c>
      <c r="P964" s="42">
        <f t="shared" si="144"/>
        <v>-541.21201952405954</v>
      </c>
      <c r="Q964" s="42"/>
      <c r="R964">
        <v>7.7791680654316839E-2</v>
      </c>
      <c r="S964">
        <v>0.93783379619739371</v>
      </c>
    </row>
    <row r="965" spans="1:19" x14ac:dyDescent="0.25">
      <c r="A965" s="40">
        <f t="shared" si="145"/>
        <v>64.229676878151835</v>
      </c>
      <c r="B965" s="40">
        <f t="shared" si="145"/>
        <v>32.933286051621081</v>
      </c>
      <c r="C965" s="41">
        <f t="shared" si="140"/>
        <v>0.49289226185293716</v>
      </c>
      <c r="D965" s="41">
        <f t="shared" si="141"/>
        <v>0.98069361229543572</v>
      </c>
      <c r="E965" s="39">
        <f>IF(_xlfn.NORM.INV(R965,C965,'Regressão Grupo 2'!$B$7)&lt;=0,0,IF(_xlfn.NORM.INV(R965,C965,'Regressão Grupo 2'!$B$7)&gt;100%,100%,_xlfn.NORM.INV(R965,C965,'Regressão Grupo 2'!$B$7)))</f>
        <v>0.4057547118662635</v>
      </c>
      <c r="F965" s="39">
        <f>IF(_xlfn.NORM.INV(S965,D965,'Regressão Grupo 2'!$B$7)&lt;=0,0,IF(_xlfn.NORM.INV(S965,D965,'Regressão Grupo 2'!$B$7)&gt;100%,100%,_xlfn.NORM.INV(S965,D965,'Regressão Grupo 2'!$B$7)))</f>
        <v>0.49359837340279017</v>
      </c>
      <c r="G965" s="41">
        <v>3.4593632478178383E-3</v>
      </c>
      <c r="H965" s="41">
        <v>1.5438290286202664E-2</v>
      </c>
      <c r="I965" s="40">
        <f t="shared" si="142"/>
        <v>28.060878705462848</v>
      </c>
      <c r="J965" s="40">
        <f t="shared" si="142"/>
        <v>0</v>
      </c>
      <c r="K965" s="36">
        <v>0.44291823024988469</v>
      </c>
      <c r="L965" s="42">
        <f t="shared" si="149"/>
        <v>19991.322604477216</v>
      </c>
      <c r="M965" s="42">
        <f t="shared" si="149"/>
        <v>0</v>
      </c>
      <c r="N965" s="42">
        <f t="shared" si="143"/>
        <v>8854.5212283295641</v>
      </c>
      <c r="O965" s="36">
        <v>5.2801817656600099</v>
      </c>
      <c r="P965" s="42">
        <f t="shared" si="144"/>
        <v>-7200.3465962296559</v>
      </c>
      <c r="Q965" s="42"/>
      <c r="R965">
        <v>0.26429029206213567</v>
      </c>
      <c r="S965">
        <v>2.1362956633198035E-4</v>
      </c>
    </row>
    <row r="966" spans="1:19" x14ac:dyDescent="0.25">
      <c r="A966" s="40">
        <f t="shared" si="145"/>
        <v>64.229676878151835</v>
      </c>
      <c r="B966" s="40">
        <f t="shared" si="145"/>
        <v>32.933286051621081</v>
      </c>
      <c r="C966" s="41">
        <f t="shared" ref="C966:C1004" si="150">-0.007*A966 + 0.9425</f>
        <v>0.49289226185293716</v>
      </c>
      <c r="D966" s="41">
        <f t="shared" ref="D966:D1004" si="151">-0.0059*B966+1.175</f>
        <v>0.98069361229543572</v>
      </c>
      <c r="E966" s="39">
        <f>IF(_xlfn.NORM.INV(R966,C966,'Regressão Grupo 2'!$B$7)&lt;=0,0,IF(_xlfn.NORM.INV(R966,C966,'Regressão Grupo 2'!$B$7)&gt;100%,100%,_xlfn.NORM.INV(R966,C966,'Regressão Grupo 2'!$B$7)))</f>
        <v>0.63107443248803063</v>
      </c>
      <c r="F966" s="39">
        <f>IF(_xlfn.NORM.INV(S966,D966,'Regressão Grupo 2'!$B$7)&lt;=0,0,IF(_xlfn.NORM.INV(S966,D966,'Regressão Grupo 2'!$B$7)&gt;100%,100%,_xlfn.NORM.INV(S966,D966,'Regressão Grupo 2'!$B$7)))</f>
        <v>0.79335826257354292</v>
      </c>
      <c r="G966" s="41">
        <v>2.5511809427166385E-2</v>
      </c>
      <c r="H966" s="41">
        <v>1.5989630095406247E-2</v>
      </c>
      <c r="I966" s="40">
        <f t="shared" ref="I966:J1004" si="152">IF(E966*G966*L966&gt;0,E966*G966*L966,0)</f>
        <v>321.85730834783652</v>
      </c>
      <c r="J966" s="40">
        <f t="shared" si="152"/>
        <v>0</v>
      </c>
      <c r="K966" s="36">
        <v>0.20953760321852885</v>
      </c>
      <c r="L966" s="42">
        <f t="shared" si="149"/>
        <v>19991.322604477216</v>
      </c>
      <c r="M966" s="42">
        <f t="shared" si="149"/>
        <v>0</v>
      </c>
      <c r="N966" s="42">
        <f t="shared" ref="N966:N1004" si="153">(L966+M966)*K966</f>
        <v>4188.933823710554</v>
      </c>
      <c r="O966" s="36">
        <v>9.5721898131661671</v>
      </c>
      <c r="P966" s="42">
        <f t="shared" ref="P966:P1004" si="154">SUMPRODUCT(A966:B966,I966:J966)-SUM(I966:J966)*O966-N966</f>
        <v>13402.977844082423</v>
      </c>
      <c r="Q966" s="42"/>
      <c r="R966">
        <v>0.84118167668691057</v>
      </c>
      <c r="S966">
        <v>8.7740714743491932E-2</v>
      </c>
    </row>
    <row r="967" spans="1:19" x14ac:dyDescent="0.25">
      <c r="A967" s="40">
        <f t="shared" ref="A967:B1004" si="155">A966</f>
        <v>64.229676878151835</v>
      </c>
      <c r="B967" s="40">
        <f t="shared" si="155"/>
        <v>32.933286051621081</v>
      </c>
      <c r="C967" s="41">
        <f t="shared" si="150"/>
        <v>0.49289226185293716</v>
      </c>
      <c r="D967" s="41">
        <f t="shared" si="151"/>
        <v>0.98069361229543572</v>
      </c>
      <c r="E967" s="39">
        <f>IF(_xlfn.NORM.INV(R967,C967,'Regressão Grupo 2'!$B$7)&lt;=0,0,IF(_xlfn.NORM.INV(R967,C967,'Regressão Grupo 2'!$B$7)&gt;100%,100%,_xlfn.NORM.INV(R967,C967,'Regressão Grupo 2'!$B$7)))</f>
        <v>0.6058867815797162</v>
      </c>
      <c r="F967" s="39">
        <f>IF(_xlfn.NORM.INV(S967,D967,'Regressão Grupo 2'!$B$7)&lt;=0,0,IF(_xlfn.NORM.INV(S967,D967,'Regressão Grupo 2'!$B$7)&gt;100%,100%,_xlfn.NORM.INV(S967,D967,'Regressão Grupo 2'!$B$7)))</f>
        <v>1</v>
      </c>
      <c r="G967" s="41">
        <v>1.3766675287679662E-2</v>
      </c>
      <c r="H967" s="41">
        <v>4.1108859225335737E-3</v>
      </c>
      <c r="I967" s="40">
        <f t="shared" si="152"/>
        <v>166.74855310182932</v>
      </c>
      <c r="J967" s="40">
        <f t="shared" si="152"/>
        <v>0</v>
      </c>
      <c r="K967" s="36">
        <v>0.22198803868050229</v>
      </c>
      <c r="L967" s="42">
        <f t="shared" ref="L967:M982" si="156">L966</f>
        <v>19991.322604477216</v>
      </c>
      <c r="M967" s="42">
        <f t="shared" si="156"/>
        <v>0</v>
      </c>
      <c r="N967" s="42">
        <f t="shared" si="153"/>
        <v>4437.8344955970879</v>
      </c>
      <c r="O967" s="36">
        <v>4.4389694626223157</v>
      </c>
      <c r="P967" s="42">
        <f t="shared" si="154"/>
        <v>5532.1794548772759</v>
      </c>
      <c r="Q967" s="42"/>
      <c r="R967">
        <v>0.79308450575273903</v>
      </c>
      <c r="S967">
        <v>0.5816827906125065</v>
      </c>
    </row>
    <row r="968" spans="1:19" x14ac:dyDescent="0.25">
      <c r="A968" s="40">
        <f t="shared" si="155"/>
        <v>64.229676878151835</v>
      </c>
      <c r="B968" s="40">
        <f t="shared" si="155"/>
        <v>32.933286051621081</v>
      </c>
      <c r="C968" s="41">
        <f t="shared" si="150"/>
        <v>0.49289226185293716</v>
      </c>
      <c r="D968" s="41">
        <f t="shared" si="151"/>
        <v>0.98069361229543572</v>
      </c>
      <c r="E968" s="39">
        <f>IF(_xlfn.NORM.INV(R968,C968,'Regressão Grupo 2'!$B$7)&lt;=0,0,IF(_xlfn.NORM.INV(R968,C968,'Regressão Grupo 2'!$B$7)&gt;100%,100%,_xlfn.NORM.INV(R968,C968,'Regressão Grupo 2'!$B$7)))</f>
        <v>0.41349062468888326</v>
      </c>
      <c r="F968" s="39">
        <f>IF(_xlfn.NORM.INV(S968,D968,'Regressão Grupo 2'!$B$7)&lt;=0,0,IF(_xlfn.NORM.INV(S968,D968,'Regressão Grupo 2'!$B$7)&gt;100%,100%,_xlfn.NORM.INV(S968,D968,'Regressão Grupo 2'!$B$7)))</f>
        <v>0.82852546083056389</v>
      </c>
      <c r="G968" s="41">
        <v>1.5212850770691191E-2</v>
      </c>
      <c r="H968" s="41">
        <v>1.4118915563982981E-2</v>
      </c>
      <c r="I968" s="40">
        <f t="shared" si="152"/>
        <v>125.75283933082325</v>
      </c>
      <c r="J968" s="40">
        <f t="shared" si="152"/>
        <v>0</v>
      </c>
      <c r="K968" s="36">
        <v>0.36869535221443861</v>
      </c>
      <c r="L968" s="42">
        <f t="shared" si="156"/>
        <v>19991.322604477216</v>
      </c>
      <c r="M968" s="42">
        <f t="shared" si="156"/>
        <v>0</v>
      </c>
      <c r="N968" s="42">
        <f t="shared" si="153"/>
        <v>7370.7077288901955</v>
      </c>
      <c r="O968" s="36">
        <v>6.0632443445869484</v>
      </c>
      <c r="P968" s="42">
        <f t="shared" si="154"/>
        <v>-56.113684049639232</v>
      </c>
      <c r="Q968" s="42"/>
      <c r="R968">
        <v>0.28290658284249398</v>
      </c>
      <c r="S968">
        <v>0.13556321909237953</v>
      </c>
    </row>
    <row r="969" spans="1:19" x14ac:dyDescent="0.25">
      <c r="A969" s="40">
        <f t="shared" si="155"/>
        <v>64.229676878151835</v>
      </c>
      <c r="B969" s="40">
        <f t="shared" si="155"/>
        <v>32.933286051621081</v>
      </c>
      <c r="C969" s="41">
        <f t="shared" si="150"/>
        <v>0.49289226185293716</v>
      </c>
      <c r="D969" s="41">
        <f t="shared" si="151"/>
        <v>0.98069361229543572</v>
      </c>
      <c r="E969" s="39">
        <f>IF(_xlfn.NORM.INV(R969,C969,'Regressão Grupo 2'!$B$7)&lt;=0,0,IF(_xlfn.NORM.INV(R969,C969,'Regressão Grupo 2'!$B$7)&gt;100%,100%,_xlfn.NORM.INV(R969,C969,'Regressão Grupo 2'!$B$7)))</f>
        <v>0.57988794407531052</v>
      </c>
      <c r="F969" s="39">
        <f>IF(_xlfn.NORM.INV(S969,D969,'Regressão Grupo 2'!$B$7)&lt;=0,0,IF(_xlfn.NORM.INV(S969,D969,'Regressão Grupo 2'!$B$7)&gt;100%,100%,_xlfn.NORM.INV(S969,D969,'Regressão Grupo 2'!$B$7)))</f>
        <v>1</v>
      </c>
      <c r="G969" s="41">
        <v>7.5005602627345996E-3</v>
      </c>
      <c r="H969" s="41">
        <v>1.2913202108255709E-2</v>
      </c>
      <c r="I969" s="40">
        <f t="shared" si="152"/>
        <v>86.951947206334893</v>
      </c>
      <c r="J969" s="40">
        <f t="shared" si="152"/>
        <v>0</v>
      </c>
      <c r="K969" s="36">
        <v>0.26900251357336735</v>
      </c>
      <c r="L969" s="42">
        <f t="shared" si="156"/>
        <v>19991.322604477216</v>
      </c>
      <c r="M969" s="42">
        <f t="shared" si="156"/>
        <v>0</v>
      </c>
      <c r="N969" s="42">
        <f t="shared" si="153"/>
        <v>5377.716030260448</v>
      </c>
      <c r="O969" s="36">
        <v>8.7548718745169118</v>
      </c>
      <c r="P969" s="42">
        <f t="shared" si="154"/>
        <v>-554.07371430266085</v>
      </c>
      <c r="Q969" s="42"/>
      <c r="R969">
        <v>0.73537400433362832</v>
      </c>
      <c r="S969">
        <v>0.88219855342265086</v>
      </c>
    </row>
    <row r="970" spans="1:19" x14ac:dyDescent="0.25">
      <c r="A970" s="40">
        <f t="shared" si="155"/>
        <v>64.229676878151835</v>
      </c>
      <c r="B970" s="40">
        <f t="shared" si="155"/>
        <v>32.933286051621081</v>
      </c>
      <c r="C970" s="41">
        <f t="shared" si="150"/>
        <v>0.49289226185293716</v>
      </c>
      <c r="D970" s="41">
        <f t="shared" si="151"/>
        <v>0.98069361229543572</v>
      </c>
      <c r="E970" s="39">
        <f>IF(_xlfn.NORM.INV(R970,C970,'Regressão Grupo 2'!$B$7)&lt;=0,0,IF(_xlfn.NORM.INV(R970,C970,'Regressão Grupo 2'!$B$7)&gt;100%,100%,_xlfn.NORM.INV(R970,C970,'Regressão Grupo 2'!$B$7)))</f>
        <v>0.63327038291420301</v>
      </c>
      <c r="F970" s="39">
        <f>IF(_xlfn.NORM.INV(S970,D970,'Regressão Grupo 2'!$B$7)&lt;=0,0,IF(_xlfn.NORM.INV(S970,D970,'Regressão Grupo 2'!$B$7)&gt;100%,100%,_xlfn.NORM.INV(S970,D970,'Regressão Grupo 2'!$B$7)))</f>
        <v>0.98819170132789758</v>
      </c>
      <c r="G970" s="41">
        <v>2.2243987785006653E-2</v>
      </c>
      <c r="H970" s="41">
        <v>1.8412747012033381E-2</v>
      </c>
      <c r="I970" s="40">
        <f t="shared" si="152"/>
        <v>281.60693946967353</v>
      </c>
      <c r="J970" s="40">
        <f t="shared" si="152"/>
        <v>0</v>
      </c>
      <c r="K970" s="36">
        <v>0.28606655226380129</v>
      </c>
      <c r="L970" s="42">
        <f t="shared" si="156"/>
        <v>19991.322604477216</v>
      </c>
      <c r="M970" s="42">
        <f t="shared" si="156"/>
        <v>0</v>
      </c>
      <c r="N970" s="42">
        <f t="shared" si="153"/>
        <v>5718.8487326561935</v>
      </c>
      <c r="O970" s="36">
        <v>4.0016671772013108</v>
      </c>
      <c r="P970" s="42">
        <f t="shared" si="154"/>
        <v>11241.776749578292</v>
      </c>
      <c r="Q970" s="42"/>
      <c r="R970">
        <v>0.84499649037141022</v>
      </c>
      <c r="S970">
        <v>0.52162236396374406</v>
      </c>
    </row>
    <row r="971" spans="1:19" x14ac:dyDescent="0.25">
      <c r="A971" s="40">
        <f t="shared" si="155"/>
        <v>64.229676878151835</v>
      </c>
      <c r="B971" s="40">
        <f t="shared" si="155"/>
        <v>32.933286051621081</v>
      </c>
      <c r="C971" s="41">
        <f t="shared" si="150"/>
        <v>0.49289226185293716</v>
      </c>
      <c r="D971" s="41">
        <f t="shared" si="151"/>
        <v>0.98069361229543572</v>
      </c>
      <c r="E971" s="39">
        <f>IF(_xlfn.NORM.INV(R971,C971,'Regressão Grupo 2'!$B$7)&lt;=0,0,IF(_xlfn.NORM.INV(R971,C971,'Regressão Grupo 2'!$B$7)&gt;100%,100%,_xlfn.NORM.INV(R971,C971,'Regressão Grupo 2'!$B$7)))</f>
        <v>0.75697575273315154</v>
      </c>
      <c r="F971" s="39">
        <f>IF(_xlfn.NORM.INV(S971,D971,'Regressão Grupo 2'!$B$7)&lt;=0,0,IF(_xlfn.NORM.INV(S971,D971,'Regressão Grupo 2'!$B$7)&gt;100%,100%,_xlfn.NORM.INV(S971,D971,'Regressão Grupo 2'!$B$7)))</f>
        <v>0.84006733585756233</v>
      </c>
      <c r="G971" s="41">
        <v>1.8293934847279376E-2</v>
      </c>
      <c r="H971" s="41">
        <v>1.3986462059066904E-2</v>
      </c>
      <c r="I971" s="40">
        <f t="shared" si="152"/>
        <v>276.84113689130004</v>
      </c>
      <c r="J971" s="40">
        <f t="shared" si="152"/>
        <v>0</v>
      </c>
      <c r="K971" s="36">
        <v>0.35997380910357202</v>
      </c>
      <c r="L971" s="42">
        <f t="shared" si="156"/>
        <v>19991.322604477216</v>
      </c>
      <c r="M971" s="42">
        <f t="shared" si="156"/>
        <v>0</v>
      </c>
      <c r="N971" s="42">
        <f t="shared" si="153"/>
        <v>7196.3525469520055</v>
      </c>
      <c r="O971" s="36">
        <v>6.4578028487080692</v>
      </c>
      <c r="P971" s="42">
        <f t="shared" si="154"/>
        <v>8797.2787397001775</v>
      </c>
      <c r="Q971" s="42"/>
      <c r="R971">
        <v>0.9719229712820826</v>
      </c>
      <c r="S971">
        <v>0.15457625049592577</v>
      </c>
    </row>
    <row r="972" spans="1:19" x14ac:dyDescent="0.25">
      <c r="A972" s="40">
        <f t="shared" si="155"/>
        <v>64.229676878151835</v>
      </c>
      <c r="B972" s="40">
        <f t="shared" si="155"/>
        <v>32.933286051621081</v>
      </c>
      <c r="C972" s="41">
        <f t="shared" si="150"/>
        <v>0.49289226185293716</v>
      </c>
      <c r="D972" s="41">
        <f t="shared" si="151"/>
        <v>0.98069361229543572</v>
      </c>
      <c r="E972" s="39">
        <f>IF(_xlfn.NORM.INV(R972,C972,'Regressão Grupo 2'!$B$7)&lt;=0,0,IF(_xlfn.NORM.INV(R972,C972,'Regressão Grupo 2'!$B$7)&gt;100%,100%,_xlfn.NORM.INV(R972,C972,'Regressão Grupo 2'!$B$7)))</f>
        <v>0.52211820414240362</v>
      </c>
      <c r="F972" s="39">
        <f>IF(_xlfn.NORM.INV(S972,D972,'Regressão Grupo 2'!$B$7)&lt;=0,0,IF(_xlfn.NORM.INV(S972,D972,'Regressão Grupo 2'!$B$7)&gt;100%,100%,_xlfn.NORM.INV(S972,D972,'Regressão Grupo 2'!$B$7)))</f>
        <v>0.82623709193002393</v>
      </c>
      <c r="G972" s="41">
        <v>1.6975250221509409E-2</v>
      </c>
      <c r="H972" s="41">
        <v>8.5438406123928331E-3</v>
      </c>
      <c r="I972" s="40">
        <f t="shared" si="152"/>
        <v>177.18483469760389</v>
      </c>
      <c r="J972" s="40">
        <f t="shared" si="152"/>
        <v>0</v>
      </c>
      <c r="K972" s="36">
        <v>0.22885996594506869</v>
      </c>
      <c r="L972" s="42">
        <f t="shared" si="156"/>
        <v>19991.322604477216</v>
      </c>
      <c r="M972" s="42">
        <f t="shared" si="156"/>
        <v>0</v>
      </c>
      <c r="N972" s="42">
        <f t="shared" si="153"/>
        <v>4575.213410457538</v>
      </c>
      <c r="O972" s="36">
        <v>8.5956913493589671</v>
      </c>
      <c r="P972" s="42">
        <f t="shared" si="154"/>
        <v>5282.2851190305137</v>
      </c>
      <c r="Q972" s="42"/>
      <c r="R972">
        <v>0.58369701223792225</v>
      </c>
      <c r="S972">
        <v>0.13199255348368785</v>
      </c>
    </row>
    <row r="973" spans="1:19" x14ac:dyDescent="0.25">
      <c r="A973" s="40">
        <f t="shared" si="155"/>
        <v>64.229676878151835</v>
      </c>
      <c r="B973" s="40">
        <f t="shared" si="155"/>
        <v>32.933286051621081</v>
      </c>
      <c r="C973" s="41">
        <f t="shared" si="150"/>
        <v>0.49289226185293716</v>
      </c>
      <c r="D973" s="41">
        <f t="shared" si="151"/>
        <v>0.98069361229543572</v>
      </c>
      <c r="E973" s="39">
        <f>IF(_xlfn.NORM.INV(R973,C973,'Regressão Grupo 2'!$B$7)&lt;=0,0,IF(_xlfn.NORM.INV(R973,C973,'Regressão Grupo 2'!$B$7)&gt;100%,100%,_xlfn.NORM.INV(R973,C973,'Regressão Grupo 2'!$B$7)))</f>
        <v>0.36569037515630409</v>
      </c>
      <c r="F973" s="39">
        <f>IF(_xlfn.NORM.INV(S973,D973,'Regressão Grupo 2'!$B$7)&lt;=0,0,IF(_xlfn.NORM.INV(S973,D973,'Regressão Grupo 2'!$B$7)&gt;100%,100%,_xlfn.NORM.INV(S973,D973,'Regressão Grupo 2'!$B$7)))</f>
        <v>1</v>
      </c>
      <c r="G973" s="41">
        <v>4.7633631607378229E-3</v>
      </c>
      <c r="H973" s="41">
        <v>2.035351730566045E-2</v>
      </c>
      <c r="I973" s="40">
        <f t="shared" si="152"/>
        <v>34.823205930487653</v>
      </c>
      <c r="J973" s="40">
        <f t="shared" si="152"/>
        <v>0</v>
      </c>
      <c r="K973" s="36">
        <v>0.29666994102898825</v>
      </c>
      <c r="L973" s="42">
        <f t="shared" si="156"/>
        <v>19991.322604477216</v>
      </c>
      <c r="M973" s="42">
        <f t="shared" si="156"/>
        <v>0</v>
      </c>
      <c r="N973" s="42">
        <f t="shared" si="153"/>
        <v>5930.8244981617354</v>
      </c>
      <c r="O973" s="36">
        <v>5.2203785586825653</v>
      </c>
      <c r="P973" s="42">
        <f t="shared" si="154"/>
        <v>-3875.9315509692779</v>
      </c>
      <c r="Q973" s="42"/>
      <c r="R973">
        <v>0.17880794701986755</v>
      </c>
      <c r="S973">
        <v>0.86712240974150823</v>
      </c>
    </row>
    <row r="974" spans="1:19" x14ac:dyDescent="0.25">
      <c r="A974" s="40">
        <f t="shared" si="155"/>
        <v>64.229676878151835</v>
      </c>
      <c r="B974" s="40">
        <f t="shared" si="155"/>
        <v>32.933286051621081</v>
      </c>
      <c r="C974" s="41">
        <f t="shared" si="150"/>
        <v>0.49289226185293716</v>
      </c>
      <c r="D974" s="41">
        <f t="shared" si="151"/>
        <v>0.98069361229543572</v>
      </c>
      <c r="E974" s="39">
        <f>IF(_xlfn.NORM.INV(R974,C974,'Regressão Grupo 2'!$B$7)&lt;=0,0,IF(_xlfn.NORM.INV(R974,C974,'Regressão Grupo 2'!$B$7)&gt;100%,100%,_xlfn.NORM.INV(R974,C974,'Regressão Grupo 2'!$B$7)))</f>
        <v>0.31919397235649088</v>
      </c>
      <c r="F974" s="39">
        <f>IF(_xlfn.NORM.INV(S974,D974,'Regressão Grupo 2'!$B$7)&lt;=0,0,IF(_xlfn.NORM.INV(S974,D974,'Regressão Grupo 2'!$B$7)&gt;100%,100%,_xlfn.NORM.INV(S974,D974,'Regressão Grupo 2'!$B$7)))</f>
        <v>1</v>
      </c>
      <c r="G974" s="41">
        <v>3.0157168675793871E-3</v>
      </c>
      <c r="H974" s="41">
        <v>1.6502463373618301E-2</v>
      </c>
      <c r="I974" s="40">
        <f t="shared" si="152"/>
        <v>19.24362008011769</v>
      </c>
      <c r="J974" s="40">
        <f t="shared" si="152"/>
        <v>0</v>
      </c>
      <c r="K974" s="36">
        <v>0.2906216855620859</v>
      </c>
      <c r="L974" s="42">
        <f t="shared" si="156"/>
        <v>19991.322604477216</v>
      </c>
      <c r="M974" s="42">
        <f t="shared" si="156"/>
        <v>0</v>
      </c>
      <c r="N974" s="42">
        <f t="shared" si="153"/>
        <v>5809.911871928598</v>
      </c>
      <c r="O974" s="36">
        <v>7.7618243116183478</v>
      </c>
      <c r="P974" s="42">
        <f t="shared" si="154"/>
        <v>-4723.265970398129</v>
      </c>
      <c r="Q974" s="42"/>
      <c r="R974">
        <v>0.10452589495529038</v>
      </c>
      <c r="S974">
        <v>0.61955626087221904</v>
      </c>
    </row>
    <row r="975" spans="1:19" x14ac:dyDescent="0.25">
      <c r="A975" s="40">
        <f t="shared" si="155"/>
        <v>64.229676878151835</v>
      </c>
      <c r="B975" s="40">
        <f t="shared" si="155"/>
        <v>32.933286051621081</v>
      </c>
      <c r="C975" s="41">
        <f t="shared" si="150"/>
        <v>0.49289226185293716</v>
      </c>
      <c r="D975" s="41">
        <f t="shared" si="151"/>
        <v>0.98069361229543572</v>
      </c>
      <c r="E975" s="39">
        <f>IF(_xlfn.NORM.INV(R975,C975,'Regressão Grupo 2'!$B$7)&lt;=0,0,IF(_xlfn.NORM.INV(R975,C975,'Regressão Grupo 2'!$B$7)&gt;100%,100%,_xlfn.NORM.INV(R975,C975,'Regressão Grupo 2'!$B$7)))</f>
        <v>0.48935358040278004</v>
      </c>
      <c r="F975" s="39">
        <f>IF(_xlfn.NORM.INV(S975,D975,'Regressão Grupo 2'!$B$7)&lt;=0,0,IF(_xlfn.NORM.INV(S975,D975,'Regressão Grupo 2'!$B$7)&gt;100%,100%,_xlfn.NORM.INV(S975,D975,'Regressão Grupo 2'!$B$7)))</f>
        <v>1</v>
      </c>
      <c r="G975" s="41">
        <v>1.7103001700845021E-2</v>
      </c>
      <c r="H975" s="41">
        <v>2.0066970427195088E-2</v>
      </c>
      <c r="I975" s="40">
        <f t="shared" si="152"/>
        <v>167.31567763359419</v>
      </c>
      <c r="J975" s="40">
        <f t="shared" si="152"/>
        <v>0</v>
      </c>
      <c r="K975" s="36">
        <v>0.32869416583231831</v>
      </c>
      <c r="L975" s="42">
        <f t="shared" si="156"/>
        <v>19991.322604477216</v>
      </c>
      <c r="M975" s="42">
        <f t="shared" si="156"/>
        <v>0</v>
      </c>
      <c r="N975" s="42">
        <f t="shared" si="153"/>
        <v>6571.0311073634075</v>
      </c>
      <c r="O975" s="36">
        <v>7.5089360450793965</v>
      </c>
      <c r="P975" s="42">
        <f t="shared" si="154"/>
        <v>2919.238081001582</v>
      </c>
      <c r="Q975" s="42"/>
      <c r="R975">
        <v>0.48979155858027895</v>
      </c>
      <c r="S975">
        <v>0.8417615283669545</v>
      </c>
    </row>
    <row r="976" spans="1:19" x14ac:dyDescent="0.25">
      <c r="A976" s="40">
        <f t="shared" si="155"/>
        <v>64.229676878151835</v>
      </c>
      <c r="B976" s="40">
        <f t="shared" si="155"/>
        <v>32.933286051621081</v>
      </c>
      <c r="C976" s="41">
        <f t="shared" si="150"/>
        <v>0.49289226185293716</v>
      </c>
      <c r="D976" s="41">
        <f t="shared" si="151"/>
        <v>0.98069361229543572</v>
      </c>
      <c r="E976" s="39">
        <f>IF(_xlfn.NORM.INV(R976,C976,'Regressão Grupo 2'!$B$7)&lt;=0,0,IF(_xlfn.NORM.INV(R976,C976,'Regressão Grupo 2'!$B$7)&gt;100%,100%,_xlfn.NORM.INV(R976,C976,'Regressão Grupo 2'!$B$7)))</f>
        <v>0.59605162232837794</v>
      </c>
      <c r="F976" s="39">
        <f>IF(_xlfn.NORM.INV(S976,D976,'Regressão Grupo 2'!$B$7)&lt;=0,0,IF(_xlfn.NORM.INV(S976,D976,'Regressão Grupo 2'!$B$7)&gt;100%,100%,_xlfn.NORM.INV(S976,D976,'Regressão Grupo 2'!$B$7)))</f>
        <v>1</v>
      </c>
      <c r="G976" s="41">
        <v>1.7904896270549489E-2</v>
      </c>
      <c r="H976" s="41">
        <v>1.7024522204983711E-2</v>
      </c>
      <c r="I976" s="40">
        <f t="shared" si="152"/>
        <v>213.35224212462245</v>
      </c>
      <c r="J976" s="40">
        <f t="shared" si="152"/>
        <v>0</v>
      </c>
      <c r="K976" s="36">
        <v>0.31858965632731173</v>
      </c>
      <c r="L976" s="42">
        <f t="shared" si="156"/>
        <v>19991.322604477216</v>
      </c>
      <c r="M976" s="42">
        <f t="shared" si="156"/>
        <v>0</v>
      </c>
      <c r="N976" s="42">
        <f t="shared" si="153"/>
        <v>6369.0285980888148</v>
      </c>
      <c r="O976" s="36">
        <v>6.0151430679886344</v>
      </c>
      <c r="P976" s="42">
        <f t="shared" si="154"/>
        <v>6051.1727145491441</v>
      </c>
      <c r="Q976" s="42"/>
      <c r="R976">
        <v>0.772179326761681</v>
      </c>
      <c r="S976">
        <v>0.89861751152073732</v>
      </c>
    </row>
    <row r="977" spans="1:19" x14ac:dyDescent="0.25">
      <c r="A977" s="40">
        <f t="shared" si="155"/>
        <v>64.229676878151835</v>
      </c>
      <c r="B977" s="40">
        <f t="shared" si="155"/>
        <v>32.933286051621081</v>
      </c>
      <c r="C977" s="41">
        <f t="shared" si="150"/>
        <v>0.49289226185293716</v>
      </c>
      <c r="D977" s="41">
        <f t="shared" si="151"/>
        <v>0.98069361229543572</v>
      </c>
      <c r="E977" s="39">
        <f>IF(_xlfn.NORM.INV(R977,C977,'Regressão Grupo 2'!$B$7)&lt;=0,0,IF(_xlfn.NORM.INV(R977,C977,'Regressão Grupo 2'!$B$7)&gt;100%,100%,_xlfn.NORM.INV(R977,C977,'Regressão Grupo 2'!$B$7)))</f>
        <v>0.54134452318706083</v>
      </c>
      <c r="F977" s="39">
        <f>IF(_xlfn.NORM.INV(S977,D977,'Regressão Grupo 2'!$B$7)&lt;=0,0,IF(_xlfn.NORM.INV(S977,D977,'Regressão Grupo 2'!$B$7)&gt;100%,100%,_xlfn.NORM.INV(S977,D977,'Regressão Grupo 2'!$B$7)))</f>
        <v>1</v>
      </c>
      <c r="G977" s="41">
        <v>1.8924603026949618E-2</v>
      </c>
      <c r="H977" s="41">
        <v>2.4525738904465393E-2</v>
      </c>
      <c r="I977" s="40">
        <f t="shared" si="152"/>
        <v>204.80570646658089</v>
      </c>
      <c r="J977" s="40">
        <f t="shared" si="152"/>
        <v>0</v>
      </c>
      <c r="K977" s="36">
        <v>0.33972856895220716</v>
      </c>
      <c r="L977" s="42">
        <f t="shared" si="156"/>
        <v>19991.322604477216</v>
      </c>
      <c r="M977" s="42">
        <f t="shared" si="156"/>
        <v>0</v>
      </c>
      <c r="N977" s="42">
        <f t="shared" si="153"/>
        <v>6791.6234198809552</v>
      </c>
      <c r="O977" s="36">
        <v>6.2429820005313541</v>
      </c>
      <c r="P977" s="42">
        <f t="shared" si="154"/>
        <v>5084.3825901921746</v>
      </c>
      <c r="Q977" s="42"/>
      <c r="R977">
        <v>0.63698232978301339</v>
      </c>
      <c r="S977">
        <v>0.95699942014831996</v>
      </c>
    </row>
    <row r="978" spans="1:19" x14ac:dyDescent="0.25">
      <c r="A978" s="40">
        <f t="shared" si="155"/>
        <v>64.229676878151835</v>
      </c>
      <c r="B978" s="40">
        <f t="shared" si="155"/>
        <v>32.933286051621081</v>
      </c>
      <c r="C978" s="41">
        <f t="shared" si="150"/>
        <v>0.49289226185293716</v>
      </c>
      <c r="D978" s="41">
        <f t="shared" si="151"/>
        <v>0.98069361229543572</v>
      </c>
      <c r="E978" s="39">
        <f>IF(_xlfn.NORM.INV(R978,C978,'Regressão Grupo 2'!$B$7)&lt;=0,0,IF(_xlfn.NORM.INV(R978,C978,'Regressão Grupo 2'!$B$7)&gt;100%,100%,_xlfn.NORM.INV(R978,C978,'Regressão Grupo 2'!$B$7)))</f>
        <v>0.38941126672336357</v>
      </c>
      <c r="F978" s="39">
        <f>IF(_xlfn.NORM.INV(S978,D978,'Regressão Grupo 2'!$B$7)&lt;=0,0,IF(_xlfn.NORM.INV(S978,D978,'Regressão Grupo 2'!$B$7)&gt;100%,100%,_xlfn.NORM.INV(S978,D978,'Regressão Grupo 2'!$B$7)))</f>
        <v>1</v>
      </c>
      <c r="G978" s="41">
        <v>2.1777023357915808E-2</v>
      </c>
      <c r="H978" s="41">
        <v>7.7578402515848513E-3</v>
      </c>
      <c r="I978" s="40">
        <f t="shared" si="152"/>
        <v>169.53077881751963</v>
      </c>
      <c r="J978" s="40">
        <f t="shared" si="152"/>
        <v>0</v>
      </c>
      <c r="K978" s="36">
        <v>0.30538719079204346</v>
      </c>
      <c r="L978" s="42">
        <f t="shared" si="156"/>
        <v>19991.322604477216</v>
      </c>
      <c r="M978" s="42">
        <f t="shared" si="156"/>
        <v>0</v>
      </c>
      <c r="N978" s="42">
        <f t="shared" si="153"/>
        <v>6105.0938503987745</v>
      </c>
      <c r="O978" s="36">
        <v>3.47709755058961</v>
      </c>
      <c r="P978" s="42">
        <f t="shared" si="154"/>
        <v>4194.3382381759911</v>
      </c>
      <c r="Q978" s="42"/>
      <c r="R978">
        <v>0.22711874752037112</v>
      </c>
      <c r="S978">
        <v>0.71984008301034574</v>
      </c>
    </row>
    <row r="979" spans="1:19" x14ac:dyDescent="0.25">
      <c r="A979" s="40">
        <f t="shared" si="155"/>
        <v>64.229676878151835</v>
      </c>
      <c r="B979" s="40">
        <f t="shared" si="155"/>
        <v>32.933286051621081</v>
      </c>
      <c r="C979" s="41">
        <f t="shared" si="150"/>
        <v>0.49289226185293716</v>
      </c>
      <c r="D979" s="41">
        <f t="shared" si="151"/>
        <v>0.98069361229543572</v>
      </c>
      <c r="E979" s="39">
        <f>IF(_xlfn.NORM.INV(R979,C979,'Regressão Grupo 2'!$B$7)&lt;=0,0,IF(_xlfn.NORM.INV(R979,C979,'Regressão Grupo 2'!$B$7)&gt;100%,100%,_xlfn.NORM.INV(R979,C979,'Regressão Grupo 2'!$B$7)))</f>
        <v>0.63696867549265535</v>
      </c>
      <c r="F979" s="39">
        <f>IF(_xlfn.NORM.INV(S979,D979,'Regressão Grupo 2'!$B$7)&lt;=0,0,IF(_xlfn.NORM.INV(S979,D979,'Regressão Grupo 2'!$B$7)&gt;100%,100%,_xlfn.NORM.INV(S979,D979,'Regressão Grupo 2'!$B$7)))</f>
        <v>1</v>
      </c>
      <c r="G979" s="41">
        <v>2.2556313691303606E-2</v>
      </c>
      <c r="H979" s="41">
        <v>2.0527627221642412E-2</v>
      </c>
      <c r="I979" s="40">
        <f t="shared" si="152"/>
        <v>287.22863120476529</v>
      </c>
      <c r="J979" s="40">
        <f t="shared" si="152"/>
        <v>0</v>
      </c>
      <c r="K979" s="36">
        <v>0.26152869219460551</v>
      </c>
      <c r="L979" s="42">
        <f t="shared" si="156"/>
        <v>19991.322604477216</v>
      </c>
      <c r="M979" s="42">
        <f t="shared" si="156"/>
        <v>0</v>
      </c>
      <c r="N979" s="42">
        <f t="shared" si="153"/>
        <v>5228.3044559893815</v>
      </c>
      <c r="O979" s="36">
        <v>5.2086816464791283</v>
      </c>
      <c r="P979" s="42">
        <f t="shared" si="154"/>
        <v>11724.215216746947</v>
      </c>
      <c r="Q979" s="42"/>
      <c r="R979">
        <v>0.85128330332346569</v>
      </c>
      <c r="S979">
        <v>0.57109286782433544</v>
      </c>
    </row>
    <row r="980" spans="1:19" x14ac:dyDescent="0.25">
      <c r="A980" s="40">
        <f t="shared" si="155"/>
        <v>64.229676878151835</v>
      </c>
      <c r="B980" s="40">
        <f t="shared" si="155"/>
        <v>32.933286051621081</v>
      </c>
      <c r="C980" s="41">
        <f t="shared" si="150"/>
        <v>0.49289226185293716</v>
      </c>
      <c r="D980" s="41">
        <f t="shared" si="151"/>
        <v>0.98069361229543572</v>
      </c>
      <c r="E980" s="39">
        <f>IF(_xlfn.NORM.INV(R980,C980,'Regressão Grupo 2'!$B$7)&lt;=0,0,IF(_xlfn.NORM.INV(R980,C980,'Regressão Grupo 2'!$B$7)&gt;100%,100%,_xlfn.NORM.INV(R980,C980,'Regressão Grupo 2'!$B$7)))</f>
        <v>0.5820778095472614</v>
      </c>
      <c r="F980" s="39">
        <f>IF(_xlfn.NORM.INV(S980,D980,'Regressão Grupo 2'!$B$7)&lt;=0,0,IF(_xlfn.NORM.INV(S980,D980,'Regressão Grupo 2'!$B$7)&gt;100%,100%,_xlfn.NORM.INV(S980,D980,'Regressão Grupo 2'!$B$7)))</f>
        <v>1</v>
      </c>
      <c r="G980" s="41">
        <v>1.1755930094039605E-2</v>
      </c>
      <c r="H980" s="41">
        <v>2.5847058171507689E-2</v>
      </c>
      <c r="I980" s="40">
        <f t="shared" si="152"/>
        <v>136.79794251146208</v>
      </c>
      <c r="J980" s="40">
        <f t="shared" si="152"/>
        <v>0</v>
      </c>
      <c r="K980" s="36">
        <v>0.26154410104374359</v>
      </c>
      <c r="L980" s="42">
        <f t="shared" si="156"/>
        <v>19991.322604477216</v>
      </c>
      <c r="M980" s="42">
        <f t="shared" si="156"/>
        <v>0</v>
      </c>
      <c r="N980" s="42">
        <f t="shared" si="153"/>
        <v>5228.6124992634641</v>
      </c>
      <c r="O980" s="36">
        <v>8.2368856931840249</v>
      </c>
      <c r="P980" s="42">
        <f t="shared" si="154"/>
        <v>2431.0861303140628</v>
      </c>
      <c r="Q980" s="42"/>
      <c r="R980">
        <v>0.74053163243507192</v>
      </c>
      <c r="S980">
        <v>0.73134556108279669</v>
      </c>
    </row>
    <row r="981" spans="1:19" x14ac:dyDescent="0.25">
      <c r="A981" s="40">
        <f t="shared" si="155"/>
        <v>64.229676878151835</v>
      </c>
      <c r="B981" s="40">
        <f t="shared" si="155"/>
        <v>32.933286051621081</v>
      </c>
      <c r="C981" s="41">
        <f t="shared" si="150"/>
        <v>0.49289226185293716</v>
      </c>
      <c r="D981" s="41">
        <f t="shared" si="151"/>
        <v>0.98069361229543572</v>
      </c>
      <c r="E981" s="39">
        <f>IF(_xlfn.NORM.INV(R981,C981,'Regressão Grupo 2'!$B$7)&lt;=0,0,IF(_xlfn.NORM.INV(R981,C981,'Regressão Grupo 2'!$B$7)&gt;100%,100%,_xlfn.NORM.INV(R981,C981,'Regressão Grupo 2'!$B$7)))</f>
        <v>0.42200080812917529</v>
      </c>
      <c r="F981" s="39">
        <f>IF(_xlfn.NORM.INV(S981,D981,'Regressão Grupo 2'!$B$7)&lt;=0,0,IF(_xlfn.NORM.INV(S981,D981,'Regressão Grupo 2'!$B$7)&gt;100%,100%,_xlfn.NORM.INV(S981,D981,'Regressão Grupo 2'!$B$7)))</f>
        <v>0.91712441034248771</v>
      </c>
      <c r="G981" s="41">
        <v>2.5240722881679944E-2</v>
      </c>
      <c r="H981" s="41">
        <v>1.6506360475343065E-2</v>
      </c>
      <c r="I981" s="40">
        <f t="shared" si="152"/>
        <v>212.93968088319448</v>
      </c>
      <c r="J981" s="40">
        <f t="shared" si="152"/>
        <v>0</v>
      </c>
      <c r="K981" s="36">
        <v>0.17883385084545556</v>
      </c>
      <c r="L981" s="42">
        <f t="shared" si="156"/>
        <v>19991.322604477216</v>
      </c>
      <c r="M981" s="42">
        <f t="shared" si="156"/>
        <v>0</v>
      </c>
      <c r="N981" s="42">
        <f t="shared" si="153"/>
        <v>3575.1252048524625</v>
      </c>
      <c r="O981" s="36">
        <v>2.2991107277563843</v>
      </c>
      <c r="P981" s="42">
        <f t="shared" si="154"/>
        <v>9612.3497881283129</v>
      </c>
      <c r="Q981" s="42"/>
      <c r="R981">
        <v>0.30408642841883604</v>
      </c>
      <c r="S981">
        <v>0.32285531174657428</v>
      </c>
    </row>
    <row r="982" spans="1:19" x14ac:dyDescent="0.25">
      <c r="A982" s="40">
        <f t="shared" si="155"/>
        <v>64.229676878151835</v>
      </c>
      <c r="B982" s="40">
        <f t="shared" si="155"/>
        <v>32.933286051621081</v>
      </c>
      <c r="C982" s="41">
        <f t="shared" si="150"/>
        <v>0.49289226185293716</v>
      </c>
      <c r="D982" s="41">
        <f t="shared" si="151"/>
        <v>0.98069361229543572</v>
      </c>
      <c r="E982" s="39">
        <f>IF(_xlfn.NORM.INV(R982,C982,'Regressão Grupo 2'!$B$7)&lt;=0,0,IF(_xlfn.NORM.INV(R982,C982,'Regressão Grupo 2'!$B$7)&gt;100%,100%,_xlfn.NORM.INV(R982,C982,'Regressão Grupo 2'!$B$7)))</f>
        <v>0.47124114131714251</v>
      </c>
      <c r="F982" s="39">
        <f>IF(_xlfn.NORM.INV(S982,D982,'Regressão Grupo 2'!$B$7)&lt;=0,0,IF(_xlfn.NORM.INV(S982,D982,'Regressão Grupo 2'!$B$7)&gt;100%,100%,_xlfn.NORM.INV(S982,D982,'Regressão Grupo 2'!$B$7)))</f>
        <v>1</v>
      </c>
      <c r="G982" s="41">
        <v>2.0709974103087024E-2</v>
      </c>
      <c r="H982" s="41">
        <v>2.5434265473287199E-2</v>
      </c>
      <c r="I982" s="40">
        <f t="shared" si="152"/>
        <v>195.10315055674724</v>
      </c>
      <c r="J982" s="40">
        <f t="shared" si="152"/>
        <v>0</v>
      </c>
      <c r="K982" s="36">
        <v>0.22391044696179566</v>
      </c>
      <c r="L982" s="42">
        <f t="shared" si="156"/>
        <v>19991.322604477216</v>
      </c>
      <c r="M982" s="42">
        <f t="shared" si="156"/>
        <v>0</v>
      </c>
      <c r="N982" s="42">
        <f t="shared" si="153"/>
        <v>4476.2659797259421</v>
      </c>
      <c r="O982" s="36">
        <v>6.6695530781340304</v>
      </c>
      <c r="P982" s="42">
        <f t="shared" si="154"/>
        <v>6753.8955200939417</v>
      </c>
      <c r="Q982" s="42"/>
      <c r="R982">
        <v>0.43778801843317972</v>
      </c>
      <c r="S982">
        <v>0.93246253852961825</v>
      </c>
    </row>
    <row r="983" spans="1:19" x14ac:dyDescent="0.25">
      <c r="A983" s="40">
        <f t="shared" si="155"/>
        <v>64.229676878151835</v>
      </c>
      <c r="B983" s="40">
        <f t="shared" si="155"/>
        <v>32.933286051621081</v>
      </c>
      <c r="C983" s="41">
        <f t="shared" si="150"/>
        <v>0.49289226185293716</v>
      </c>
      <c r="D983" s="41">
        <f t="shared" si="151"/>
        <v>0.98069361229543572</v>
      </c>
      <c r="E983" s="39">
        <f>IF(_xlfn.NORM.INV(R983,C983,'Regressão Grupo 2'!$B$7)&lt;=0,0,IF(_xlfn.NORM.INV(R983,C983,'Regressão Grupo 2'!$B$7)&gt;100%,100%,_xlfn.NORM.INV(R983,C983,'Regressão Grupo 2'!$B$7)))</f>
        <v>0.44737614393763692</v>
      </c>
      <c r="F983" s="39">
        <f>IF(_xlfn.NORM.INV(S983,D983,'Regressão Grupo 2'!$B$7)&lt;=0,0,IF(_xlfn.NORM.INV(S983,D983,'Regressão Grupo 2'!$B$7)&gt;100%,100%,_xlfn.NORM.INV(S983,D983,'Regressão Grupo 2'!$B$7)))</f>
        <v>0.96850802666594205</v>
      </c>
      <c r="G983" s="41">
        <v>2.7517756098562357E-2</v>
      </c>
      <c r="H983" s="41">
        <v>1.9713746695080109E-2</v>
      </c>
      <c r="I983" s="40">
        <f t="shared" si="152"/>
        <v>246.10892669050773</v>
      </c>
      <c r="J983" s="40">
        <f t="shared" si="152"/>
        <v>0</v>
      </c>
      <c r="K983" s="36">
        <v>0.34840328956589817</v>
      </c>
      <c r="L983" s="42">
        <f t="shared" ref="L983:M998" si="157">L982</f>
        <v>19991.322604477216</v>
      </c>
      <c r="M983" s="42">
        <f t="shared" si="157"/>
        <v>0</v>
      </c>
      <c r="N983" s="42">
        <f t="shared" si="153"/>
        <v>6965.0425581729614</v>
      </c>
      <c r="O983" s="36">
        <v>5.8306223395917929</v>
      </c>
      <c r="P983" s="42">
        <f t="shared" si="154"/>
        <v>7407.4860740524746</v>
      </c>
      <c r="Q983" s="42"/>
      <c r="R983">
        <v>0.37101351969969787</v>
      </c>
      <c r="S983">
        <v>0.46488845484786523</v>
      </c>
    </row>
    <row r="984" spans="1:19" x14ac:dyDescent="0.25">
      <c r="A984" s="40">
        <f t="shared" si="155"/>
        <v>64.229676878151835</v>
      </c>
      <c r="B984" s="40">
        <f t="shared" si="155"/>
        <v>32.933286051621081</v>
      </c>
      <c r="C984" s="41">
        <f t="shared" si="150"/>
        <v>0.49289226185293716</v>
      </c>
      <c r="D984" s="41">
        <f t="shared" si="151"/>
        <v>0.98069361229543572</v>
      </c>
      <c r="E984" s="39">
        <f>IF(_xlfn.NORM.INV(R984,C984,'Regressão Grupo 2'!$B$7)&lt;=0,0,IF(_xlfn.NORM.INV(R984,C984,'Regressão Grupo 2'!$B$7)&gt;100%,100%,_xlfn.NORM.INV(R984,C984,'Regressão Grupo 2'!$B$7)))</f>
        <v>0.68974892392308429</v>
      </c>
      <c r="F984" s="39">
        <f>IF(_xlfn.NORM.INV(S984,D984,'Regressão Grupo 2'!$B$7)&lt;=0,0,IF(_xlfn.NORM.INV(S984,D984,'Regressão Grupo 2'!$B$7)&gt;100%,100%,_xlfn.NORM.INV(S984,D984,'Regressão Grupo 2'!$B$7)))</f>
        <v>1</v>
      </c>
      <c r="G984" s="41">
        <v>2.6467982046535842E-2</v>
      </c>
      <c r="H984" s="41">
        <v>1.7159834357042401E-2</v>
      </c>
      <c r="I984" s="40">
        <f t="shared" si="152"/>
        <v>364.96682589295909</v>
      </c>
      <c r="J984" s="40">
        <f t="shared" si="152"/>
        <v>0</v>
      </c>
      <c r="K984" s="36">
        <v>0.46220267860578429</v>
      </c>
      <c r="L984" s="42">
        <f t="shared" si="157"/>
        <v>19991.322604477216</v>
      </c>
      <c r="M984" s="42">
        <f t="shared" si="157"/>
        <v>0</v>
      </c>
      <c r="N984" s="42">
        <f t="shared" si="153"/>
        <v>9240.0428566617338</v>
      </c>
      <c r="O984" s="36">
        <v>4.0802377558960909</v>
      </c>
      <c r="P984" s="42">
        <f t="shared" si="154"/>
        <v>12712.507019029719</v>
      </c>
      <c r="Q984" s="42"/>
      <c r="R984">
        <v>0.92272713400677508</v>
      </c>
      <c r="S984">
        <v>0.92623676259651477</v>
      </c>
    </row>
    <row r="985" spans="1:19" x14ac:dyDescent="0.25">
      <c r="A985" s="40">
        <f t="shared" si="155"/>
        <v>64.229676878151835</v>
      </c>
      <c r="B985" s="40">
        <f t="shared" si="155"/>
        <v>32.933286051621081</v>
      </c>
      <c r="C985" s="41">
        <f t="shared" si="150"/>
        <v>0.49289226185293716</v>
      </c>
      <c r="D985" s="41">
        <f t="shared" si="151"/>
        <v>0.98069361229543572</v>
      </c>
      <c r="E985" s="39">
        <f>IF(_xlfn.NORM.INV(R985,C985,'Regressão Grupo 2'!$B$7)&lt;=0,0,IF(_xlfn.NORM.INV(R985,C985,'Regressão Grupo 2'!$B$7)&gt;100%,100%,_xlfn.NORM.INV(R985,C985,'Regressão Grupo 2'!$B$7)))</f>
        <v>0.49259079251426147</v>
      </c>
      <c r="F985" s="39">
        <f>IF(_xlfn.NORM.INV(S985,D985,'Regressão Grupo 2'!$B$7)&lt;=0,0,IF(_xlfn.NORM.INV(S985,D985,'Regressão Grupo 2'!$B$7)&gt;100%,100%,_xlfn.NORM.INV(S985,D985,'Regressão Grupo 2'!$B$7)))</f>
        <v>0.94095712425418065</v>
      </c>
      <c r="G985" s="41">
        <v>1.1275719806168332E-2</v>
      </c>
      <c r="H985" s="41">
        <v>1.678704333333977E-2</v>
      </c>
      <c r="I985" s="40">
        <f t="shared" si="152"/>
        <v>111.03811811511547</v>
      </c>
      <c r="J985" s="40">
        <f t="shared" si="152"/>
        <v>0</v>
      </c>
      <c r="K985" s="36">
        <v>0.18094124450269783</v>
      </c>
      <c r="L985" s="42">
        <f t="shared" si="157"/>
        <v>19991.322604477216</v>
      </c>
      <c r="M985" s="42">
        <f t="shared" si="157"/>
        <v>0</v>
      </c>
      <c r="N985" s="42">
        <f t="shared" si="153"/>
        <v>3617.254791309022</v>
      </c>
      <c r="O985" s="36">
        <v>7.0060991503768921</v>
      </c>
      <c r="P985" s="42">
        <f t="shared" si="154"/>
        <v>2736.7435913971422</v>
      </c>
      <c r="Q985" s="42"/>
      <c r="R985">
        <v>0.4991302224799341</v>
      </c>
      <c r="S985">
        <v>0.3869136631366924</v>
      </c>
    </row>
    <row r="986" spans="1:19" x14ac:dyDescent="0.25">
      <c r="A986" s="40">
        <f t="shared" si="155"/>
        <v>64.229676878151835</v>
      </c>
      <c r="B986" s="40">
        <f t="shared" si="155"/>
        <v>32.933286051621081</v>
      </c>
      <c r="C986" s="41">
        <f t="shared" si="150"/>
        <v>0.49289226185293716</v>
      </c>
      <c r="D986" s="41">
        <f t="shared" si="151"/>
        <v>0.98069361229543572</v>
      </c>
      <c r="E986" s="39">
        <f>IF(_xlfn.NORM.INV(R986,C986,'Regressão Grupo 2'!$B$7)&lt;=0,0,IF(_xlfn.NORM.INV(R986,C986,'Regressão Grupo 2'!$B$7)&gt;100%,100%,_xlfn.NORM.INV(R986,C986,'Regressão Grupo 2'!$B$7)))</f>
        <v>0.43332943540528168</v>
      </c>
      <c r="F986" s="39">
        <f>IF(_xlfn.NORM.INV(S986,D986,'Regressão Grupo 2'!$B$7)&lt;=0,0,IF(_xlfn.NORM.INV(S986,D986,'Regressão Grupo 2'!$B$7)&gt;100%,100%,_xlfn.NORM.INV(S986,D986,'Regressão Grupo 2'!$B$7)))</f>
        <v>1</v>
      </c>
      <c r="G986" s="41">
        <v>1.7281348892122107E-2</v>
      </c>
      <c r="H986" s="41">
        <v>1.8493021434937567E-2</v>
      </c>
      <c r="I986" s="40">
        <f t="shared" si="152"/>
        <v>149.7053623440361</v>
      </c>
      <c r="J986" s="40">
        <f t="shared" si="152"/>
        <v>0</v>
      </c>
      <c r="K986" s="36">
        <v>0.22178752400811966</v>
      </c>
      <c r="L986" s="42">
        <f t="shared" si="157"/>
        <v>19991.322604477216</v>
      </c>
      <c r="M986" s="42">
        <f t="shared" si="157"/>
        <v>0</v>
      </c>
      <c r="N986" s="42">
        <f t="shared" si="153"/>
        <v>4433.825942094556</v>
      </c>
      <c r="O986" s="36">
        <v>5.6499747931994007</v>
      </c>
      <c r="P986" s="42">
        <f t="shared" si="154"/>
        <v>4335.8695845389357</v>
      </c>
      <c r="Q986" s="42"/>
      <c r="R986">
        <v>0.33332316049684135</v>
      </c>
      <c r="S986">
        <v>0.87722403637806334</v>
      </c>
    </row>
    <row r="987" spans="1:19" x14ac:dyDescent="0.25">
      <c r="A987" s="40">
        <f t="shared" si="155"/>
        <v>64.229676878151835</v>
      </c>
      <c r="B987" s="40">
        <f t="shared" si="155"/>
        <v>32.933286051621081</v>
      </c>
      <c r="C987" s="41">
        <f t="shared" si="150"/>
        <v>0.49289226185293716</v>
      </c>
      <c r="D987" s="41">
        <f t="shared" si="151"/>
        <v>0.98069361229543572</v>
      </c>
      <c r="E987" s="39">
        <f>IF(_xlfn.NORM.INV(R987,C987,'Regressão Grupo 2'!$B$7)&lt;=0,0,IF(_xlfn.NORM.INV(R987,C987,'Regressão Grupo 2'!$B$7)&gt;100%,100%,_xlfn.NORM.INV(R987,C987,'Regressão Grupo 2'!$B$7)))</f>
        <v>0.73354600897364808</v>
      </c>
      <c r="F987" s="39">
        <f>IF(_xlfn.NORM.INV(S987,D987,'Regressão Grupo 2'!$B$7)&lt;=0,0,IF(_xlfn.NORM.INV(S987,D987,'Regressão Grupo 2'!$B$7)&gt;100%,100%,_xlfn.NORM.INV(S987,D987,'Regressão Grupo 2'!$B$7)))</f>
        <v>0.97529223983417723</v>
      </c>
      <c r="G987" s="41">
        <v>7.4008926136775567E-3</v>
      </c>
      <c r="H987" s="41">
        <v>2.117621097876491E-2</v>
      </c>
      <c r="I987" s="40">
        <f t="shared" si="152"/>
        <v>108.53079612086864</v>
      </c>
      <c r="J987" s="40">
        <f t="shared" si="152"/>
        <v>0</v>
      </c>
      <c r="K987" s="36">
        <v>0.39589793364627091</v>
      </c>
      <c r="L987" s="42">
        <f t="shared" si="157"/>
        <v>19991.322604477216</v>
      </c>
      <c r="M987" s="42">
        <f t="shared" si="157"/>
        <v>0</v>
      </c>
      <c r="N987" s="42">
        <f t="shared" si="153"/>
        <v>7914.5233099685165</v>
      </c>
      <c r="O987" s="36">
        <v>7.658647897912461</v>
      </c>
      <c r="P987" s="42">
        <f t="shared" si="154"/>
        <v>-1774.824497366405</v>
      </c>
      <c r="Q987" s="42"/>
      <c r="R987">
        <v>0.95910519730216381</v>
      </c>
      <c r="S987">
        <v>0.48442030091250343</v>
      </c>
    </row>
    <row r="988" spans="1:19" x14ac:dyDescent="0.25">
      <c r="A988" s="40">
        <f t="shared" si="155"/>
        <v>64.229676878151835</v>
      </c>
      <c r="B988" s="40">
        <f t="shared" si="155"/>
        <v>32.933286051621081</v>
      </c>
      <c r="C988" s="41">
        <f t="shared" si="150"/>
        <v>0.49289226185293716</v>
      </c>
      <c r="D988" s="41">
        <f t="shared" si="151"/>
        <v>0.98069361229543572</v>
      </c>
      <c r="E988" s="39">
        <f>IF(_xlfn.NORM.INV(R988,C988,'Regressão Grupo 2'!$B$7)&lt;=0,0,IF(_xlfn.NORM.INV(R988,C988,'Regressão Grupo 2'!$B$7)&gt;100%,100%,_xlfn.NORM.INV(R988,C988,'Regressão Grupo 2'!$B$7)))</f>
        <v>0.44352788478614635</v>
      </c>
      <c r="F988" s="39">
        <f>IF(_xlfn.NORM.INV(S988,D988,'Regressão Grupo 2'!$B$7)&lt;=0,0,IF(_xlfn.NORM.INV(S988,D988,'Regressão Grupo 2'!$B$7)&gt;100%,100%,_xlfn.NORM.INV(S988,D988,'Regressão Grupo 2'!$B$7)))</f>
        <v>1</v>
      </c>
      <c r="G988" s="41">
        <v>2.1958698239806604E-2</v>
      </c>
      <c r="H988" s="41">
        <v>2.2712580237331408E-2</v>
      </c>
      <c r="I988" s="40">
        <f t="shared" si="152"/>
        <v>194.70138794449377</v>
      </c>
      <c r="J988" s="40">
        <f t="shared" si="152"/>
        <v>0</v>
      </c>
      <c r="K988" s="36">
        <v>0.28171776230888879</v>
      </c>
      <c r="L988" s="42">
        <f t="shared" si="157"/>
        <v>19991.322604477216</v>
      </c>
      <c r="M988" s="42">
        <f t="shared" si="157"/>
        <v>0</v>
      </c>
      <c r="N988" s="42">
        <f t="shared" si="153"/>
        <v>5631.9106697284278</v>
      </c>
      <c r="O988" s="36">
        <v>10.428223802940678</v>
      </c>
      <c r="P988" s="42">
        <f t="shared" si="154"/>
        <v>4843.306917445736</v>
      </c>
      <c r="Q988" s="42"/>
      <c r="R988">
        <v>0.36054567094943085</v>
      </c>
      <c r="S988">
        <v>0.58024842066713467</v>
      </c>
    </row>
    <row r="989" spans="1:19" x14ac:dyDescent="0.25">
      <c r="A989" s="40">
        <f t="shared" si="155"/>
        <v>64.229676878151835</v>
      </c>
      <c r="B989" s="40">
        <f t="shared" si="155"/>
        <v>32.933286051621081</v>
      </c>
      <c r="C989" s="41">
        <f t="shared" si="150"/>
        <v>0.49289226185293716</v>
      </c>
      <c r="D989" s="41">
        <f t="shared" si="151"/>
        <v>0.98069361229543572</v>
      </c>
      <c r="E989" s="39">
        <f>IF(_xlfn.NORM.INV(R989,C989,'Regressão Grupo 2'!$B$7)&lt;=0,0,IF(_xlfn.NORM.INV(R989,C989,'Regressão Grupo 2'!$B$7)&gt;100%,100%,_xlfn.NORM.INV(R989,C989,'Regressão Grupo 2'!$B$7)))</f>
        <v>0.40531563003510007</v>
      </c>
      <c r="F989" s="39">
        <f>IF(_xlfn.NORM.INV(S989,D989,'Regressão Grupo 2'!$B$7)&lt;=0,0,IF(_xlfn.NORM.INV(S989,D989,'Regressão Grupo 2'!$B$7)&gt;100%,100%,_xlfn.NORM.INV(S989,D989,'Regressão Grupo 2'!$B$7)))</f>
        <v>0.71950069954620788</v>
      </c>
      <c r="G989" s="41">
        <v>2.2582880439370318E-2</v>
      </c>
      <c r="H989" s="41">
        <v>2.005012677910837E-2</v>
      </c>
      <c r="I989" s="40">
        <f t="shared" si="152"/>
        <v>182.9844623775933</v>
      </c>
      <c r="J989" s="40">
        <f t="shared" si="152"/>
        <v>0</v>
      </c>
      <c r="K989" s="36">
        <v>0.27826801381302346</v>
      </c>
      <c r="L989" s="42">
        <f t="shared" si="157"/>
        <v>19991.322604477216</v>
      </c>
      <c r="M989" s="42">
        <f t="shared" si="157"/>
        <v>0</v>
      </c>
      <c r="N989" s="42">
        <f t="shared" si="153"/>
        <v>5562.9456346432744</v>
      </c>
      <c r="O989" s="36">
        <v>5.1958505872191925</v>
      </c>
      <c r="P989" s="42">
        <f t="shared" si="154"/>
        <v>5239.3273312952679</v>
      </c>
      <c r="Q989" s="42"/>
      <c r="R989">
        <v>0.26325266273995179</v>
      </c>
      <c r="S989">
        <v>2.945036164433729E-2</v>
      </c>
    </row>
    <row r="990" spans="1:19" x14ac:dyDescent="0.25">
      <c r="A990" s="40">
        <f t="shared" si="155"/>
        <v>64.229676878151835</v>
      </c>
      <c r="B990" s="40">
        <f t="shared" si="155"/>
        <v>32.933286051621081</v>
      </c>
      <c r="C990" s="41">
        <f t="shared" si="150"/>
        <v>0.49289226185293716</v>
      </c>
      <c r="D990" s="41">
        <f t="shared" si="151"/>
        <v>0.98069361229543572</v>
      </c>
      <c r="E990" s="39">
        <f>IF(_xlfn.NORM.INV(R990,C990,'Regressão Grupo 2'!$B$7)&lt;=0,0,IF(_xlfn.NORM.INV(R990,C990,'Regressão Grupo 2'!$B$7)&gt;100%,100%,_xlfn.NORM.INV(R990,C990,'Regressão Grupo 2'!$B$7)))</f>
        <v>0.4043958612915432</v>
      </c>
      <c r="F990" s="39">
        <f>IF(_xlfn.NORM.INV(S990,D990,'Regressão Grupo 2'!$B$7)&lt;=0,0,IF(_xlfn.NORM.INV(S990,D990,'Regressão Grupo 2'!$B$7)&gt;100%,100%,_xlfn.NORM.INV(S990,D990,'Regressão Grupo 2'!$B$7)))</f>
        <v>0.99705866820065669</v>
      </c>
      <c r="G990" s="41">
        <v>2.744683588688168E-3</v>
      </c>
      <c r="H990" s="41">
        <v>1.892464649117194E-2</v>
      </c>
      <c r="I990" s="40">
        <f t="shared" si="152"/>
        <v>22.189142299440764</v>
      </c>
      <c r="J990" s="40">
        <f t="shared" si="152"/>
        <v>0</v>
      </c>
      <c r="K990" s="36">
        <v>0.38249658062005598</v>
      </c>
      <c r="L990" s="42">
        <f t="shared" si="157"/>
        <v>19991.322604477216</v>
      </c>
      <c r="M990" s="42">
        <f t="shared" si="157"/>
        <v>0</v>
      </c>
      <c r="N990" s="42">
        <f t="shared" si="153"/>
        <v>7646.6125382849668</v>
      </c>
      <c r="O990" s="36">
        <v>6.3406969901106596</v>
      </c>
      <c r="P990" s="42">
        <f t="shared" si="154"/>
        <v>-6362.1057259797562</v>
      </c>
      <c r="Q990" s="42"/>
      <c r="R990">
        <v>0.261085848567156</v>
      </c>
      <c r="S990">
        <v>0.54710531937620166</v>
      </c>
    </row>
    <row r="991" spans="1:19" x14ac:dyDescent="0.25">
      <c r="A991" s="40">
        <f t="shared" si="155"/>
        <v>64.229676878151835</v>
      </c>
      <c r="B991" s="40">
        <f t="shared" si="155"/>
        <v>32.933286051621081</v>
      </c>
      <c r="C991" s="41">
        <f t="shared" si="150"/>
        <v>0.49289226185293716</v>
      </c>
      <c r="D991" s="41">
        <f t="shared" si="151"/>
        <v>0.98069361229543572</v>
      </c>
      <c r="E991" s="39">
        <f>IF(_xlfn.NORM.INV(R991,C991,'Regressão Grupo 2'!$B$7)&lt;=0,0,IF(_xlfn.NORM.INV(R991,C991,'Regressão Grupo 2'!$B$7)&gt;100%,100%,_xlfn.NORM.INV(R991,C991,'Regressão Grupo 2'!$B$7)))</f>
        <v>0.50364490897372849</v>
      </c>
      <c r="F991" s="39">
        <f>IF(_xlfn.NORM.INV(S991,D991,'Regressão Grupo 2'!$B$7)&lt;=0,0,IF(_xlfn.NORM.INV(S991,D991,'Regressão Grupo 2'!$B$7)&gt;100%,100%,_xlfn.NORM.INV(S991,D991,'Regressão Grupo 2'!$B$7)))</f>
        <v>0.86408586838321688</v>
      </c>
      <c r="G991" s="41">
        <v>1.4717449738235404E-2</v>
      </c>
      <c r="H991" s="41">
        <v>1.4707188092493486E-2</v>
      </c>
      <c r="I991" s="40">
        <f t="shared" si="152"/>
        <v>148.18305262038425</v>
      </c>
      <c r="J991" s="40">
        <f t="shared" si="152"/>
        <v>0</v>
      </c>
      <c r="K991" s="36">
        <v>0.28112387379466636</v>
      </c>
      <c r="L991" s="42">
        <f t="shared" si="157"/>
        <v>19991.322604477216</v>
      </c>
      <c r="M991" s="42">
        <f t="shared" si="157"/>
        <v>0</v>
      </c>
      <c r="N991" s="42">
        <f t="shared" si="153"/>
        <v>5620.0380528495134</v>
      </c>
      <c r="O991" s="36">
        <v>3.4300440984542093</v>
      </c>
      <c r="P991" s="42">
        <f t="shared" si="154"/>
        <v>3389.4371306444591</v>
      </c>
      <c r="Q991" s="42"/>
      <c r="R991">
        <v>0.53099154637287516</v>
      </c>
      <c r="S991">
        <v>0.19953001495406963</v>
      </c>
    </row>
    <row r="992" spans="1:19" x14ac:dyDescent="0.25">
      <c r="A992" s="40">
        <f t="shared" si="155"/>
        <v>64.229676878151835</v>
      </c>
      <c r="B992" s="40">
        <f t="shared" si="155"/>
        <v>32.933286051621081</v>
      </c>
      <c r="C992" s="41">
        <f t="shared" si="150"/>
        <v>0.49289226185293716</v>
      </c>
      <c r="D992" s="41">
        <f t="shared" si="151"/>
        <v>0.98069361229543572</v>
      </c>
      <c r="E992" s="39">
        <f>IF(_xlfn.NORM.INV(R992,C992,'Regressão Grupo 2'!$B$7)&lt;=0,0,IF(_xlfn.NORM.INV(R992,C992,'Regressão Grupo 2'!$B$7)&gt;100%,100%,_xlfn.NORM.INV(R992,C992,'Regressão Grupo 2'!$B$7)))</f>
        <v>0.45623282784128727</v>
      </c>
      <c r="F992" s="39">
        <f>IF(_xlfn.NORM.INV(S992,D992,'Regressão Grupo 2'!$B$7)&lt;=0,0,IF(_xlfn.NORM.INV(S992,D992,'Regressão Grupo 2'!$B$7)&gt;100%,100%,_xlfn.NORM.INV(S992,D992,'Regressão Grupo 2'!$B$7)))</f>
        <v>0.98657138489660046</v>
      </c>
      <c r="G992" s="41">
        <v>2.4285104956501817E-2</v>
      </c>
      <c r="H992" s="41">
        <v>1.2350680180402175E-2</v>
      </c>
      <c r="I992" s="40">
        <f t="shared" si="152"/>
        <v>221.4970995641695</v>
      </c>
      <c r="J992" s="40">
        <f t="shared" si="152"/>
        <v>0</v>
      </c>
      <c r="K992" s="36">
        <v>0.22837981030627405</v>
      </c>
      <c r="L992" s="42">
        <f t="shared" si="157"/>
        <v>19991.322604477216</v>
      </c>
      <c r="M992" s="42">
        <f t="shared" si="157"/>
        <v>0</v>
      </c>
      <c r="N992" s="42">
        <f t="shared" si="153"/>
        <v>4565.6144641820356</v>
      </c>
      <c r="O992" s="36">
        <v>5.4910576213984079</v>
      </c>
      <c r="P992" s="42">
        <f t="shared" si="154"/>
        <v>8444.8193335929227</v>
      </c>
      <c r="Q992" s="42"/>
      <c r="R992">
        <v>0.39545884578997159</v>
      </c>
      <c r="S992">
        <v>0.5169530320139164</v>
      </c>
    </row>
    <row r="993" spans="1:19" x14ac:dyDescent="0.25">
      <c r="A993" s="40">
        <f t="shared" si="155"/>
        <v>64.229676878151835</v>
      </c>
      <c r="B993" s="40">
        <f t="shared" si="155"/>
        <v>32.933286051621081</v>
      </c>
      <c r="C993" s="41">
        <f t="shared" si="150"/>
        <v>0.49289226185293716</v>
      </c>
      <c r="D993" s="41">
        <f t="shared" si="151"/>
        <v>0.98069361229543572</v>
      </c>
      <c r="E993" s="39">
        <f>IF(_xlfn.NORM.INV(R993,C993,'Regressão Grupo 2'!$B$7)&lt;=0,0,IF(_xlfn.NORM.INV(R993,C993,'Regressão Grupo 2'!$B$7)&gt;100%,100%,_xlfn.NORM.INV(R993,C993,'Regressão Grupo 2'!$B$7)))</f>
        <v>0.52172891483517281</v>
      </c>
      <c r="F993" s="39">
        <f>IF(_xlfn.NORM.INV(S993,D993,'Regressão Grupo 2'!$B$7)&lt;=0,0,IF(_xlfn.NORM.INV(S993,D993,'Regressão Grupo 2'!$B$7)&gt;100%,100%,_xlfn.NORM.INV(S993,D993,'Regressão Grupo 2'!$B$7)))</f>
        <v>1</v>
      </c>
      <c r="G993" s="41">
        <v>1.9011864245618078E-2</v>
      </c>
      <c r="H993" s="41">
        <v>1.7290607174812973E-2</v>
      </c>
      <c r="I993" s="40">
        <f t="shared" si="152"/>
        <v>198.29471460997055</v>
      </c>
      <c r="J993" s="40">
        <f t="shared" si="152"/>
        <v>0</v>
      </c>
      <c r="K993" s="36">
        <v>0.3090055450125907</v>
      </c>
      <c r="L993" s="42">
        <f t="shared" si="157"/>
        <v>19991.322604477216</v>
      </c>
      <c r="M993" s="42">
        <f t="shared" si="157"/>
        <v>0</v>
      </c>
      <c r="N993" s="42">
        <f t="shared" si="153"/>
        <v>6177.4295369190068</v>
      </c>
      <c r="O993" s="36">
        <v>3.5335523657090206</v>
      </c>
      <c r="P993" s="42">
        <f t="shared" si="154"/>
        <v>5858.2911512070796</v>
      </c>
      <c r="Q993" s="42"/>
      <c r="R993">
        <v>0.58259834589678638</v>
      </c>
      <c r="S993">
        <v>0.92098757896664329</v>
      </c>
    </row>
    <row r="994" spans="1:19" x14ac:dyDescent="0.25">
      <c r="A994" s="40">
        <f t="shared" si="155"/>
        <v>64.229676878151835</v>
      </c>
      <c r="B994" s="40">
        <f t="shared" si="155"/>
        <v>32.933286051621081</v>
      </c>
      <c r="C994" s="41">
        <f t="shared" si="150"/>
        <v>0.49289226185293716</v>
      </c>
      <c r="D994" s="41">
        <f t="shared" si="151"/>
        <v>0.98069361229543572</v>
      </c>
      <c r="E994" s="39">
        <f>IF(_xlfn.NORM.INV(R994,C994,'Regressão Grupo 2'!$B$7)&lt;=0,0,IF(_xlfn.NORM.INV(R994,C994,'Regressão Grupo 2'!$B$7)&gt;100%,100%,_xlfn.NORM.INV(R994,C994,'Regressão Grupo 2'!$B$7)))</f>
        <v>0.42938183857523105</v>
      </c>
      <c r="F994" s="39">
        <f>IF(_xlfn.NORM.INV(S994,D994,'Regressão Grupo 2'!$B$7)&lt;=0,0,IF(_xlfn.NORM.INV(S994,D994,'Regressão Grupo 2'!$B$7)&gt;100%,100%,_xlfn.NORM.INV(S994,D994,'Regressão Grupo 2'!$B$7)))</f>
        <v>0.90684225458025458</v>
      </c>
      <c r="G994" s="41">
        <v>2.0571559631342023E-2</v>
      </c>
      <c r="H994" s="41">
        <v>2.1116857892115114E-2</v>
      </c>
      <c r="I994" s="40">
        <f t="shared" si="152"/>
        <v>176.58443403324017</v>
      </c>
      <c r="J994" s="40">
        <f t="shared" si="152"/>
        <v>0</v>
      </c>
      <c r="K994" s="36">
        <v>0.3716796317601434</v>
      </c>
      <c r="L994" s="42">
        <f t="shared" si="157"/>
        <v>19991.322604477216</v>
      </c>
      <c r="M994" s="42">
        <f t="shared" si="157"/>
        <v>0</v>
      </c>
      <c r="N994" s="42">
        <f t="shared" si="153"/>
        <v>7430.3674240303226</v>
      </c>
      <c r="O994" s="36">
        <v>7.2619153495992901</v>
      </c>
      <c r="P994" s="42">
        <f t="shared" si="154"/>
        <v>2629.2525036297229</v>
      </c>
      <c r="Q994" s="42"/>
      <c r="R994">
        <v>0.32300790429395426</v>
      </c>
      <c r="S994">
        <v>0.29663991210669272</v>
      </c>
    </row>
    <row r="995" spans="1:19" x14ac:dyDescent="0.25">
      <c r="A995" s="40">
        <f t="shared" si="155"/>
        <v>64.229676878151835</v>
      </c>
      <c r="B995" s="40">
        <f t="shared" si="155"/>
        <v>32.933286051621081</v>
      </c>
      <c r="C995" s="41">
        <f t="shared" si="150"/>
        <v>0.49289226185293716</v>
      </c>
      <c r="D995" s="41">
        <f t="shared" si="151"/>
        <v>0.98069361229543572</v>
      </c>
      <c r="E995" s="39">
        <f>IF(_xlfn.NORM.INV(R995,C995,'Regressão Grupo 2'!$B$7)&lt;=0,0,IF(_xlfn.NORM.INV(R995,C995,'Regressão Grupo 2'!$B$7)&gt;100%,100%,_xlfn.NORM.INV(R995,C995,'Regressão Grupo 2'!$B$7)))</f>
        <v>0.25535149848116923</v>
      </c>
      <c r="F995" s="39">
        <f>IF(_xlfn.NORM.INV(S995,D995,'Regressão Grupo 2'!$B$7)&lt;=0,0,IF(_xlfn.NORM.INV(S995,D995,'Regressão Grupo 2'!$B$7)&gt;100%,100%,_xlfn.NORM.INV(S995,D995,'Regressão Grupo 2'!$B$7)))</f>
        <v>1</v>
      </c>
      <c r="G995" s="41">
        <v>2.2575547916707503E-2</v>
      </c>
      <c r="H995" s="41">
        <v>1.0098967181171216E-2</v>
      </c>
      <c r="I995" s="40">
        <f t="shared" si="152"/>
        <v>115.24397720941434</v>
      </c>
      <c r="J995" s="40">
        <f t="shared" si="152"/>
        <v>0</v>
      </c>
      <c r="K995" s="36">
        <v>0.30324393337737304</v>
      </c>
      <c r="L995" s="42">
        <f t="shared" si="157"/>
        <v>19991.322604477216</v>
      </c>
      <c r="M995" s="42">
        <f t="shared" si="157"/>
        <v>0</v>
      </c>
      <c r="N995" s="42">
        <f t="shared" si="153"/>
        <v>6062.2472999976608</v>
      </c>
      <c r="O995" s="36">
        <v>4.7241356222445976</v>
      </c>
      <c r="P995" s="42">
        <f t="shared" si="154"/>
        <v>795.40794033197835</v>
      </c>
      <c r="Q995" s="42"/>
      <c r="R995">
        <v>4.2909024323252054E-2</v>
      </c>
      <c r="S995">
        <v>0.68306527909176917</v>
      </c>
    </row>
    <row r="996" spans="1:19" x14ac:dyDescent="0.25">
      <c r="A996" s="40">
        <f t="shared" si="155"/>
        <v>64.229676878151835</v>
      </c>
      <c r="B996" s="40">
        <f t="shared" si="155"/>
        <v>32.933286051621081</v>
      </c>
      <c r="C996" s="41">
        <f t="shared" si="150"/>
        <v>0.49289226185293716</v>
      </c>
      <c r="D996" s="41">
        <f t="shared" si="151"/>
        <v>0.98069361229543572</v>
      </c>
      <c r="E996" s="39">
        <f>IF(_xlfn.NORM.INV(R996,C996,'Regressão Grupo 2'!$B$7)&lt;=0,0,IF(_xlfn.NORM.INV(R996,C996,'Regressão Grupo 2'!$B$7)&gt;100%,100%,_xlfn.NORM.INV(R996,C996,'Regressão Grupo 2'!$B$7)))</f>
        <v>0.7915848519098454</v>
      </c>
      <c r="F996" s="39">
        <f>IF(_xlfn.NORM.INV(S996,D996,'Regressão Grupo 2'!$B$7)&lt;=0,0,IF(_xlfn.NORM.INV(S996,D996,'Regressão Grupo 2'!$B$7)&gt;100%,100%,_xlfn.NORM.INV(S996,D996,'Regressão Grupo 2'!$B$7)))</f>
        <v>0.92272849297240089</v>
      </c>
      <c r="G996" s="41">
        <v>2.6544409583394671E-2</v>
      </c>
      <c r="H996" s="41">
        <v>9.6314154212801418E-3</v>
      </c>
      <c r="I996" s="40">
        <f t="shared" si="152"/>
        <v>420.06071982383492</v>
      </c>
      <c r="J996" s="40">
        <f t="shared" si="152"/>
        <v>0</v>
      </c>
      <c r="K996" s="36">
        <v>0.33185414269928448</v>
      </c>
      <c r="L996" s="42">
        <f t="shared" si="157"/>
        <v>19991.322604477216</v>
      </c>
      <c r="M996" s="42">
        <f t="shared" si="157"/>
        <v>0</v>
      </c>
      <c r="N996" s="42">
        <f t="shared" si="153"/>
        <v>6634.2032243336134</v>
      </c>
      <c r="O996" s="36">
        <v>2.9955060234749782</v>
      </c>
      <c r="P996" s="42">
        <f t="shared" si="154"/>
        <v>19087.866662697641</v>
      </c>
      <c r="Q996" s="42"/>
      <c r="R996">
        <v>0.98461867122409741</v>
      </c>
      <c r="S996">
        <v>0.33753471480452896</v>
      </c>
    </row>
    <row r="997" spans="1:19" x14ac:dyDescent="0.25">
      <c r="A997" s="40">
        <f t="shared" si="155"/>
        <v>64.229676878151835</v>
      </c>
      <c r="B997" s="40">
        <f t="shared" si="155"/>
        <v>32.933286051621081</v>
      </c>
      <c r="C997" s="41">
        <f t="shared" si="150"/>
        <v>0.49289226185293716</v>
      </c>
      <c r="D997" s="41">
        <f t="shared" si="151"/>
        <v>0.98069361229543572</v>
      </c>
      <c r="E997" s="39">
        <f>IF(_xlfn.NORM.INV(R997,C997,'Regressão Grupo 2'!$B$7)&lt;=0,0,IF(_xlfn.NORM.INV(R997,C997,'Regressão Grupo 2'!$B$7)&gt;100%,100%,_xlfn.NORM.INV(R997,C997,'Regressão Grupo 2'!$B$7)))</f>
        <v>0.39342680958473636</v>
      </c>
      <c r="F997" s="39">
        <f>IF(_xlfn.NORM.INV(S997,D997,'Regressão Grupo 2'!$B$7)&lt;=0,0,IF(_xlfn.NORM.INV(S997,D997,'Regressão Grupo 2'!$B$7)&gt;100%,100%,_xlfn.NORM.INV(S997,D997,'Regressão Grupo 2'!$B$7)))</f>
        <v>1</v>
      </c>
      <c r="G997" s="41">
        <v>9.7913546546301647E-3</v>
      </c>
      <c r="H997" s="41">
        <v>2.4753807085850895E-2</v>
      </c>
      <c r="I997" s="40">
        <f t="shared" si="152"/>
        <v>77.010201563840724</v>
      </c>
      <c r="J997" s="40">
        <f t="shared" si="152"/>
        <v>0</v>
      </c>
      <c r="K997" s="36">
        <v>0.19140340686517138</v>
      </c>
      <c r="L997" s="42">
        <f t="shared" si="157"/>
        <v>19991.322604477216</v>
      </c>
      <c r="M997" s="42">
        <f t="shared" si="157"/>
        <v>0</v>
      </c>
      <c r="N997" s="42">
        <f t="shared" si="153"/>
        <v>3826.4072542376502</v>
      </c>
      <c r="O997" s="36">
        <v>5.8168126188651419</v>
      </c>
      <c r="P997" s="42">
        <f t="shared" si="154"/>
        <v>671.97919629128637</v>
      </c>
      <c r="Q997" s="42"/>
      <c r="R997">
        <v>0.2359691152684103</v>
      </c>
      <c r="S997">
        <v>0.97906430249946597</v>
      </c>
    </row>
    <row r="998" spans="1:19" x14ac:dyDescent="0.25">
      <c r="A998" s="40">
        <f t="shared" si="155"/>
        <v>64.229676878151835</v>
      </c>
      <c r="B998" s="40">
        <f t="shared" si="155"/>
        <v>32.933286051621081</v>
      </c>
      <c r="C998" s="41">
        <f t="shared" si="150"/>
        <v>0.49289226185293716</v>
      </c>
      <c r="D998" s="41">
        <f t="shared" si="151"/>
        <v>0.98069361229543572</v>
      </c>
      <c r="E998" s="39">
        <f>IF(_xlfn.NORM.INV(R998,C998,'Regressão Grupo 2'!$B$7)&lt;=0,0,IF(_xlfn.NORM.INV(R998,C998,'Regressão Grupo 2'!$B$7)&gt;100%,100%,_xlfn.NORM.INV(R998,C998,'Regressão Grupo 2'!$B$7)))</f>
        <v>0.13091778965813211</v>
      </c>
      <c r="F998" s="39">
        <f>IF(_xlfn.NORM.INV(S998,D998,'Regressão Grupo 2'!$B$7)&lt;=0,0,IF(_xlfn.NORM.INV(S998,D998,'Regressão Grupo 2'!$B$7)&gt;100%,100%,_xlfn.NORM.INV(S998,D998,'Regressão Grupo 2'!$B$7)))</f>
        <v>1</v>
      </c>
      <c r="G998" s="41">
        <v>2.6360543696482785E-2</v>
      </c>
      <c r="H998" s="41">
        <v>1.1446637802728228E-2</v>
      </c>
      <c r="I998" s="40">
        <f t="shared" si="152"/>
        <v>68.991336050302934</v>
      </c>
      <c r="J998" s="40">
        <f t="shared" si="152"/>
        <v>0</v>
      </c>
      <c r="K998" s="36">
        <v>0.33436303811713802</v>
      </c>
      <c r="L998" s="42">
        <f t="shared" si="157"/>
        <v>19991.322604477216</v>
      </c>
      <c r="M998" s="42">
        <f t="shared" si="157"/>
        <v>0</v>
      </c>
      <c r="N998" s="42">
        <f t="shared" si="153"/>
        <v>6684.3593620128186</v>
      </c>
      <c r="O998" s="36">
        <v>9.2656219070049755</v>
      </c>
      <c r="P998" s="42">
        <f t="shared" si="154"/>
        <v>-2892.3157748111016</v>
      </c>
      <c r="Q998" s="42"/>
      <c r="R998">
        <v>4.4251838740195929E-3</v>
      </c>
      <c r="S998">
        <v>0.95495468001342809</v>
      </c>
    </row>
    <row r="999" spans="1:19" x14ac:dyDescent="0.25">
      <c r="A999" s="40">
        <f t="shared" si="155"/>
        <v>64.229676878151835</v>
      </c>
      <c r="B999" s="40">
        <f t="shared" si="155"/>
        <v>32.933286051621081</v>
      </c>
      <c r="C999" s="41">
        <f t="shared" si="150"/>
        <v>0.49289226185293716</v>
      </c>
      <c r="D999" s="41">
        <f t="shared" si="151"/>
        <v>0.98069361229543572</v>
      </c>
      <c r="E999" s="39">
        <f>IF(_xlfn.NORM.INV(R999,C999,'Regressão Grupo 2'!$B$7)&lt;=0,0,IF(_xlfn.NORM.INV(R999,C999,'Regressão Grupo 2'!$B$7)&gt;100%,100%,_xlfn.NORM.INV(R999,C999,'Regressão Grupo 2'!$B$7)))</f>
        <v>0.35067771115831414</v>
      </c>
      <c r="F999" s="39">
        <f>IF(_xlfn.NORM.INV(S999,D999,'Regressão Grupo 2'!$B$7)&lt;=0,0,IF(_xlfn.NORM.INV(S999,D999,'Regressão Grupo 2'!$B$7)&gt;100%,100%,_xlfn.NORM.INV(S999,D999,'Regressão Grupo 2'!$B$7)))</f>
        <v>0.99125529152157421</v>
      </c>
      <c r="G999" s="41">
        <v>1.4577041585718075E-2</v>
      </c>
      <c r="H999" s="41">
        <v>2.022837312120998E-2</v>
      </c>
      <c r="I999" s="40">
        <f t="shared" si="152"/>
        <v>102.19251408620022</v>
      </c>
      <c r="J999" s="40">
        <f t="shared" si="152"/>
        <v>0</v>
      </c>
      <c r="K999" s="36">
        <v>0.21413030829728663</v>
      </c>
      <c r="L999" s="42">
        <f t="shared" ref="L999:M1004" si="158">L998</f>
        <v>19991.322604477216</v>
      </c>
      <c r="M999" s="42">
        <f t="shared" si="158"/>
        <v>0</v>
      </c>
      <c r="N999" s="42">
        <f t="shared" si="153"/>
        <v>4280.7480725672212</v>
      </c>
      <c r="O999" s="36">
        <v>5.9177387005201023</v>
      </c>
      <c r="P999" s="42">
        <f t="shared" si="154"/>
        <v>1678.2954910440458</v>
      </c>
      <c r="Q999" s="42"/>
      <c r="R999">
        <v>0.15186010315256204</v>
      </c>
      <c r="S999">
        <v>0.53044221320230722</v>
      </c>
    </row>
    <row r="1000" spans="1:19" x14ac:dyDescent="0.25">
      <c r="A1000" s="40">
        <f t="shared" si="155"/>
        <v>64.229676878151835</v>
      </c>
      <c r="B1000" s="40">
        <f t="shared" si="155"/>
        <v>32.933286051621081</v>
      </c>
      <c r="C1000" s="41">
        <f t="shared" si="150"/>
        <v>0.49289226185293716</v>
      </c>
      <c r="D1000" s="41">
        <f t="shared" si="151"/>
        <v>0.98069361229543572</v>
      </c>
      <c r="E1000" s="39">
        <f>IF(_xlfn.NORM.INV(R1000,C1000,'Regressão Grupo 2'!$B$7)&lt;=0,0,IF(_xlfn.NORM.INV(R1000,C1000,'Regressão Grupo 2'!$B$7)&gt;100%,100%,_xlfn.NORM.INV(R1000,C1000,'Regressão Grupo 2'!$B$7)))</f>
        <v>0.54335176299871246</v>
      </c>
      <c r="F1000" s="39">
        <f>IF(_xlfn.NORM.INV(S1000,D1000,'Regressão Grupo 2'!$B$7)&lt;=0,0,IF(_xlfn.NORM.INV(S1000,D1000,'Regressão Grupo 2'!$B$7)&gt;100%,100%,_xlfn.NORM.INV(S1000,D1000,'Regressão Grupo 2'!$B$7)))</f>
        <v>1</v>
      </c>
      <c r="G1000" s="41">
        <v>1.1356956360871752E-2</v>
      </c>
      <c r="H1000" s="41">
        <v>2.9136445930057726E-2</v>
      </c>
      <c r="I1000" s="40">
        <f t="shared" si="152"/>
        <v>123.36289855412285</v>
      </c>
      <c r="J1000" s="40">
        <f t="shared" si="152"/>
        <v>0</v>
      </c>
      <c r="K1000" s="36">
        <v>0.2337871556946691</v>
      </c>
      <c r="L1000" s="42">
        <f t="shared" si="158"/>
        <v>19991.322604477216</v>
      </c>
      <c r="M1000" s="42">
        <f t="shared" si="158"/>
        <v>0</v>
      </c>
      <c r="N1000" s="42">
        <f t="shared" si="153"/>
        <v>4673.7144502752726</v>
      </c>
      <c r="O1000" s="36">
        <v>5.0633989613091099</v>
      </c>
      <c r="P1000" s="42">
        <f t="shared" si="154"/>
        <v>2625.209090205236</v>
      </c>
      <c r="Q1000" s="42"/>
      <c r="R1000">
        <v>0.64241462446974085</v>
      </c>
      <c r="S1000">
        <v>0.59627063814203318</v>
      </c>
    </row>
    <row r="1001" spans="1:19" x14ac:dyDescent="0.25">
      <c r="A1001" s="40">
        <f t="shared" si="155"/>
        <v>64.229676878151835</v>
      </c>
      <c r="B1001" s="40">
        <f t="shared" si="155"/>
        <v>32.933286051621081</v>
      </c>
      <c r="C1001" s="41">
        <f t="shared" si="150"/>
        <v>0.49289226185293716</v>
      </c>
      <c r="D1001" s="41">
        <f t="shared" si="151"/>
        <v>0.98069361229543572</v>
      </c>
      <c r="E1001" s="39">
        <f>IF(_xlfn.NORM.INV(R1001,C1001,'Regressão Grupo 2'!$B$7)&lt;=0,0,IF(_xlfn.NORM.INV(R1001,C1001,'Regressão Grupo 2'!$B$7)&gt;100%,100%,_xlfn.NORM.INV(R1001,C1001,'Regressão Grupo 2'!$B$7)))</f>
        <v>0.40702824948205357</v>
      </c>
      <c r="F1001" s="39">
        <f>IF(_xlfn.NORM.INV(S1001,D1001,'Regressão Grupo 2'!$B$7)&lt;=0,0,IF(_xlfn.NORM.INV(S1001,D1001,'Regressão Grupo 2'!$B$7)&gt;100%,100%,_xlfn.NORM.INV(S1001,D1001,'Regressão Grupo 2'!$B$7)))</f>
        <v>1</v>
      </c>
      <c r="G1001" s="41">
        <v>1.66128620065207E-2</v>
      </c>
      <c r="H1001" s="41">
        <v>2.0115544150457305E-2</v>
      </c>
      <c r="I1001" s="40">
        <f t="shared" si="152"/>
        <v>135.17940711129864</v>
      </c>
      <c r="J1001" s="40">
        <f t="shared" si="152"/>
        <v>0</v>
      </c>
      <c r="K1001" s="36">
        <v>0.3074994164017445</v>
      </c>
      <c r="L1001" s="42">
        <f t="shared" si="158"/>
        <v>19991.322604477216</v>
      </c>
      <c r="M1001" s="42">
        <f t="shared" si="158"/>
        <v>0</v>
      </c>
      <c r="N1001" s="42">
        <f t="shared" si="153"/>
        <v>6147.3200339757468</v>
      </c>
      <c r="O1001" s="36">
        <v>6.9274939738365626</v>
      </c>
      <c r="P1001" s="42">
        <f t="shared" si="154"/>
        <v>1598.7550772127852</v>
      </c>
      <c r="Q1001" s="42"/>
      <c r="R1001">
        <v>0.26731162450025941</v>
      </c>
      <c r="S1001">
        <v>0.9506210516678365</v>
      </c>
    </row>
    <row r="1002" spans="1:19" x14ac:dyDescent="0.25">
      <c r="A1002" s="40">
        <f t="shared" si="155"/>
        <v>64.229676878151835</v>
      </c>
      <c r="B1002" s="40">
        <f t="shared" si="155"/>
        <v>32.933286051621081</v>
      </c>
      <c r="C1002" s="41">
        <f t="shared" si="150"/>
        <v>0.49289226185293716</v>
      </c>
      <c r="D1002" s="41">
        <f t="shared" si="151"/>
        <v>0.98069361229543572</v>
      </c>
      <c r="E1002" s="39">
        <f>IF(_xlfn.NORM.INV(R1002,C1002,'Regressão Grupo 2'!$B$7)&lt;=0,0,IF(_xlfn.NORM.INV(R1002,C1002,'Regressão Grupo 2'!$B$7)&gt;100%,100%,_xlfn.NORM.INV(R1002,C1002,'Regressão Grupo 2'!$B$7)))</f>
        <v>0.46778594966469772</v>
      </c>
      <c r="F1002" s="39">
        <f>IF(_xlfn.NORM.INV(S1002,D1002,'Regressão Grupo 2'!$B$7)&lt;=0,0,IF(_xlfn.NORM.INV(S1002,D1002,'Regressão Grupo 2'!$B$7)&gt;100%,100%,_xlfn.NORM.INV(S1002,D1002,'Regressão Grupo 2'!$B$7)))</f>
        <v>0.77046608956968909</v>
      </c>
      <c r="G1002" s="41">
        <v>1.8613324800742598E-2</v>
      </c>
      <c r="H1002" s="41">
        <v>1.2386898966969651E-2</v>
      </c>
      <c r="I1002" s="40">
        <f t="shared" si="152"/>
        <v>174.06548183419187</v>
      </c>
      <c r="J1002" s="40">
        <f t="shared" si="152"/>
        <v>0</v>
      </c>
      <c r="K1002" s="36">
        <v>0.26681311213415693</v>
      </c>
      <c r="L1002" s="42">
        <f t="shared" si="158"/>
        <v>19991.322604477216</v>
      </c>
      <c r="M1002" s="42">
        <f t="shared" si="158"/>
        <v>0</v>
      </c>
      <c r="N1002" s="42">
        <f t="shared" si="153"/>
        <v>5333.9469997784854</v>
      </c>
      <c r="O1002" s="36">
        <v>8.0015886459973693</v>
      </c>
      <c r="P1002" s="42">
        <f t="shared" si="154"/>
        <v>4453.4222709669357</v>
      </c>
      <c r="Q1002" s="42"/>
      <c r="R1002">
        <v>0.42796105838190862</v>
      </c>
      <c r="S1002">
        <v>6.4210943937498099E-2</v>
      </c>
    </row>
    <row r="1003" spans="1:19" x14ac:dyDescent="0.25">
      <c r="A1003" s="40">
        <f t="shared" si="155"/>
        <v>64.229676878151835</v>
      </c>
      <c r="B1003" s="40">
        <f t="shared" si="155"/>
        <v>32.933286051621081</v>
      </c>
      <c r="C1003" s="41">
        <f t="shared" si="150"/>
        <v>0.49289226185293716</v>
      </c>
      <c r="D1003" s="41">
        <f t="shared" si="151"/>
        <v>0.98069361229543572</v>
      </c>
      <c r="E1003" s="39">
        <f>IF(_xlfn.NORM.INV(R1003,C1003,'Regressão Grupo 2'!$B$7)&lt;=0,0,IF(_xlfn.NORM.INV(R1003,C1003,'Regressão Grupo 2'!$B$7)&gt;100%,100%,_xlfn.NORM.INV(R1003,C1003,'Regressão Grupo 2'!$B$7)))</f>
        <v>0.49316199753439582</v>
      </c>
      <c r="F1003" s="39">
        <f>IF(_xlfn.NORM.INV(S1003,D1003,'Regressão Grupo 2'!$B$7)&lt;=0,0,IF(_xlfn.NORM.INV(S1003,D1003,'Regressão Grupo 2'!$B$7)&gt;100%,100%,_xlfn.NORM.INV(S1003,D1003,'Regressão Grupo 2'!$B$7)))</f>
        <v>0.61672947918511167</v>
      </c>
      <c r="G1003" s="41">
        <v>2.601870262976641E-2</v>
      </c>
      <c r="H1003" s="41">
        <v>2.8195579449469137E-2</v>
      </c>
      <c r="I1003" s="40">
        <f t="shared" si="152"/>
        <v>256.51736380321842</v>
      </c>
      <c r="J1003" s="40">
        <f t="shared" si="152"/>
        <v>0</v>
      </c>
      <c r="K1003" s="36">
        <v>0.29645418272626456</v>
      </c>
      <c r="L1003" s="42">
        <f t="shared" si="158"/>
        <v>19991.322604477216</v>
      </c>
      <c r="M1003" s="42">
        <f t="shared" si="158"/>
        <v>0</v>
      </c>
      <c r="N1003" s="42">
        <f t="shared" si="153"/>
        <v>5926.5112043273921</v>
      </c>
      <c r="O1003" s="36">
        <v>3.8691826699051282</v>
      </c>
      <c r="P1003" s="42">
        <f t="shared" si="154"/>
        <v>9557.0036478314869</v>
      </c>
      <c r="Q1003" s="42"/>
      <c r="R1003">
        <v>0.50077822199163791</v>
      </c>
      <c r="S1003">
        <v>4.2420728171636097E-3</v>
      </c>
    </row>
    <row r="1004" spans="1:19" x14ac:dyDescent="0.25">
      <c r="A1004" s="40">
        <f t="shared" si="155"/>
        <v>64.229676878151835</v>
      </c>
      <c r="B1004" s="40">
        <f t="shared" si="155"/>
        <v>32.933286051621081</v>
      </c>
      <c r="C1004" s="41">
        <f t="shared" si="150"/>
        <v>0.49289226185293716</v>
      </c>
      <c r="D1004" s="41">
        <f t="shared" si="151"/>
        <v>0.98069361229543572</v>
      </c>
      <c r="E1004" s="39">
        <f>IF(_xlfn.NORM.INV(R1004,C1004,'Regressão Grupo 2'!$B$7)&lt;=0,0,IF(_xlfn.NORM.INV(R1004,C1004,'Regressão Grupo 2'!$B$7)&gt;100%,100%,_xlfn.NORM.INV(R1004,C1004,'Regressão Grupo 2'!$B$7)))</f>
        <v>0.15259799747415553</v>
      </c>
      <c r="F1004" s="39">
        <f>IF(_xlfn.NORM.INV(S1004,D1004,'Regressão Grupo 2'!$B$7)&lt;=0,0,IF(_xlfn.NORM.INV(S1004,D1004,'Regressão Grupo 2'!$B$7)&gt;100%,100%,_xlfn.NORM.INV(S1004,D1004,'Regressão Grupo 2'!$B$7)))</f>
        <v>0.8046656475731514</v>
      </c>
      <c r="G1004" s="41">
        <v>7.4182851039930218E-3</v>
      </c>
      <c r="H1004" s="41">
        <v>1.4800052772891835E-2</v>
      </c>
      <c r="I1004" s="40">
        <f t="shared" si="152"/>
        <v>22.630486085422749</v>
      </c>
      <c r="J1004" s="40">
        <f t="shared" si="152"/>
        <v>0</v>
      </c>
      <c r="K1004" s="36">
        <v>0.21329307757489688</v>
      </c>
      <c r="L1004" s="42">
        <f t="shared" si="158"/>
        <v>19991.322604477216</v>
      </c>
      <c r="M1004" s="42">
        <f t="shared" si="158"/>
        <v>0</v>
      </c>
      <c r="N1004" s="42">
        <f t="shared" si="153"/>
        <v>4264.0107231015481</v>
      </c>
      <c r="O1004" s="36">
        <v>5.7115600366298906</v>
      </c>
      <c r="P1004" s="42">
        <f t="shared" si="154"/>
        <v>-2939.7172941743429</v>
      </c>
      <c r="Q1004" s="42"/>
      <c r="R1004">
        <v>6.9277016510513626E-3</v>
      </c>
      <c r="S1004">
        <v>0.10150456251716666</v>
      </c>
    </row>
  </sheetData>
  <autoFilter ref="A3:P1004" xr:uid="{DDF40C88-62D0-4CEE-AE82-B579EB033918}"/>
  <conditionalFormatting sqref="E5:F1004">
    <cfRule type="cellIs" dxfId="3" priority="2" operator="lessThan">
      <formula>0</formula>
    </cfRule>
  </conditionalFormatting>
  <conditionalFormatting sqref="F1">
    <cfRule type="cellIs" dxfId="2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0C88-62D0-4CEE-AE82-B579EB033918}">
  <sheetPr codeName="Planilha4"/>
  <dimension ref="A1:V1004"/>
  <sheetViews>
    <sheetView zoomScale="80" zoomScaleNormal="80" workbookViewId="0">
      <pane xSplit="2" ySplit="4" topLeftCell="N5" activePane="bottomRight" state="frozen"/>
      <selection pane="topRight" activeCell="C1" sqref="C1"/>
      <selection pane="bottomLeft" activeCell="A5" sqref="A5"/>
      <selection pane="bottomRight" activeCell="V7" sqref="V7:V18"/>
    </sheetView>
  </sheetViews>
  <sheetFormatPr defaultColWidth="26.7109375" defaultRowHeight="15" x14ac:dyDescent="0.25"/>
  <cols>
    <col min="1" max="11" width="26.7109375" style="36"/>
    <col min="12" max="12" width="22" style="36" bestFit="1" customWidth="1"/>
    <col min="13" max="13" width="21.5703125" style="36" bestFit="1" customWidth="1"/>
    <col min="14" max="14" width="34.7109375" style="36" bestFit="1" customWidth="1"/>
    <col min="15" max="15" width="24.7109375" style="36" bestFit="1" customWidth="1"/>
    <col min="16" max="16" width="16.85546875" style="36" bestFit="1" customWidth="1"/>
    <col min="17" max="19" width="16.85546875" style="36" hidden="1" customWidth="1"/>
    <col min="20" max="16384" width="26.7109375" style="36"/>
  </cols>
  <sheetData>
    <row r="1" spans="1:22" x14ac:dyDescent="0.25">
      <c r="F1" s="39">
        <f ca="1">_xlfn.NORM.INV(RAND(),D1,'Regressão Grupo 3'!$B$7)</f>
        <v>0.37036657286599928</v>
      </c>
    </row>
    <row r="2" spans="1:22" x14ac:dyDescent="0.25">
      <c r="C2" s="37" t="s">
        <v>199</v>
      </c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22" x14ac:dyDescent="0.25">
      <c r="A3" s="40">
        <v>100</v>
      </c>
      <c r="B3" s="40">
        <v>100</v>
      </c>
      <c r="C3" s="41">
        <f>-0.004*A3 + 0.7764</f>
        <v>0.37639999999999996</v>
      </c>
      <c r="D3" s="41">
        <f>-0.004*B3 + 0.7764</f>
        <v>0.37639999999999996</v>
      </c>
      <c r="E3" s="39">
        <f ca="1">_xlfn.NORM.INV(RAND(),-0.004*A3 + 0.7764,0.112022571849487)-(-0.004*A3 + 0.7764)</f>
        <v>-0.123116288144691</v>
      </c>
      <c r="F3" s="39">
        <f ca="1">_xlfn.NORM.INV(RAND(),-0.004*B3 + 0.7764,0.112022571849487)-(-0.004*B3 + 0.7764)</f>
        <v>9.2967667086883976E-3</v>
      </c>
      <c r="G3" s="39" cm="1">
        <f t="array" ref="G3">DIST_TRIANGULAR(0,3%,2%)</f>
        <v>5.9971622670572933E-3</v>
      </c>
      <c r="H3" s="39" cm="1">
        <f t="array" ref="H3">DIST_TRIANGULAR(0,3%,2%)</f>
        <v>2.0027349738762724E-2</v>
      </c>
      <c r="I3" s="40" t="e">
        <f ca="1">IF(E3*G3*L3&gt;0,E3*G3*L3,0)</f>
        <v>#VALUE!</v>
      </c>
      <c r="J3" s="40" t="e">
        <f ca="1">IF(F3*H3*M3&gt;0,F3*H3*M3,0)</f>
        <v>#VALUE!</v>
      </c>
      <c r="K3" s="36" cm="1">
        <f t="array" ref="K3">DIST_TRIANGULAR(0.1,0.3,0.5)</f>
        <v>0.18849132827256782</v>
      </c>
      <c r="L3" s="42" t="s">
        <v>245</v>
      </c>
      <c r="M3" s="42" t="s">
        <v>245</v>
      </c>
      <c r="N3" s="42" t="e">
        <f>(L3+M3)*K3</f>
        <v>#VALUE!</v>
      </c>
      <c r="O3" s="36" cm="1">
        <f t="array" ref="O3">DIST_TRIANGULAR(2,11,5)</f>
        <v>7.7186797013320145</v>
      </c>
      <c r="P3" s="42" t="e">
        <f ca="1">SUMPRODUCT(A3:B3,I3:J3)-SUM(I3:J3)*O3-N3</f>
        <v>#VALUE!</v>
      </c>
      <c r="Q3" s="42"/>
      <c r="R3" s="42"/>
      <c r="S3" s="42"/>
      <c r="U3" s="42">
        <f>L5+M5</f>
        <v>20000</v>
      </c>
    </row>
    <row r="4" spans="1:22" ht="40.5" customHeight="1" x14ac:dyDescent="0.25">
      <c r="A4" s="43" t="s">
        <v>209</v>
      </c>
      <c r="B4" s="43" t="s">
        <v>210</v>
      </c>
      <c r="C4" s="43" t="s">
        <v>211</v>
      </c>
      <c r="D4" s="43" t="s">
        <v>212</v>
      </c>
      <c r="E4" s="43" t="s">
        <v>213</v>
      </c>
      <c r="F4" s="43" t="s">
        <v>242</v>
      </c>
      <c r="G4" s="43" t="s">
        <v>243</v>
      </c>
      <c r="H4" s="43" t="s">
        <v>244</v>
      </c>
      <c r="I4" s="38" t="s">
        <v>238</v>
      </c>
      <c r="J4" s="38" t="s">
        <v>239</v>
      </c>
      <c r="K4" s="38" t="s">
        <v>200</v>
      </c>
      <c r="L4" s="38" t="s">
        <v>240</v>
      </c>
      <c r="M4" s="38" t="s">
        <v>241</v>
      </c>
      <c r="N4" s="38" t="s">
        <v>201</v>
      </c>
      <c r="O4" s="38" t="s">
        <v>202</v>
      </c>
      <c r="P4" s="38" t="s">
        <v>184</v>
      </c>
      <c r="Q4" s="38"/>
      <c r="R4" s="38" t="s">
        <v>248</v>
      </c>
      <c r="S4" s="38" t="s">
        <v>248</v>
      </c>
      <c r="U4" s="42">
        <v>20000</v>
      </c>
    </row>
    <row r="5" spans="1:22" x14ac:dyDescent="0.25">
      <c r="A5" s="40">
        <v>0</v>
      </c>
      <c r="B5" s="40">
        <v>50</v>
      </c>
      <c r="C5" s="41">
        <f>-0.0071*A5 + 1.0313</f>
        <v>1.0313000000000001</v>
      </c>
      <c r="D5" s="41">
        <f>-0.0059*B5+1.175</f>
        <v>0.88000000000000012</v>
      </c>
      <c r="E5" s="39">
        <f>IF(_xlfn.NORM.INV(R5,C5,'Regressão Grupo 2'!$B$7)&lt;=0,0,IF(_xlfn.NORM.INV(R5,C5,'Regressão Grupo 2'!$B$7)&gt;100%,100%,_xlfn.NORM.INV(R5,C5,'Regressão Grupo 2'!$B$7)))</f>
        <v>1</v>
      </c>
      <c r="F5" s="39">
        <f>IF(_xlfn.NORM.INV(S5,D5,'Regressão Grupo 2'!$B$7)&lt;=0,0,IF(_xlfn.NORM.INV(S5,D5,'Regressão Grupo 2'!$B$7)&gt;100%,100%,_xlfn.NORM.INV(S5,D5,'Regressão Grupo 2'!$B$7)))</f>
        <v>0.6735247816236718</v>
      </c>
      <c r="G5" s="41">
        <v>1.7393846074728908E-2</v>
      </c>
      <c r="H5" s="41">
        <v>2.4038594335539509E-2</v>
      </c>
      <c r="I5" s="40">
        <f>IF(E5*G5*L5&gt;0,E5*G5*L5,0)</f>
        <v>0</v>
      </c>
      <c r="J5" s="40">
        <f>IF(F5*H5*M5&gt;0,F5*H5*M5,0)</f>
        <v>323.81178000768563</v>
      </c>
      <c r="K5" s="36">
        <v>0.12499961852736302</v>
      </c>
      <c r="L5" s="42">
        <v>0</v>
      </c>
      <c r="M5" s="42">
        <v>20000</v>
      </c>
      <c r="N5" s="42">
        <f>(L5+M5)*K5</f>
        <v>2499.9923705472606</v>
      </c>
      <c r="O5" s="36">
        <v>5.484660482905614</v>
      </c>
      <c r="P5" s="42">
        <f>SUMPRODUCT(A5:B5,I5:J5)-SUM(I5:J5)*O5-N5</f>
        <v>11914.598956129541</v>
      </c>
      <c r="Q5" s="42"/>
      <c r="R5">
        <v>0.69154942472609637</v>
      </c>
      <c r="S5">
        <v>6.7690054017761778E-2</v>
      </c>
      <c r="T5" s="42"/>
      <c r="U5" s="42"/>
    </row>
    <row r="6" spans="1:22" x14ac:dyDescent="0.25">
      <c r="A6" s="40">
        <f>A5</f>
        <v>0</v>
      </c>
      <c r="B6" s="40">
        <f>B5</f>
        <v>50</v>
      </c>
      <c r="C6" s="41">
        <f t="shared" ref="C6:C69" si="0">-0.0071*A6 + 1.0313</f>
        <v>1.0313000000000001</v>
      </c>
      <c r="D6" s="41">
        <f t="shared" ref="D6:D69" si="1">-0.0059*B6+1.175</f>
        <v>0.88000000000000012</v>
      </c>
      <c r="E6" s="39">
        <f>IF(_xlfn.NORM.INV(R6,C6,'Regressão Grupo 2'!$B$7)&lt;=0,0,IF(_xlfn.NORM.INV(R6,C6,'Regressão Grupo 2'!$B$7)&gt;100%,100%,_xlfn.NORM.INV(R6,C6,'Regressão Grupo 2'!$B$7)))</f>
        <v>0.89014043093308448</v>
      </c>
      <c r="F6" s="39">
        <f>IF(_xlfn.NORM.INV(S6,D6,'Regressão Grupo 2'!$B$7)&lt;=0,0,IF(_xlfn.NORM.INV(S6,D6,'Regressão Grupo 2'!$B$7)&gt;100%,100%,_xlfn.NORM.INV(S6,D6,'Regressão Grupo 2'!$B$7)))</f>
        <v>1</v>
      </c>
      <c r="G6" s="41">
        <v>1.9370436900149342E-2</v>
      </c>
      <c r="H6" s="41">
        <v>2.1998653882745082E-2</v>
      </c>
      <c r="I6" s="40">
        <f t="shared" ref="I6:I69" si="2">IF(E6*G6*L6&gt;0,E6*G6*L6,0)</f>
        <v>0</v>
      </c>
      <c r="J6" s="40">
        <f t="shared" ref="J6:J69" si="3">IF(F6*H6*M6&gt;0,F6*H6*M6,0)</f>
        <v>439.97307765490166</v>
      </c>
      <c r="K6" s="36">
        <v>0.23195665046494895</v>
      </c>
      <c r="L6" s="42">
        <f>L5</f>
        <v>0</v>
      </c>
      <c r="M6" s="42">
        <f>M5</f>
        <v>20000</v>
      </c>
      <c r="N6" s="42">
        <f t="shared" ref="N6:N69" si="4">(L6+M6)*K6</f>
        <v>4639.1330092989792</v>
      </c>
      <c r="O6" s="36">
        <v>4.2127632178507746</v>
      </c>
      <c r="P6" s="42">
        <f t="shared" ref="P6:P69" si="5">SUMPRODUCT(A6:B6,I6:J6)-SUM(I6:J6)*O6-N6</f>
        <v>15506.01847505693</v>
      </c>
      <c r="Q6" s="42"/>
      <c r="R6">
        <v>0.15366069521164585</v>
      </c>
      <c r="S6">
        <v>0.91793572801904355</v>
      </c>
      <c r="V6" s="44"/>
    </row>
    <row r="7" spans="1:22" x14ac:dyDescent="0.25">
      <c r="A7" s="40">
        <f t="shared" ref="A7:A70" si="6">A6</f>
        <v>0</v>
      </c>
      <c r="B7" s="40">
        <f t="shared" ref="B7:B70" si="7">B6</f>
        <v>50</v>
      </c>
      <c r="C7" s="41">
        <f t="shared" si="0"/>
        <v>1.0313000000000001</v>
      </c>
      <c r="D7" s="41">
        <f t="shared" si="1"/>
        <v>0.88000000000000012</v>
      </c>
      <c r="E7" s="39">
        <f>IF(_xlfn.NORM.INV(R7,C7,'Regressão Grupo 2'!$B$7)&lt;=0,0,IF(_xlfn.NORM.INV(R7,C7,'Regressão Grupo 2'!$B$7)&gt;100%,100%,_xlfn.NORM.INV(R7,C7,'Regressão Grupo 2'!$B$7)))</f>
        <v>0.81872395861623692</v>
      </c>
      <c r="F7" s="39">
        <f>IF(_xlfn.NORM.INV(S7,D7,'Regressão Grupo 2'!$B$7)&lt;=0,0,IF(_xlfn.NORM.INV(S7,D7,'Regressão Grupo 2'!$B$7)&gt;100%,100%,_xlfn.NORM.INV(S7,D7,'Regressão Grupo 2'!$B$7)))</f>
        <v>0.81074425242941606</v>
      </c>
      <c r="G7" s="41">
        <v>1.3953180738040881E-2</v>
      </c>
      <c r="H7" s="41">
        <v>7.3783618893820064E-3</v>
      </c>
      <c r="I7" s="40">
        <f t="shared" si="2"/>
        <v>0</v>
      </c>
      <c r="J7" s="40">
        <f t="shared" si="3"/>
        <v>119.63928988321416</v>
      </c>
      <c r="K7" s="36">
        <v>0.31803300542693835</v>
      </c>
      <c r="L7" s="42">
        <f t="shared" ref="L7:M22" si="8">L6</f>
        <v>0</v>
      </c>
      <c r="M7" s="42">
        <f t="shared" si="8"/>
        <v>20000</v>
      </c>
      <c r="N7" s="42">
        <f t="shared" si="4"/>
        <v>6360.6601085387674</v>
      </c>
      <c r="O7" s="36">
        <v>9.410499403587373</v>
      </c>
      <c r="P7" s="42">
        <f t="shared" si="5"/>
        <v>-1504.5610804696626</v>
      </c>
      <c r="Q7" s="42"/>
      <c r="R7">
        <v>6.2105166783654284E-2</v>
      </c>
      <c r="S7">
        <v>0.30823694570757165</v>
      </c>
      <c r="U7" s="36" t="s">
        <v>203</v>
      </c>
      <c r="V7" s="46">
        <f>AVERAGE(P5:P1004)</f>
        <v>6824.696022291645</v>
      </c>
    </row>
    <row r="8" spans="1:22" x14ac:dyDescent="0.25">
      <c r="A8" s="40">
        <f t="shared" si="6"/>
        <v>0</v>
      </c>
      <c r="B8" s="40">
        <f t="shared" si="7"/>
        <v>50</v>
      </c>
      <c r="C8" s="41">
        <f t="shared" si="0"/>
        <v>1.0313000000000001</v>
      </c>
      <c r="D8" s="41">
        <f t="shared" si="1"/>
        <v>0.88000000000000012</v>
      </c>
      <c r="E8" s="39">
        <f>IF(_xlfn.NORM.INV(R8,C8,'Regressão Grupo 2'!$B$7)&lt;=0,0,IF(_xlfn.NORM.INV(R8,C8,'Regressão Grupo 2'!$B$7)&gt;100%,100%,_xlfn.NORM.INV(R8,C8,'Regressão Grupo 2'!$B$7)))</f>
        <v>0.82144132004980963</v>
      </c>
      <c r="F8" s="39">
        <f>IF(_xlfn.NORM.INV(S8,D8,'Regressão Grupo 2'!$B$7)&lt;=0,0,IF(_xlfn.NORM.INV(S8,D8,'Regressão Grupo 2'!$B$7)&gt;100%,100%,_xlfn.NORM.INV(S8,D8,'Regressão Grupo 2'!$B$7)))</f>
        <v>0.7729859921147243</v>
      </c>
      <c r="G8" s="41">
        <v>1.9433458797427153E-2</v>
      </c>
      <c r="H8" s="41">
        <v>1.205918030197374E-2</v>
      </c>
      <c r="I8" s="40">
        <f t="shared" si="2"/>
        <v>0</v>
      </c>
      <c r="J8" s="40">
        <f t="shared" si="3"/>
        <v>186.43154899623025</v>
      </c>
      <c r="K8" s="36">
        <v>0.41015601116709732</v>
      </c>
      <c r="L8" s="42">
        <f t="shared" si="8"/>
        <v>0</v>
      </c>
      <c r="M8" s="42">
        <f t="shared" si="8"/>
        <v>20000</v>
      </c>
      <c r="N8" s="42">
        <f t="shared" si="4"/>
        <v>8203.1202233419463</v>
      </c>
      <c r="O8" s="36">
        <v>6.701972075728345</v>
      </c>
      <c r="P8" s="42">
        <f t="shared" si="5"/>
        <v>-131.00180893795005</v>
      </c>
      <c r="Q8" s="42"/>
      <c r="R8">
        <v>6.4546647541734059E-2</v>
      </c>
      <c r="S8">
        <v>0.21948912015137181</v>
      </c>
      <c r="U8" s="36" t="s">
        <v>204</v>
      </c>
      <c r="V8" s="46">
        <f>MAX(P5:P1004)</f>
        <v>22874.496614273852</v>
      </c>
    </row>
    <row r="9" spans="1:22" x14ac:dyDescent="0.25">
      <c r="A9" s="40">
        <f t="shared" si="6"/>
        <v>0</v>
      </c>
      <c r="B9" s="40">
        <f t="shared" si="7"/>
        <v>50</v>
      </c>
      <c r="C9" s="41">
        <f t="shared" si="0"/>
        <v>1.0313000000000001</v>
      </c>
      <c r="D9" s="41">
        <f t="shared" si="1"/>
        <v>0.88000000000000012</v>
      </c>
      <c r="E9" s="39">
        <f>IF(_xlfn.NORM.INV(R9,C9,'Regressão Grupo 2'!$B$7)&lt;=0,0,IF(_xlfn.NORM.INV(R9,C9,'Regressão Grupo 2'!$B$7)&gt;100%,100%,_xlfn.NORM.INV(R9,C9,'Regressão Grupo 2'!$B$7)))</f>
        <v>0.94227067912347762</v>
      </c>
      <c r="F9" s="39">
        <f>IF(_xlfn.NORM.INV(S9,D9,'Regressão Grupo 2'!$B$7)&lt;=0,0,IF(_xlfn.NORM.INV(S9,D9,'Regressão Grupo 2'!$B$7)&gt;100%,100%,_xlfn.NORM.INV(S9,D9,'Regressão Grupo 2'!$B$7)))</f>
        <v>0.99278785573670114</v>
      </c>
      <c r="G9" s="41">
        <v>3.4628350629399346E-3</v>
      </c>
      <c r="H9" s="41">
        <v>2.4451210996932891E-2</v>
      </c>
      <c r="I9" s="40">
        <f t="shared" si="2"/>
        <v>0</v>
      </c>
      <c r="J9" s="40">
        <f t="shared" si="3"/>
        <v>485.49730671621307</v>
      </c>
      <c r="K9" s="36">
        <v>0.26123654627306103</v>
      </c>
      <c r="L9" s="42">
        <f t="shared" si="8"/>
        <v>0</v>
      </c>
      <c r="M9" s="42">
        <f t="shared" si="8"/>
        <v>20000</v>
      </c>
      <c r="N9" s="42">
        <f t="shared" si="4"/>
        <v>5224.730925461221</v>
      </c>
      <c r="O9" s="36">
        <v>5.1792311572072798</v>
      </c>
      <c r="P9" s="42">
        <f t="shared" si="5"/>
        <v>16535.631632664605</v>
      </c>
      <c r="Q9" s="42"/>
      <c r="R9">
        <v>0.25983458967864009</v>
      </c>
      <c r="S9">
        <v>0.79265724662007508</v>
      </c>
      <c r="U9" s="36" t="s">
        <v>205</v>
      </c>
      <c r="V9" s="46">
        <f>MIN(P5:P1004)</f>
        <v>-7310.4159837342286</v>
      </c>
    </row>
    <row r="10" spans="1:22" x14ac:dyDescent="0.25">
      <c r="A10" s="40">
        <f t="shared" si="6"/>
        <v>0</v>
      </c>
      <c r="B10" s="40">
        <f t="shared" si="7"/>
        <v>50</v>
      </c>
      <c r="C10" s="41">
        <f t="shared" si="0"/>
        <v>1.0313000000000001</v>
      </c>
      <c r="D10" s="41">
        <f t="shared" si="1"/>
        <v>0.88000000000000012</v>
      </c>
      <c r="E10" s="39">
        <f>IF(_xlfn.NORM.INV(R10,C10,'Regressão Grupo 2'!$B$7)&lt;=0,0,IF(_xlfn.NORM.INV(R10,C10,'Regressão Grupo 2'!$B$7)&gt;100%,100%,_xlfn.NORM.INV(R10,C10,'Regressão Grupo 2'!$B$7)))</f>
        <v>0.92651272468073753</v>
      </c>
      <c r="F10" s="39">
        <f>IF(_xlfn.NORM.INV(S10,D10,'Regressão Grupo 2'!$B$7)&lt;=0,0,IF(_xlfn.NORM.INV(S10,D10,'Regressão Grupo 2'!$B$7)&gt;100%,100%,_xlfn.NORM.INV(S10,D10,'Regressão Grupo 2'!$B$7)))</f>
        <v>0.83198615227627526</v>
      </c>
      <c r="G10" s="41">
        <v>8.5753163393353388E-3</v>
      </c>
      <c r="H10" s="41">
        <v>1.0252340142678845E-2</v>
      </c>
      <c r="I10" s="40">
        <f t="shared" si="2"/>
        <v>0</v>
      </c>
      <c r="J10" s="40">
        <f t="shared" si="3"/>
        <v>170.59610054269942</v>
      </c>
      <c r="K10" s="36">
        <v>0.35334027422364744</v>
      </c>
      <c r="L10" s="42">
        <f t="shared" si="8"/>
        <v>0</v>
      </c>
      <c r="M10" s="42">
        <f t="shared" si="8"/>
        <v>20000</v>
      </c>
      <c r="N10" s="42">
        <f t="shared" si="4"/>
        <v>7066.8054844729486</v>
      </c>
      <c r="O10" s="36">
        <v>7.4540398723113661</v>
      </c>
      <c r="P10" s="42">
        <f t="shared" si="5"/>
        <v>191.36940715590208</v>
      </c>
      <c r="Q10" s="42"/>
      <c r="R10">
        <v>0.22428052613910338</v>
      </c>
      <c r="S10">
        <v>0.36420789208655047</v>
      </c>
      <c r="U10" s="36" t="s">
        <v>206</v>
      </c>
      <c r="V10" s="48">
        <f t="array" ref="V10">COUNT(IF(P5:P1004&gt;0,P5:P1004))</f>
        <v>876</v>
      </c>
    </row>
    <row r="11" spans="1:22" x14ac:dyDescent="0.25">
      <c r="A11" s="40">
        <f t="shared" si="6"/>
        <v>0</v>
      </c>
      <c r="B11" s="40">
        <f t="shared" si="7"/>
        <v>50</v>
      </c>
      <c r="C11" s="41">
        <f t="shared" si="0"/>
        <v>1.0313000000000001</v>
      </c>
      <c r="D11" s="41">
        <f t="shared" si="1"/>
        <v>0.88000000000000012</v>
      </c>
      <c r="E11" s="39">
        <f>IF(_xlfn.NORM.INV(R11,C11,'Regressão Grupo 2'!$B$7)&lt;=0,0,IF(_xlfn.NORM.INV(R11,C11,'Regressão Grupo 2'!$B$7)&gt;100%,100%,_xlfn.NORM.INV(R11,C11,'Regressão Grupo 2'!$B$7)))</f>
        <v>1</v>
      </c>
      <c r="F11" s="39">
        <f>IF(_xlfn.NORM.INV(S11,D11,'Regressão Grupo 2'!$B$7)&lt;=0,0,IF(_xlfn.NORM.INV(S11,D11,'Regressão Grupo 2'!$B$7)&gt;100%,100%,_xlfn.NORM.INV(S11,D11,'Regressão Grupo 2'!$B$7)))</f>
        <v>1</v>
      </c>
      <c r="G11" s="41">
        <v>5.7624800874113659E-3</v>
      </c>
      <c r="H11" s="41">
        <v>2.2425240939733415E-2</v>
      </c>
      <c r="I11" s="40">
        <f t="shared" si="2"/>
        <v>0</v>
      </c>
      <c r="J11" s="40">
        <f t="shared" si="3"/>
        <v>448.50481879466832</v>
      </c>
      <c r="K11" s="36">
        <v>0.16734345544454143</v>
      </c>
      <c r="L11" s="42">
        <f t="shared" si="8"/>
        <v>0</v>
      </c>
      <c r="M11" s="42">
        <f t="shared" si="8"/>
        <v>20000</v>
      </c>
      <c r="N11" s="42">
        <f t="shared" si="4"/>
        <v>3346.8691088908286</v>
      </c>
      <c r="O11" s="36">
        <v>7.2642964607467322</v>
      </c>
      <c r="P11" s="42">
        <f t="shared" si="5"/>
        <v>15820.299863044622</v>
      </c>
      <c r="Q11" s="42"/>
      <c r="R11">
        <v>0.56508072145756405</v>
      </c>
      <c r="S11">
        <v>0.8248237556077761</v>
      </c>
      <c r="U11" s="36" t="s">
        <v>207</v>
      </c>
      <c r="V11" s="47">
        <f>1000-V10</f>
        <v>124</v>
      </c>
    </row>
    <row r="12" spans="1:22" x14ac:dyDescent="0.25">
      <c r="A12" s="40">
        <f t="shared" si="6"/>
        <v>0</v>
      </c>
      <c r="B12" s="40">
        <f t="shared" si="7"/>
        <v>50</v>
      </c>
      <c r="C12" s="41">
        <f t="shared" si="0"/>
        <v>1.0313000000000001</v>
      </c>
      <c r="D12" s="41">
        <f t="shared" si="1"/>
        <v>0.88000000000000012</v>
      </c>
      <c r="E12" s="39">
        <f>IF(_xlfn.NORM.INV(R12,C12,'Regressão Grupo 2'!$B$7)&lt;=0,0,IF(_xlfn.NORM.INV(R12,C12,'Regressão Grupo 2'!$B$7)&gt;100%,100%,_xlfn.NORM.INV(R12,C12,'Regressão Grupo 2'!$B$7)))</f>
        <v>1</v>
      </c>
      <c r="F12" s="39">
        <f>IF(_xlfn.NORM.INV(S12,D12,'Regressão Grupo 2'!$B$7)&lt;=0,0,IF(_xlfn.NORM.INV(S12,D12,'Regressão Grupo 2'!$B$7)&gt;100%,100%,_xlfn.NORM.INV(S12,D12,'Regressão Grupo 2'!$B$7)))</f>
        <v>0.76234739174354693</v>
      </c>
      <c r="G12" s="41">
        <v>1.7229234137935364E-2</v>
      </c>
      <c r="H12" s="41">
        <v>2.4015620750967924E-3</v>
      </c>
      <c r="I12" s="40">
        <f t="shared" si="2"/>
        <v>0</v>
      </c>
      <c r="J12" s="40">
        <f t="shared" si="3"/>
        <v>36.616491681205197</v>
      </c>
      <c r="K12" s="36">
        <v>0.23229832469776204</v>
      </c>
      <c r="L12" s="42">
        <f t="shared" si="8"/>
        <v>0</v>
      </c>
      <c r="M12" s="42">
        <f t="shared" si="8"/>
        <v>20000</v>
      </c>
      <c r="N12" s="42">
        <f t="shared" si="4"/>
        <v>4645.9664939552413</v>
      </c>
      <c r="O12" s="36">
        <v>5.3923892827277431</v>
      </c>
      <c r="P12" s="42">
        <f t="shared" si="5"/>
        <v>-3012.5922872078017</v>
      </c>
      <c r="Q12" s="42"/>
      <c r="R12">
        <v>0.78618732261116364</v>
      </c>
      <c r="S12">
        <v>0.19742423780022583</v>
      </c>
      <c r="U12" s="36" t="s">
        <v>208</v>
      </c>
      <c r="V12" s="45">
        <f>V10/1000</f>
        <v>0.876</v>
      </c>
    </row>
    <row r="13" spans="1:22" x14ac:dyDescent="0.25">
      <c r="A13" s="40">
        <f t="shared" si="6"/>
        <v>0</v>
      </c>
      <c r="B13" s="40">
        <f t="shared" si="7"/>
        <v>50</v>
      </c>
      <c r="C13" s="41">
        <f t="shared" si="0"/>
        <v>1.0313000000000001</v>
      </c>
      <c r="D13" s="41">
        <f t="shared" si="1"/>
        <v>0.88000000000000012</v>
      </c>
      <c r="E13" s="39">
        <f>IF(_xlfn.NORM.INV(R13,C13,'Regressão Grupo 2'!$B$7)&lt;=0,0,IF(_xlfn.NORM.INV(R13,C13,'Regressão Grupo 2'!$B$7)&gt;100%,100%,_xlfn.NORM.INV(R13,C13,'Regressão Grupo 2'!$B$7)))</f>
        <v>0.76310399526730588</v>
      </c>
      <c r="F13" s="39">
        <f>IF(_xlfn.NORM.INV(S13,D13,'Regressão Grupo 2'!$B$7)&lt;=0,0,IF(_xlfn.NORM.INV(S13,D13,'Regressão Grupo 2'!$B$7)&gt;100%,100%,_xlfn.NORM.INV(S13,D13,'Regressão Grupo 2'!$B$7)))</f>
        <v>0.53297830616036046</v>
      </c>
      <c r="G13" s="41">
        <v>2.1154932059640065E-2</v>
      </c>
      <c r="H13" s="41">
        <v>1.6268186296097439E-2</v>
      </c>
      <c r="I13" s="40">
        <f t="shared" si="2"/>
        <v>0</v>
      </c>
      <c r="J13" s="40">
        <f t="shared" si="3"/>
        <v>173.41180752790402</v>
      </c>
      <c r="K13" s="36">
        <v>0.1993260081703068</v>
      </c>
      <c r="L13" s="42">
        <f t="shared" si="8"/>
        <v>0</v>
      </c>
      <c r="M13" s="42">
        <f t="shared" si="8"/>
        <v>20000</v>
      </c>
      <c r="N13" s="42">
        <f t="shared" si="4"/>
        <v>3986.5201634061359</v>
      </c>
      <c r="O13" s="36">
        <v>6.8374702454676743</v>
      </c>
      <c r="P13" s="42">
        <f t="shared" si="5"/>
        <v>3498.3721388042541</v>
      </c>
      <c r="Q13" s="42"/>
      <c r="R13">
        <v>2.6215399639881589E-2</v>
      </c>
      <c r="S13">
        <v>6.0426648762474441E-3</v>
      </c>
      <c r="U13" s="36" t="s">
        <v>246</v>
      </c>
      <c r="V13" s="46">
        <f>_xlfn.STDEV.S(P5:P1004)</f>
        <v>5494.9478354538587</v>
      </c>
    </row>
    <row r="14" spans="1:22" x14ac:dyDescent="0.25">
      <c r="A14" s="40">
        <f t="shared" si="6"/>
        <v>0</v>
      </c>
      <c r="B14" s="40">
        <f t="shared" si="7"/>
        <v>50</v>
      </c>
      <c r="C14" s="41">
        <f t="shared" si="0"/>
        <v>1.0313000000000001</v>
      </c>
      <c r="D14" s="41">
        <f t="shared" si="1"/>
        <v>0.88000000000000012</v>
      </c>
      <c r="E14" s="39">
        <f>IF(_xlfn.NORM.INV(R14,C14,'Regressão Grupo 2'!$B$7)&lt;=0,0,IF(_xlfn.NORM.INV(R14,C14,'Regressão Grupo 2'!$B$7)&gt;100%,100%,_xlfn.NORM.INV(R14,C14,'Regressão Grupo 2'!$B$7)))</f>
        <v>0.91809856356951858</v>
      </c>
      <c r="F14" s="39">
        <f>IF(_xlfn.NORM.INV(S14,D14,'Regressão Grupo 2'!$B$7)&lt;=0,0,IF(_xlfn.NORM.INV(S14,D14,'Regressão Grupo 2'!$B$7)&gt;100%,100%,_xlfn.NORM.INV(S14,D14,'Regressão Grupo 2'!$B$7)))</f>
        <v>0.67547167472798997</v>
      </c>
      <c r="G14" s="41">
        <v>2.4250654672491285E-2</v>
      </c>
      <c r="H14" s="41">
        <v>1.9121335332978953E-2</v>
      </c>
      <c r="I14" s="40">
        <f t="shared" si="2"/>
        <v>0</v>
      </c>
      <c r="J14" s="40">
        <f t="shared" si="3"/>
        <v>258.3184080080556</v>
      </c>
      <c r="K14" s="36">
        <v>0.38544347440873572</v>
      </c>
      <c r="L14" s="42">
        <f t="shared" si="8"/>
        <v>0</v>
      </c>
      <c r="M14" s="42">
        <f t="shared" si="8"/>
        <v>20000</v>
      </c>
      <c r="N14" s="42">
        <f t="shared" si="4"/>
        <v>7708.8694881747142</v>
      </c>
      <c r="O14" s="36">
        <v>7.9049082111171387</v>
      </c>
      <c r="P14" s="42">
        <f t="shared" si="5"/>
        <v>3165.0676076824802</v>
      </c>
      <c r="Q14" s="42"/>
      <c r="R14">
        <v>0.20648823511459699</v>
      </c>
      <c r="S14">
        <v>6.9551683095797595E-2</v>
      </c>
      <c r="U14" s="36" t="s">
        <v>247</v>
      </c>
      <c r="V14" s="46">
        <f>V7/V13</f>
        <v>1.2419946879673982</v>
      </c>
    </row>
    <row r="15" spans="1:22" x14ac:dyDescent="0.25">
      <c r="A15" s="40">
        <f t="shared" si="6"/>
        <v>0</v>
      </c>
      <c r="B15" s="40">
        <f t="shared" si="7"/>
        <v>50</v>
      </c>
      <c r="C15" s="41">
        <f t="shared" si="0"/>
        <v>1.0313000000000001</v>
      </c>
      <c r="D15" s="41">
        <f t="shared" si="1"/>
        <v>0.88000000000000012</v>
      </c>
      <c r="E15" s="39">
        <f>IF(_xlfn.NORM.INV(R15,C15,'Regressão Grupo 2'!$B$7)&lt;=0,0,IF(_xlfn.NORM.INV(R15,C15,'Regressão Grupo 2'!$B$7)&gt;100%,100%,_xlfn.NORM.INV(R15,C15,'Regressão Grupo 2'!$B$7)))</f>
        <v>1</v>
      </c>
      <c r="F15" s="39">
        <f>IF(_xlfn.NORM.INV(S15,D15,'Regressão Grupo 2'!$B$7)&lt;=0,0,IF(_xlfn.NORM.INV(S15,D15,'Regressão Grupo 2'!$B$7)&gt;100%,100%,_xlfn.NORM.INV(S15,D15,'Regressão Grupo 2'!$B$7)))</f>
        <v>1</v>
      </c>
      <c r="G15" s="41">
        <v>1.1128616345299366E-2</v>
      </c>
      <c r="H15" s="41">
        <v>1.9709306175410557E-2</v>
      </c>
      <c r="I15" s="40">
        <f t="shared" si="2"/>
        <v>0</v>
      </c>
      <c r="J15" s="40">
        <f t="shared" si="3"/>
        <v>394.18612350821115</v>
      </c>
      <c r="K15" s="36">
        <v>0.32220894512111614</v>
      </c>
      <c r="L15" s="42">
        <f t="shared" si="8"/>
        <v>0</v>
      </c>
      <c r="M15" s="42">
        <f t="shared" si="8"/>
        <v>20000</v>
      </c>
      <c r="N15" s="42">
        <f t="shared" si="4"/>
        <v>6444.1789024223226</v>
      </c>
      <c r="O15" s="36">
        <v>9.5830106728685838</v>
      </c>
      <c r="P15" s="42">
        <f t="shared" si="5"/>
        <v>9487.6374443123532</v>
      </c>
      <c r="Q15" s="42"/>
      <c r="R15">
        <v>0.93450727866451</v>
      </c>
      <c r="S15">
        <v>0.93600268562883393</v>
      </c>
      <c r="U15" s="49" t="s">
        <v>250</v>
      </c>
      <c r="V15" s="47">
        <f>L5</f>
        <v>0</v>
      </c>
    </row>
    <row r="16" spans="1:22" x14ac:dyDescent="0.25">
      <c r="A16" s="40">
        <f t="shared" si="6"/>
        <v>0</v>
      </c>
      <c r="B16" s="40">
        <f t="shared" si="7"/>
        <v>50</v>
      </c>
      <c r="C16" s="41">
        <f t="shared" si="0"/>
        <v>1.0313000000000001</v>
      </c>
      <c r="D16" s="41">
        <f t="shared" si="1"/>
        <v>0.88000000000000012</v>
      </c>
      <c r="E16" s="39">
        <f>IF(_xlfn.NORM.INV(R16,C16,'Regressão Grupo 2'!$B$7)&lt;=0,0,IF(_xlfn.NORM.INV(R16,C16,'Regressão Grupo 2'!$B$7)&gt;100%,100%,_xlfn.NORM.INV(R16,C16,'Regressão Grupo 2'!$B$7)))</f>
        <v>1</v>
      </c>
      <c r="F16" s="39">
        <f>IF(_xlfn.NORM.INV(S16,D16,'Regressão Grupo 2'!$B$7)&lt;=0,0,IF(_xlfn.NORM.INV(S16,D16,'Regressão Grupo 2'!$B$7)&gt;100%,100%,_xlfn.NORM.INV(S16,D16,'Regressão Grupo 2'!$B$7)))</f>
        <v>0.84251819650223359</v>
      </c>
      <c r="G16" s="41">
        <v>1.8949817239891604E-2</v>
      </c>
      <c r="H16" s="41">
        <v>2.5131616166923158E-2</v>
      </c>
      <c r="I16" s="40">
        <f t="shared" si="2"/>
        <v>0</v>
      </c>
      <c r="J16" s="40">
        <f t="shared" si="3"/>
        <v>423.47687856284955</v>
      </c>
      <c r="K16" s="36">
        <v>0.28608109515231117</v>
      </c>
      <c r="L16" s="42">
        <f t="shared" si="8"/>
        <v>0</v>
      </c>
      <c r="M16" s="42">
        <f t="shared" si="8"/>
        <v>20000</v>
      </c>
      <c r="N16" s="42">
        <f t="shared" si="4"/>
        <v>5721.6219030462235</v>
      </c>
      <c r="O16" s="36">
        <v>7.1705448515276515</v>
      </c>
      <c r="P16" s="42">
        <f t="shared" si="5"/>
        <v>12415.66207377641</v>
      </c>
      <c r="Q16" s="42"/>
      <c r="R16">
        <v>0.76717429120761738</v>
      </c>
      <c r="S16">
        <v>0.39316995757927181</v>
      </c>
      <c r="U16" s="49" t="s">
        <v>251</v>
      </c>
      <c r="V16" s="47">
        <f>M5</f>
        <v>20000</v>
      </c>
    </row>
    <row r="17" spans="1:22" x14ac:dyDescent="0.25">
      <c r="A17" s="40">
        <f t="shared" si="6"/>
        <v>0</v>
      </c>
      <c r="B17" s="40">
        <f t="shared" si="7"/>
        <v>50</v>
      </c>
      <c r="C17" s="41">
        <f t="shared" si="0"/>
        <v>1.0313000000000001</v>
      </c>
      <c r="D17" s="41">
        <f t="shared" si="1"/>
        <v>0.88000000000000012</v>
      </c>
      <c r="E17" s="39">
        <f>IF(_xlfn.NORM.INV(R17,C17,'Regressão Grupo 2'!$B$7)&lt;=0,0,IF(_xlfn.NORM.INV(R17,C17,'Regressão Grupo 2'!$B$7)&gt;100%,100%,_xlfn.NORM.INV(R17,C17,'Regressão Grupo 2'!$B$7)))</f>
        <v>1</v>
      </c>
      <c r="F17" s="39">
        <f>IF(_xlfn.NORM.INV(S17,D17,'Regressão Grupo 2'!$B$7)&lt;=0,0,IF(_xlfn.NORM.INV(S17,D17,'Regressão Grupo 2'!$B$7)&gt;100%,100%,_xlfn.NORM.INV(S17,D17,'Regressão Grupo 2'!$B$7)))</f>
        <v>0.87222646682420912</v>
      </c>
      <c r="G17" s="41">
        <v>2.4111115568590552E-2</v>
      </c>
      <c r="H17" s="41">
        <v>1.1758716333064726E-2</v>
      </c>
      <c r="I17" s="40">
        <f t="shared" si="2"/>
        <v>0</v>
      </c>
      <c r="J17" s="40">
        <f t="shared" si="3"/>
        <v>205.12527203154332</v>
      </c>
      <c r="K17" s="36">
        <v>0.35288253668656533</v>
      </c>
      <c r="L17" s="42">
        <f t="shared" si="8"/>
        <v>0</v>
      </c>
      <c r="M17" s="42">
        <f t="shared" si="8"/>
        <v>20000</v>
      </c>
      <c r="N17" s="42">
        <f t="shared" si="4"/>
        <v>7057.6507337313069</v>
      </c>
      <c r="O17" s="36">
        <v>4.980666477749061</v>
      </c>
      <c r="P17" s="42">
        <f t="shared" si="5"/>
        <v>2176.9523016991934</v>
      </c>
      <c r="Q17" s="42"/>
      <c r="R17">
        <v>0.77709280678731651</v>
      </c>
      <c r="S17">
        <v>0.47758415478988009</v>
      </c>
      <c r="U17" s="49" t="s">
        <v>252</v>
      </c>
      <c r="V17" s="46">
        <f>A5</f>
        <v>0</v>
      </c>
    </row>
    <row r="18" spans="1:22" x14ac:dyDescent="0.25">
      <c r="A18" s="40">
        <f t="shared" si="6"/>
        <v>0</v>
      </c>
      <c r="B18" s="40">
        <f t="shared" si="7"/>
        <v>50</v>
      </c>
      <c r="C18" s="41">
        <f t="shared" si="0"/>
        <v>1.0313000000000001</v>
      </c>
      <c r="D18" s="41">
        <f t="shared" si="1"/>
        <v>0.88000000000000012</v>
      </c>
      <c r="E18" s="39">
        <f>IF(_xlfn.NORM.INV(R18,C18,'Regressão Grupo 2'!$B$7)&lt;=0,0,IF(_xlfn.NORM.INV(R18,C18,'Regressão Grupo 2'!$B$7)&gt;100%,100%,_xlfn.NORM.INV(R18,C18,'Regressão Grupo 2'!$B$7)))</f>
        <v>0.9979936547255569</v>
      </c>
      <c r="F18" s="39">
        <f>IF(_xlfn.NORM.INV(S18,D18,'Regressão Grupo 2'!$B$7)&lt;=0,0,IF(_xlfn.NORM.INV(S18,D18,'Regressão Grupo 2'!$B$7)&gt;100%,100%,_xlfn.NORM.INV(S18,D18,'Regressão Grupo 2'!$B$7)))</f>
        <v>0.79962342528918906</v>
      </c>
      <c r="G18" s="41">
        <v>1.8848850983223257E-2</v>
      </c>
      <c r="H18" s="41">
        <v>1.7940446206288152E-2</v>
      </c>
      <c r="I18" s="40">
        <f t="shared" si="2"/>
        <v>0</v>
      </c>
      <c r="J18" s="40">
        <f t="shared" si="3"/>
        <v>286.91202093377137</v>
      </c>
      <c r="K18" s="36">
        <v>0.38489877926092619</v>
      </c>
      <c r="L18" s="42">
        <f t="shared" si="8"/>
        <v>0</v>
      </c>
      <c r="M18" s="42">
        <f t="shared" si="8"/>
        <v>20000</v>
      </c>
      <c r="N18" s="42">
        <f t="shared" si="4"/>
        <v>7697.9755852185235</v>
      </c>
      <c r="O18" s="36">
        <v>7.4544578905681664</v>
      </c>
      <c r="P18" s="42">
        <f t="shared" si="5"/>
        <v>4508.8518831214342</v>
      </c>
      <c r="Q18" s="42"/>
      <c r="R18">
        <v>0.40482802819910274</v>
      </c>
      <c r="S18">
        <v>0.28052613910336621</v>
      </c>
      <c r="T18" s="42"/>
      <c r="U18" s="50" t="s">
        <v>253</v>
      </c>
      <c r="V18" s="46">
        <f>B5</f>
        <v>50</v>
      </c>
    </row>
    <row r="19" spans="1:22" x14ac:dyDescent="0.25">
      <c r="A19" s="40">
        <f t="shared" si="6"/>
        <v>0</v>
      </c>
      <c r="B19" s="40">
        <f t="shared" si="7"/>
        <v>50</v>
      </c>
      <c r="C19" s="41">
        <f t="shared" si="0"/>
        <v>1.0313000000000001</v>
      </c>
      <c r="D19" s="41">
        <f t="shared" si="1"/>
        <v>0.88000000000000012</v>
      </c>
      <c r="E19" s="39">
        <f>IF(_xlfn.NORM.INV(R19,C19,'Regressão Grupo 2'!$B$7)&lt;=0,0,IF(_xlfn.NORM.INV(R19,C19,'Regressão Grupo 2'!$B$7)&gt;100%,100%,_xlfn.NORM.INV(R19,C19,'Regressão Grupo 2'!$B$7)))</f>
        <v>1</v>
      </c>
      <c r="F19" s="39">
        <f>IF(_xlfn.NORM.INV(S19,D19,'Regressão Grupo 2'!$B$7)&lt;=0,0,IF(_xlfn.NORM.INV(S19,D19,'Regressão Grupo 2'!$B$7)&gt;100%,100%,_xlfn.NORM.INV(S19,D19,'Regressão Grupo 2'!$B$7)))</f>
        <v>0.97042639445066703</v>
      </c>
      <c r="G19" s="41">
        <v>6.3983160992518041E-3</v>
      </c>
      <c r="H19" s="41">
        <v>1.3997516531017291E-2</v>
      </c>
      <c r="I19" s="40">
        <f t="shared" si="2"/>
        <v>0</v>
      </c>
      <c r="J19" s="40">
        <f t="shared" si="3"/>
        <v>271.67118996917435</v>
      </c>
      <c r="K19" s="36">
        <v>0.28346302329306716</v>
      </c>
      <c r="L19" s="42">
        <f t="shared" si="8"/>
        <v>0</v>
      </c>
      <c r="M19" s="42">
        <f t="shared" si="8"/>
        <v>20000</v>
      </c>
      <c r="N19" s="42">
        <f t="shared" si="4"/>
        <v>5669.2604658613436</v>
      </c>
      <c r="O19" s="36">
        <v>5.2553099188472956</v>
      </c>
      <c r="P19" s="42">
        <f t="shared" si="5"/>
        <v>6486.5827332873232</v>
      </c>
      <c r="Q19" s="42"/>
      <c r="R19">
        <v>0.95028534806360054</v>
      </c>
      <c r="S19">
        <v>0.74343089083529157</v>
      </c>
      <c r="T19" s="42"/>
      <c r="U19" s="42"/>
    </row>
    <row r="20" spans="1:22" x14ac:dyDescent="0.25">
      <c r="A20" s="40">
        <f t="shared" si="6"/>
        <v>0</v>
      </c>
      <c r="B20" s="40">
        <f t="shared" si="7"/>
        <v>50</v>
      </c>
      <c r="C20" s="41">
        <f t="shared" si="0"/>
        <v>1.0313000000000001</v>
      </c>
      <c r="D20" s="41">
        <f t="shared" si="1"/>
        <v>0.88000000000000012</v>
      </c>
      <c r="E20" s="39">
        <f>IF(_xlfn.NORM.INV(R20,C20,'Regressão Grupo 2'!$B$7)&lt;=0,0,IF(_xlfn.NORM.INV(R20,C20,'Regressão Grupo 2'!$B$7)&gt;100%,100%,_xlfn.NORM.INV(R20,C20,'Regressão Grupo 2'!$B$7)))</f>
        <v>0.98840005978708134</v>
      </c>
      <c r="F20" s="39">
        <f>IF(_xlfn.NORM.INV(S20,D20,'Regressão Grupo 2'!$B$7)&lt;=0,0,IF(_xlfn.NORM.INV(S20,D20,'Regressão Grupo 2'!$B$7)&gt;100%,100%,_xlfn.NORM.INV(S20,D20,'Regressão Grupo 2'!$B$7)))</f>
        <v>0.93971374240433614</v>
      </c>
      <c r="G20" s="41">
        <v>2.0436539903855726E-2</v>
      </c>
      <c r="H20" s="41">
        <v>2.2199210742387215E-2</v>
      </c>
      <c r="I20" s="40">
        <f t="shared" si="2"/>
        <v>0</v>
      </c>
      <c r="J20" s="40">
        <f t="shared" si="3"/>
        <v>417.21806810302462</v>
      </c>
      <c r="K20" s="36">
        <v>0.27803332998283731</v>
      </c>
      <c r="L20" s="42">
        <f t="shared" si="8"/>
        <v>0</v>
      </c>
      <c r="M20" s="42">
        <f t="shared" si="8"/>
        <v>20000</v>
      </c>
      <c r="N20" s="42">
        <f t="shared" si="4"/>
        <v>5560.6665996567463</v>
      </c>
      <c r="O20" s="36">
        <v>7.4464528498140528</v>
      </c>
      <c r="P20" s="42">
        <f t="shared" si="5"/>
        <v>12193.442133274802</v>
      </c>
      <c r="Q20" s="42"/>
      <c r="R20">
        <v>0.37818536942655723</v>
      </c>
      <c r="S20">
        <v>0.66707358012634665</v>
      </c>
      <c r="T20" s="42"/>
      <c r="U20" s="42"/>
    </row>
    <row r="21" spans="1:22" x14ac:dyDescent="0.25">
      <c r="A21" s="40">
        <f t="shared" si="6"/>
        <v>0</v>
      </c>
      <c r="B21" s="40">
        <f t="shared" si="7"/>
        <v>50</v>
      </c>
      <c r="C21" s="41">
        <f t="shared" si="0"/>
        <v>1.0313000000000001</v>
      </c>
      <c r="D21" s="41">
        <f t="shared" si="1"/>
        <v>0.88000000000000012</v>
      </c>
      <c r="E21" s="39">
        <f>IF(_xlfn.NORM.INV(R21,C21,'Regressão Grupo 2'!$B$7)&lt;=0,0,IF(_xlfn.NORM.INV(R21,C21,'Regressão Grupo 2'!$B$7)&gt;100%,100%,_xlfn.NORM.INV(R21,C21,'Regressão Grupo 2'!$B$7)))</f>
        <v>0.72484486832641548</v>
      </c>
      <c r="F21" s="39">
        <f>IF(_xlfn.NORM.INV(S21,D21,'Regressão Grupo 2'!$B$7)&lt;=0,0,IF(_xlfn.NORM.INV(S21,D21,'Regressão Grupo 2'!$B$7)&gt;100%,100%,_xlfn.NORM.INV(S21,D21,'Regressão Grupo 2'!$B$7)))</f>
        <v>0.86552955899125283</v>
      </c>
      <c r="G21" s="41">
        <v>2.0290501867706132E-2</v>
      </c>
      <c r="H21" s="41">
        <v>2.1348311748319679E-2</v>
      </c>
      <c r="I21" s="40">
        <f t="shared" si="2"/>
        <v>0</v>
      </c>
      <c r="J21" s="40">
        <f t="shared" si="3"/>
        <v>369.55189705461828</v>
      </c>
      <c r="K21" s="36">
        <v>0.3100862357436831</v>
      </c>
      <c r="L21" s="42">
        <f t="shared" si="8"/>
        <v>0</v>
      </c>
      <c r="M21" s="42">
        <f t="shared" si="8"/>
        <v>20000</v>
      </c>
      <c r="N21" s="42">
        <f t="shared" si="4"/>
        <v>6201.7247148736624</v>
      </c>
      <c r="O21" s="36">
        <v>9.1258152826877961</v>
      </c>
      <c r="P21" s="42">
        <f t="shared" si="5"/>
        <v>8903.4077879699507</v>
      </c>
      <c r="Q21" s="42"/>
      <c r="R21">
        <v>1.3336588641010774E-2</v>
      </c>
      <c r="S21">
        <v>0.45832697531052585</v>
      </c>
      <c r="T21" s="42"/>
      <c r="U21" s="42"/>
    </row>
    <row r="22" spans="1:22" x14ac:dyDescent="0.25">
      <c r="A22" s="40">
        <f t="shared" si="6"/>
        <v>0</v>
      </c>
      <c r="B22" s="40">
        <f t="shared" si="7"/>
        <v>50</v>
      </c>
      <c r="C22" s="41">
        <f t="shared" si="0"/>
        <v>1.0313000000000001</v>
      </c>
      <c r="D22" s="41">
        <f t="shared" si="1"/>
        <v>0.88000000000000012</v>
      </c>
      <c r="E22" s="39">
        <f>IF(_xlfn.NORM.INV(R22,C22,'Regressão Grupo 2'!$B$7)&lt;=0,0,IF(_xlfn.NORM.INV(R22,C22,'Regressão Grupo 2'!$B$7)&gt;100%,100%,_xlfn.NORM.INV(R22,C22,'Regressão Grupo 2'!$B$7)))</f>
        <v>1</v>
      </c>
      <c r="F22" s="39">
        <f>IF(_xlfn.NORM.INV(S22,D22,'Regressão Grupo 2'!$B$7)&lt;=0,0,IF(_xlfn.NORM.INV(S22,D22,'Regressão Grupo 2'!$B$7)&gt;100%,100%,_xlfn.NORM.INV(S22,D22,'Regressão Grupo 2'!$B$7)))</f>
        <v>1</v>
      </c>
      <c r="G22" s="41">
        <v>1.7278900566226049E-2</v>
      </c>
      <c r="H22" s="41">
        <v>1.2086190455920586E-2</v>
      </c>
      <c r="I22" s="40">
        <f t="shared" si="2"/>
        <v>0</v>
      </c>
      <c r="J22" s="40">
        <f t="shared" si="3"/>
        <v>241.72380911841174</v>
      </c>
      <c r="K22" s="36">
        <v>0.33960892191940212</v>
      </c>
      <c r="L22" s="42">
        <f t="shared" si="8"/>
        <v>0</v>
      </c>
      <c r="M22" s="42">
        <f t="shared" si="8"/>
        <v>20000</v>
      </c>
      <c r="N22" s="42">
        <f t="shared" si="4"/>
        <v>6792.1784383880422</v>
      </c>
      <c r="O22" s="36">
        <v>7.9292114277465338</v>
      </c>
      <c r="P22" s="42">
        <f t="shared" si="5"/>
        <v>3377.3328279124125</v>
      </c>
      <c r="Q22" s="42"/>
      <c r="R22">
        <v>0.80410168767357404</v>
      </c>
      <c r="S22">
        <v>0.82775353251747186</v>
      </c>
      <c r="T22" s="42"/>
      <c r="U22" s="42"/>
    </row>
    <row r="23" spans="1:22" x14ac:dyDescent="0.25">
      <c r="A23" s="40">
        <f t="shared" si="6"/>
        <v>0</v>
      </c>
      <c r="B23" s="40">
        <f t="shared" si="7"/>
        <v>50</v>
      </c>
      <c r="C23" s="41">
        <f t="shared" si="0"/>
        <v>1.0313000000000001</v>
      </c>
      <c r="D23" s="41">
        <f t="shared" si="1"/>
        <v>0.88000000000000012</v>
      </c>
      <c r="E23" s="39">
        <f>IF(_xlfn.NORM.INV(R23,C23,'Regressão Grupo 2'!$B$7)&lt;=0,0,IF(_xlfn.NORM.INV(R23,C23,'Regressão Grupo 2'!$B$7)&gt;100%,100%,_xlfn.NORM.INV(R23,C23,'Regressão Grupo 2'!$B$7)))</f>
        <v>1</v>
      </c>
      <c r="F23" s="39">
        <f>IF(_xlfn.NORM.INV(S23,D23,'Regressão Grupo 2'!$B$7)&lt;=0,0,IF(_xlfn.NORM.INV(S23,D23,'Regressão Grupo 2'!$B$7)&gt;100%,100%,_xlfn.NORM.INV(S23,D23,'Regressão Grupo 2'!$B$7)))</f>
        <v>1</v>
      </c>
      <c r="G23" s="41">
        <v>1.8681493540223224E-2</v>
      </c>
      <c r="H23" s="41">
        <v>1.2164103719240886E-2</v>
      </c>
      <c r="I23" s="40">
        <f t="shared" si="2"/>
        <v>0</v>
      </c>
      <c r="J23" s="40">
        <f t="shared" si="3"/>
        <v>243.28207438481772</v>
      </c>
      <c r="K23" s="36">
        <v>0.20174541727379303</v>
      </c>
      <c r="L23" s="42">
        <f t="shared" ref="L23:M38" si="9">L22</f>
        <v>0</v>
      </c>
      <c r="M23" s="42">
        <f t="shared" si="9"/>
        <v>20000</v>
      </c>
      <c r="N23" s="42">
        <f t="shared" si="4"/>
        <v>4034.9083454758606</v>
      </c>
      <c r="O23" s="36">
        <v>5.5394826567692714</v>
      </c>
      <c r="P23" s="42">
        <f t="shared" si="5"/>
        <v>6781.5385420074763</v>
      </c>
      <c r="Q23" s="42"/>
      <c r="R23">
        <v>0.76500747703482164</v>
      </c>
      <c r="S23">
        <v>0.85576952421643726</v>
      </c>
      <c r="T23" s="42"/>
      <c r="U23" s="42"/>
    </row>
    <row r="24" spans="1:22" x14ac:dyDescent="0.25">
      <c r="A24" s="40">
        <f t="shared" si="6"/>
        <v>0</v>
      </c>
      <c r="B24" s="40">
        <f t="shared" si="7"/>
        <v>50</v>
      </c>
      <c r="C24" s="41">
        <f t="shared" si="0"/>
        <v>1.0313000000000001</v>
      </c>
      <c r="D24" s="41">
        <f t="shared" si="1"/>
        <v>0.88000000000000012</v>
      </c>
      <c r="E24" s="39">
        <f>IF(_xlfn.NORM.INV(R24,C24,'Regressão Grupo 2'!$B$7)&lt;=0,0,IF(_xlfn.NORM.INV(R24,C24,'Regressão Grupo 2'!$B$7)&gt;100%,100%,_xlfn.NORM.INV(R24,C24,'Regressão Grupo 2'!$B$7)))</f>
        <v>1</v>
      </c>
      <c r="F24" s="39">
        <f>IF(_xlfn.NORM.INV(S24,D24,'Regressão Grupo 2'!$B$7)&lt;=0,0,IF(_xlfn.NORM.INV(S24,D24,'Regressão Grupo 2'!$B$7)&gt;100%,100%,_xlfn.NORM.INV(S24,D24,'Regressão Grupo 2'!$B$7)))</f>
        <v>0.94938768465211187</v>
      </c>
      <c r="G24" s="41">
        <v>1.3475365627049004E-2</v>
      </c>
      <c r="H24" s="41">
        <v>1.6071211949659672E-2</v>
      </c>
      <c r="I24" s="40">
        <f t="shared" si="2"/>
        <v>0</v>
      </c>
      <c r="J24" s="40">
        <f t="shared" si="3"/>
        <v>305.156214048815</v>
      </c>
      <c r="K24" s="36">
        <v>0.24646013796885138</v>
      </c>
      <c r="L24" s="42">
        <f t="shared" si="9"/>
        <v>0</v>
      </c>
      <c r="M24" s="42">
        <f t="shared" si="9"/>
        <v>20000</v>
      </c>
      <c r="N24" s="42">
        <f t="shared" si="4"/>
        <v>4929.2027593770281</v>
      </c>
      <c r="O24" s="36">
        <v>7.5035199938134332</v>
      </c>
      <c r="P24" s="42">
        <f t="shared" si="5"/>
        <v>8038.8621897120274</v>
      </c>
      <c r="Q24" s="42"/>
      <c r="R24">
        <v>0.59419537949766532</v>
      </c>
      <c r="S24">
        <v>0.69209875789666431</v>
      </c>
      <c r="T24" s="42"/>
      <c r="U24" s="42"/>
    </row>
    <row r="25" spans="1:22" x14ac:dyDescent="0.25">
      <c r="A25" s="40">
        <f t="shared" si="6"/>
        <v>0</v>
      </c>
      <c r="B25" s="40">
        <f t="shared" si="7"/>
        <v>50</v>
      </c>
      <c r="C25" s="41">
        <f t="shared" si="0"/>
        <v>1.0313000000000001</v>
      </c>
      <c r="D25" s="41">
        <f t="shared" si="1"/>
        <v>0.88000000000000012</v>
      </c>
      <c r="E25" s="39">
        <f>IF(_xlfn.NORM.INV(R25,C25,'Regressão Grupo 2'!$B$7)&lt;=0,0,IF(_xlfn.NORM.INV(R25,C25,'Regressão Grupo 2'!$B$7)&gt;100%,100%,_xlfn.NORM.INV(R25,C25,'Regressão Grupo 2'!$B$7)))</f>
        <v>1</v>
      </c>
      <c r="F25" s="39">
        <f>IF(_xlfn.NORM.INV(S25,D25,'Regressão Grupo 2'!$B$7)&lt;=0,0,IF(_xlfn.NORM.INV(S25,D25,'Regressão Grupo 2'!$B$7)&gt;100%,100%,_xlfn.NORM.INV(S25,D25,'Regressão Grupo 2'!$B$7)))</f>
        <v>0.97904118417090247</v>
      </c>
      <c r="G25" s="41">
        <v>2.6767565217288798E-2</v>
      </c>
      <c r="H25" s="41">
        <v>1.3053552437821216E-2</v>
      </c>
      <c r="I25" s="40">
        <f t="shared" si="2"/>
        <v>0</v>
      </c>
      <c r="J25" s="40">
        <f t="shared" si="3"/>
        <v>255.5993087272291</v>
      </c>
      <c r="K25" s="36">
        <v>0.32312785605859468</v>
      </c>
      <c r="L25" s="42">
        <f t="shared" si="9"/>
        <v>0</v>
      </c>
      <c r="M25" s="42">
        <f t="shared" si="9"/>
        <v>20000</v>
      </c>
      <c r="N25" s="42">
        <f t="shared" si="4"/>
        <v>6462.5571211718934</v>
      </c>
      <c r="O25" s="36">
        <v>4.1627907028389615</v>
      </c>
      <c r="P25" s="42">
        <f t="shared" si="5"/>
        <v>5253.401889167787</v>
      </c>
      <c r="Q25" s="42"/>
      <c r="R25">
        <v>0.92309335612048704</v>
      </c>
      <c r="S25">
        <v>0.76308481093783376</v>
      </c>
      <c r="T25" s="42"/>
      <c r="U25" s="42"/>
    </row>
    <row r="26" spans="1:22" x14ac:dyDescent="0.25">
      <c r="A26" s="40">
        <f t="shared" si="6"/>
        <v>0</v>
      </c>
      <c r="B26" s="40">
        <f t="shared" si="7"/>
        <v>50</v>
      </c>
      <c r="C26" s="41">
        <f t="shared" si="0"/>
        <v>1.0313000000000001</v>
      </c>
      <c r="D26" s="41">
        <f t="shared" si="1"/>
        <v>0.88000000000000012</v>
      </c>
      <c r="E26" s="39">
        <f>IF(_xlfn.NORM.INV(R26,C26,'Regressão Grupo 2'!$B$7)&lt;=0,0,IF(_xlfn.NORM.INV(R26,C26,'Regressão Grupo 2'!$B$7)&gt;100%,100%,_xlfn.NORM.INV(R26,C26,'Regressão Grupo 2'!$B$7)))</f>
        <v>1</v>
      </c>
      <c r="F26" s="39">
        <f>IF(_xlfn.NORM.INV(S26,D26,'Regressão Grupo 2'!$B$7)&lt;=0,0,IF(_xlfn.NORM.INV(S26,D26,'Regressão Grupo 2'!$B$7)&gt;100%,100%,_xlfn.NORM.INV(S26,D26,'Regressão Grupo 2'!$B$7)))</f>
        <v>1</v>
      </c>
      <c r="G26" s="41">
        <v>1.4465775186052023E-2</v>
      </c>
      <c r="H26" s="41">
        <v>2.2728917110685264E-2</v>
      </c>
      <c r="I26" s="40">
        <f t="shared" si="2"/>
        <v>0</v>
      </c>
      <c r="J26" s="40">
        <f t="shared" si="3"/>
        <v>454.5783422137053</v>
      </c>
      <c r="K26" s="36">
        <v>0.38093936791470984</v>
      </c>
      <c r="L26" s="42">
        <f t="shared" si="9"/>
        <v>0</v>
      </c>
      <c r="M26" s="42">
        <f t="shared" si="9"/>
        <v>20000</v>
      </c>
      <c r="N26" s="42">
        <f t="shared" si="4"/>
        <v>7618.7873582941966</v>
      </c>
      <c r="O26" s="36">
        <v>5.2304738844763294</v>
      </c>
      <c r="P26" s="42">
        <f t="shared" si="5"/>
        <v>12732.469604993741</v>
      </c>
      <c r="Q26" s="42"/>
      <c r="R26">
        <v>0.82332834864345228</v>
      </c>
      <c r="S26">
        <v>0.86428418836024046</v>
      </c>
      <c r="T26" s="42"/>
      <c r="U26" s="42"/>
    </row>
    <row r="27" spans="1:22" x14ac:dyDescent="0.25">
      <c r="A27" s="40">
        <f t="shared" si="6"/>
        <v>0</v>
      </c>
      <c r="B27" s="40">
        <f t="shared" si="7"/>
        <v>50</v>
      </c>
      <c r="C27" s="41">
        <f t="shared" si="0"/>
        <v>1.0313000000000001</v>
      </c>
      <c r="D27" s="41">
        <f t="shared" si="1"/>
        <v>0.88000000000000012</v>
      </c>
      <c r="E27" s="39">
        <f>IF(_xlfn.NORM.INV(R27,C27,'Regressão Grupo 2'!$B$7)&lt;=0,0,IF(_xlfn.NORM.INV(R27,C27,'Regressão Grupo 2'!$B$7)&gt;100%,100%,_xlfn.NORM.INV(R27,C27,'Regressão Grupo 2'!$B$7)))</f>
        <v>1</v>
      </c>
      <c r="F27" s="39">
        <f>IF(_xlfn.NORM.INV(S27,D27,'Regressão Grupo 2'!$B$7)&lt;=0,0,IF(_xlfn.NORM.INV(S27,D27,'Regressão Grupo 2'!$B$7)&gt;100%,100%,_xlfn.NORM.INV(S27,D27,'Regressão Grupo 2'!$B$7)))</f>
        <v>0.62594534579534422</v>
      </c>
      <c r="G27" s="41">
        <v>2.047763488147987E-2</v>
      </c>
      <c r="H27" s="41">
        <v>2.0552764709660158E-2</v>
      </c>
      <c r="I27" s="40">
        <f t="shared" si="2"/>
        <v>0</v>
      </c>
      <c r="J27" s="40">
        <f t="shared" si="3"/>
        <v>257.2981482647715</v>
      </c>
      <c r="K27" s="36">
        <v>0.45159430779125243</v>
      </c>
      <c r="L27" s="42">
        <f t="shared" si="9"/>
        <v>0</v>
      </c>
      <c r="M27" s="42">
        <f t="shared" si="9"/>
        <v>20000</v>
      </c>
      <c r="N27" s="42">
        <f t="shared" si="4"/>
        <v>9031.8861558250483</v>
      </c>
      <c r="O27" s="36">
        <v>6.5664250311219998</v>
      </c>
      <c r="P27" s="42">
        <f t="shared" si="5"/>
        <v>2143.4922561863932</v>
      </c>
      <c r="Q27" s="42"/>
      <c r="R27">
        <v>0.68913846247749255</v>
      </c>
      <c r="S27">
        <v>3.308206427198096E-2</v>
      </c>
      <c r="T27" s="42"/>
      <c r="U27" s="42"/>
    </row>
    <row r="28" spans="1:22" x14ac:dyDescent="0.25">
      <c r="A28" s="40">
        <f t="shared" si="6"/>
        <v>0</v>
      </c>
      <c r="B28" s="40">
        <f t="shared" si="7"/>
        <v>50</v>
      </c>
      <c r="C28" s="41">
        <f t="shared" si="0"/>
        <v>1.0313000000000001</v>
      </c>
      <c r="D28" s="41">
        <f t="shared" si="1"/>
        <v>0.88000000000000012</v>
      </c>
      <c r="E28" s="39">
        <f>IF(_xlfn.NORM.INV(R28,C28,'Regressão Grupo 2'!$B$7)&lt;=0,0,IF(_xlfn.NORM.INV(R28,C28,'Regressão Grupo 2'!$B$7)&gt;100%,100%,_xlfn.NORM.INV(R28,C28,'Regressão Grupo 2'!$B$7)))</f>
        <v>0.81698301864851952</v>
      </c>
      <c r="F28" s="39">
        <f>IF(_xlfn.NORM.INV(S28,D28,'Regressão Grupo 2'!$B$7)&lt;=0,0,IF(_xlfn.NORM.INV(S28,D28,'Regressão Grupo 2'!$B$7)&gt;100%,100%,_xlfn.NORM.INV(S28,D28,'Regressão Grupo 2'!$B$7)))</f>
        <v>0.97529051712339632</v>
      </c>
      <c r="G28" s="41">
        <v>9.6681056157452375E-3</v>
      </c>
      <c r="H28" s="41">
        <v>1.9979297234430444E-2</v>
      </c>
      <c r="I28" s="40">
        <f t="shared" si="2"/>
        <v>0</v>
      </c>
      <c r="J28" s="40">
        <f t="shared" si="3"/>
        <v>389.71238263059422</v>
      </c>
      <c r="K28" s="36">
        <v>0.27763922858916168</v>
      </c>
      <c r="L28" s="42">
        <f t="shared" si="9"/>
        <v>0</v>
      </c>
      <c r="M28" s="42">
        <f t="shared" si="9"/>
        <v>20000</v>
      </c>
      <c r="N28" s="42">
        <f t="shared" si="4"/>
        <v>5552.7845717832333</v>
      </c>
      <c r="O28" s="36">
        <v>9.6181359391664856</v>
      </c>
      <c r="P28" s="42">
        <f t="shared" si="5"/>
        <v>10184.527886428959</v>
      </c>
      <c r="Q28" s="42"/>
      <c r="R28">
        <v>6.0579241309854426E-2</v>
      </c>
      <c r="S28">
        <v>0.75463118381298255</v>
      </c>
      <c r="T28" s="42"/>
      <c r="U28" s="42"/>
    </row>
    <row r="29" spans="1:22" x14ac:dyDescent="0.25">
      <c r="A29" s="40">
        <f t="shared" si="6"/>
        <v>0</v>
      </c>
      <c r="B29" s="40">
        <f t="shared" si="7"/>
        <v>50</v>
      </c>
      <c r="C29" s="41">
        <f t="shared" si="0"/>
        <v>1.0313000000000001</v>
      </c>
      <c r="D29" s="41">
        <f t="shared" si="1"/>
        <v>0.88000000000000012</v>
      </c>
      <c r="E29" s="39">
        <f>IF(_xlfn.NORM.INV(R29,C29,'Regressão Grupo 2'!$B$7)&lt;=0,0,IF(_xlfn.NORM.INV(R29,C29,'Regressão Grupo 2'!$B$7)&gt;100%,100%,_xlfn.NORM.INV(R29,C29,'Regressão Grupo 2'!$B$7)))</f>
        <v>1</v>
      </c>
      <c r="F29" s="39">
        <f>IF(_xlfn.NORM.INV(S29,D29,'Regressão Grupo 2'!$B$7)&lt;=0,0,IF(_xlfn.NORM.INV(S29,D29,'Regressão Grupo 2'!$B$7)&gt;100%,100%,_xlfn.NORM.INV(S29,D29,'Regressão Grupo 2'!$B$7)))</f>
        <v>1</v>
      </c>
      <c r="G29" s="41">
        <v>1.9108493226263113E-2</v>
      </c>
      <c r="H29" s="41">
        <v>2.0251225475151857E-2</v>
      </c>
      <c r="I29" s="40">
        <f t="shared" si="2"/>
        <v>0</v>
      </c>
      <c r="J29" s="40">
        <f t="shared" si="3"/>
        <v>405.02450950303711</v>
      </c>
      <c r="K29" s="36">
        <v>0.27924812003071581</v>
      </c>
      <c r="L29" s="42">
        <f t="shared" si="9"/>
        <v>0</v>
      </c>
      <c r="M29" s="42">
        <f t="shared" si="9"/>
        <v>20000</v>
      </c>
      <c r="N29" s="42">
        <f t="shared" si="4"/>
        <v>5584.9624006143158</v>
      </c>
      <c r="O29" s="36">
        <v>5.6248669862571621</v>
      </c>
      <c r="P29" s="42">
        <f t="shared" si="5"/>
        <v>12388.054082408904</v>
      </c>
      <c r="Q29" s="42"/>
      <c r="R29">
        <v>0.97912533951841796</v>
      </c>
      <c r="S29">
        <v>0.97717215491195408</v>
      </c>
      <c r="T29" s="42"/>
      <c r="U29" s="42"/>
    </row>
    <row r="30" spans="1:22" x14ac:dyDescent="0.25">
      <c r="A30" s="40">
        <f t="shared" si="6"/>
        <v>0</v>
      </c>
      <c r="B30" s="40">
        <f t="shared" si="7"/>
        <v>50</v>
      </c>
      <c r="C30" s="41">
        <f t="shared" si="0"/>
        <v>1.0313000000000001</v>
      </c>
      <c r="D30" s="41">
        <f t="shared" si="1"/>
        <v>0.88000000000000012</v>
      </c>
      <c r="E30" s="39">
        <f>IF(_xlfn.NORM.INV(R30,C30,'Regressão Grupo 2'!$B$7)&lt;=0,0,IF(_xlfn.NORM.INV(R30,C30,'Regressão Grupo 2'!$B$7)&gt;100%,100%,_xlfn.NORM.INV(R30,C30,'Regressão Grupo 2'!$B$7)))</f>
        <v>1</v>
      </c>
      <c r="F30" s="39">
        <f>IF(_xlfn.NORM.INV(S30,D30,'Regressão Grupo 2'!$B$7)&lt;=0,0,IF(_xlfn.NORM.INV(S30,D30,'Regressão Grupo 2'!$B$7)&gt;100%,100%,_xlfn.NORM.INV(S30,D30,'Regressão Grupo 2'!$B$7)))</f>
        <v>0.96422812639019628</v>
      </c>
      <c r="G30" s="41">
        <v>2.278356405910394E-2</v>
      </c>
      <c r="H30" s="41">
        <v>1.4446827934332046E-2</v>
      </c>
      <c r="I30" s="40">
        <f t="shared" si="2"/>
        <v>0</v>
      </c>
      <c r="J30" s="40">
        <f t="shared" si="3"/>
        <v>278.60075662805076</v>
      </c>
      <c r="K30" s="36">
        <v>0.18834307370974451</v>
      </c>
      <c r="L30" s="42">
        <f t="shared" si="9"/>
        <v>0</v>
      </c>
      <c r="M30" s="42">
        <f t="shared" si="9"/>
        <v>20000</v>
      </c>
      <c r="N30" s="42">
        <f t="shared" si="4"/>
        <v>3766.8614741948904</v>
      </c>
      <c r="O30" s="36">
        <v>4.5881429412485248</v>
      </c>
      <c r="P30" s="42">
        <f t="shared" si="5"/>
        <v>8884.9162622581571</v>
      </c>
      <c r="Q30" s="42"/>
      <c r="R30">
        <v>0.6947233497116001</v>
      </c>
      <c r="S30">
        <v>0.728782006286813</v>
      </c>
      <c r="T30" s="42"/>
      <c r="U30" s="42"/>
    </row>
    <row r="31" spans="1:22" x14ac:dyDescent="0.25">
      <c r="A31" s="40">
        <f t="shared" si="6"/>
        <v>0</v>
      </c>
      <c r="B31" s="40">
        <f t="shared" si="7"/>
        <v>50</v>
      </c>
      <c r="C31" s="41">
        <f t="shared" si="0"/>
        <v>1.0313000000000001</v>
      </c>
      <c r="D31" s="41">
        <f t="shared" si="1"/>
        <v>0.88000000000000012</v>
      </c>
      <c r="E31" s="39">
        <f>IF(_xlfn.NORM.INV(R31,C31,'Regressão Grupo 2'!$B$7)&lt;=0,0,IF(_xlfn.NORM.INV(R31,C31,'Regressão Grupo 2'!$B$7)&gt;100%,100%,_xlfn.NORM.INV(R31,C31,'Regressão Grupo 2'!$B$7)))</f>
        <v>1</v>
      </c>
      <c r="F31" s="39">
        <f>IF(_xlfn.NORM.INV(S31,D31,'Regressão Grupo 2'!$B$7)&lt;=0,0,IF(_xlfn.NORM.INV(S31,D31,'Regressão Grupo 2'!$B$7)&gt;100%,100%,_xlfn.NORM.INV(S31,D31,'Regressão Grupo 2'!$B$7)))</f>
        <v>1</v>
      </c>
      <c r="G31" s="41">
        <v>1.1553535078972362E-2</v>
      </c>
      <c r="H31" s="41">
        <v>8.1062614329072899E-3</v>
      </c>
      <c r="I31" s="40">
        <f t="shared" si="2"/>
        <v>0</v>
      </c>
      <c r="J31" s="40">
        <f t="shared" si="3"/>
        <v>162.1252286581458</v>
      </c>
      <c r="K31" s="36">
        <v>0.2268840707627639</v>
      </c>
      <c r="L31" s="42">
        <f t="shared" si="9"/>
        <v>0</v>
      </c>
      <c r="M31" s="42">
        <f t="shared" si="9"/>
        <v>20000</v>
      </c>
      <c r="N31" s="42">
        <f t="shared" si="4"/>
        <v>4537.6814152552779</v>
      </c>
      <c r="O31" s="36">
        <v>7.7444936008859004</v>
      </c>
      <c r="P31" s="42">
        <f t="shared" si="5"/>
        <v>2313.0022217668393</v>
      </c>
      <c r="Q31" s="42"/>
      <c r="R31">
        <v>0.60109256263924071</v>
      </c>
      <c r="S31">
        <v>0.956602679525132</v>
      </c>
      <c r="T31" s="42"/>
      <c r="U31" s="42"/>
    </row>
    <row r="32" spans="1:22" x14ac:dyDescent="0.25">
      <c r="A32" s="40">
        <f t="shared" si="6"/>
        <v>0</v>
      </c>
      <c r="B32" s="40">
        <f t="shared" si="7"/>
        <v>50</v>
      </c>
      <c r="C32" s="41">
        <f t="shared" si="0"/>
        <v>1.0313000000000001</v>
      </c>
      <c r="D32" s="41">
        <f t="shared" si="1"/>
        <v>0.88000000000000012</v>
      </c>
      <c r="E32" s="39">
        <f>IF(_xlfn.NORM.INV(R32,C32,'Regressão Grupo 2'!$B$7)&lt;=0,0,IF(_xlfn.NORM.INV(R32,C32,'Regressão Grupo 2'!$B$7)&gt;100%,100%,_xlfn.NORM.INV(R32,C32,'Regressão Grupo 2'!$B$7)))</f>
        <v>1</v>
      </c>
      <c r="F32" s="39">
        <f>IF(_xlfn.NORM.INV(S32,D32,'Regressão Grupo 2'!$B$7)&lt;=0,0,IF(_xlfn.NORM.INV(S32,D32,'Regressão Grupo 2'!$B$7)&gt;100%,100%,_xlfn.NORM.INV(S32,D32,'Regressão Grupo 2'!$B$7)))</f>
        <v>0.94479442593409446</v>
      </c>
      <c r="G32" s="41">
        <v>8.9620408806459044E-3</v>
      </c>
      <c r="H32" s="41">
        <v>1.1397832089636009E-2</v>
      </c>
      <c r="I32" s="40">
        <f t="shared" si="2"/>
        <v>0</v>
      </c>
      <c r="J32" s="40">
        <f t="shared" si="3"/>
        <v>215.37216452041707</v>
      </c>
      <c r="K32" s="36">
        <v>0.39046387687346112</v>
      </c>
      <c r="L32" s="42">
        <f t="shared" si="9"/>
        <v>0</v>
      </c>
      <c r="M32" s="42">
        <f t="shared" si="9"/>
        <v>20000</v>
      </c>
      <c r="N32" s="42">
        <f t="shared" si="4"/>
        <v>7809.2775374692228</v>
      </c>
      <c r="O32" s="36">
        <v>6.6022765500365539</v>
      </c>
      <c r="P32" s="42">
        <f t="shared" si="5"/>
        <v>1537.3840972078669</v>
      </c>
      <c r="Q32" s="42"/>
      <c r="R32">
        <v>0.78472243415631582</v>
      </c>
      <c r="S32">
        <v>0.68031861323892939</v>
      </c>
      <c r="T32" s="42"/>
      <c r="U32" s="42"/>
    </row>
    <row r="33" spans="1:21" x14ac:dyDescent="0.25">
      <c r="A33" s="40">
        <f t="shared" si="6"/>
        <v>0</v>
      </c>
      <c r="B33" s="40">
        <f t="shared" si="7"/>
        <v>50</v>
      </c>
      <c r="C33" s="41">
        <f t="shared" si="0"/>
        <v>1.0313000000000001</v>
      </c>
      <c r="D33" s="41">
        <f t="shared" si="1"/>
        <v>0.88000000000000012</v>
      </c>
      <c r="E33" s="39">
        <f>IF(_xlfn.NORM.INV(R33,C33,'Regressão Grupo 2'!$B$7)&lt;=0,0,IF(_xlfn.NORM.INV(R33,C33,'Regressão Grupo 2'!$B$7)&gt;100%,100%,_xlfn.NORM.INV(R33,C33,'Regressão Grupo 2'!$B$7)))</f>
        <v>0.89476372036421747</v>
      </c>
      <c r="F33" s="39">
        <f>IF(_xlfn.NORM.INV(S33,D33,'Regressão Grupo 2'!$B$7)&lt;=0,0,IF(_xlfn.NORM.INV(S33,D33,'Regressão Grupo 2'!$B$7)&gt;100%,100%,_xlfn.NORM.INV(S33,D33,'Regressão Grupo 2'!$B$7)))</f>
        <v>0.99085153445744933</v>
      </c>
      <c r="G33" s="41">
        <v>6.5733030500868626E-3</v>
      </c>
      <c r="H33" s="41">
        <v>2.0594996778923721E-2</v>
      </c>
      <c r="I33" s="40">
        <f t="shared" si="2"/>
        <v>0</v>
      </c>
      <c r="J33" s="40">
        <f t="shared" si="3"/>
        <v>408.1316832108559</v>
      </c>
      <c r="K33" s="36">
        <v>0.21000184404388045</v>
      </c>
      <c r="L33" s="42">
        <f t="shared" si="9"/>
        <v>0</v>
      </c>
      <c r="M33" s="42">
        <f t="shared" si="9"/>
        <v>20000</v>
      </c>
      <c r="N33" s="42">
        <f t="shared" si="4"/>
        <v>4200.0368808776093</v>
      </c>
      <c r="O33" s="36">
        <v>5.0216425281345884</v>
      </c>
      <c r="P33" s="42">
        <f t="shared" si="5"/>
        <v>14157.0558621744</v>
      </c>
      <c r="Q33" s="42"/>
      <c r="R33">
        <v>0.16171758171330913</v>
      </c>
      <c r="S33">
        <v>0.78862880336924346</v>
      </c>
      <c r="T33" s="42"/>
      <c r="U33" s="42"/>
    </row>
    <row r="34" spans="1:21" x14ac:dyDescent="0.25">
      <c r="A34" s="40">
        <f t="shared" si="6"/>
        <v>0</v>
      </c>
      <c r="B34" s="40">
        <f t="shared" si="7"/>
        <v>50</v>
      </c>
      <c r="C34" s="41">
        <f t="shared" si="0"/>
        <v>1.0313000000000001</v>
      </c>
      <c r="D34" s="41">
        <f t="shared" si="1"/>
        <v>0.88000000000000012</v>
      </c>
      <c r="E34" s="39">
        <f>IF(_xlfn.NORM.INV(R34,C34,'Regressão Grupo 2'!$B$7)&lt;=0,0,IF(_xlfn.NORM.INV(R34,C34,'Regressão Grupo 2'!$B$7)&gt;100%,100%,_xlfn.NORM.INV(R34,C34,'Regressão Grupo 2'!$B$7)))</f>
        <v>1</v>
      </c>
      <c r="F34" s="39">
        <f>IF(_xlfn.NORM.INV(S34,D34,'Regressão Grupo 2'!$B$7)&lt;=0,0,IF(_xlfn.NORM.INV(S34,D34,'Regressão Grupo 2'!$B$7)&gt;100%,100%,_xlfn.NORM.INV(S34,D34,'Regressão Grupo 2'!$B$7)))</f>
        <v>1</v>
      </c>
      <c r="G34" s="41">
        <v>2.5182684768355834E-2</v>
      </c>
      <c r="H34" s="41">
        <v>2.0024371938472292E-2</v>
      </c>
      <c r="I34" s="40">
        <f t="shared" si="2"/>
        <v>0</v>
      </c>
      <c r="J34" s="40">
        <f t="shared" si="3"/>
        <v>400.48743876944582</v>
      </c>
      <c r="K34" s="36">
        <v>0.34350495289605359</v>
      </c>
      <c r="L34" s="42">
        <f t="shared" si="9"/>
        <v>0</v>
      </c>
      <c r="M34" s="42">
        <f t="shared" si="9"/>
        <v>20000</v>
      </c>
      <c r="N34" s="42">
        <f t="shared" si="4"/>
        <v>6870.099057921072</v>
      </c>
      <c r="O34" s="36">
        <v>5.045894493290783</v>
      </c>
      <c r="P34" s="42">
        <f t="shared" si="5"/>
        <v>11133.455518632343</v>
      </c>
      <c r="Q34" s="42"/>
      <c r="R34">
        <v>0.46739097262489698</v>
      </c>
      <c r="S34">
        <v>0.93395794549394207</v>
      </c>
      <c r="T34" s="42"/>
      <c r="U34" s="42"/>
    </row>
    <row r="35" spans="1:21" x14ac:dyDescent="0.25">
      <c r="A35" s="40">
        <f t="shared" si="6"/>
        <v>0</v>
      </c>
      <c r="B35" s="40">
        <f t="shared" si="7"/>
        <v>50</v>
      </c>
      <c r="C35" s="41">
        <f t="shared" si="0"/>
        <v>1.0313000000000001</v>
      </c>
      <c r="D35" s="41">
        <f t="shared" si="1"/>
        <v>0.88000000000000012</v>
      </c>
      <c r="E35" s="39">
        <f>IF(_xlfn.NORM.INV(R35,C35,'Regressão Grupo 2'!$B$7)&lt;=0,0,IF(_xlfn.NORM.INV(R35,C35,'Regressão Grupo 2'!$B$7)&gt;100%,100%,_xlfn.NORM.INV(R35,C35,'Regressão Grupo 2'!$B$7)))</f>
        <v>1</v>
      </c>
      <c r="F35" s="39">
        <f>IF(_xlfn.NORM.INV(S35,D35,'Regressão Grupo 2'!$B$7)&lt;=0,0,IF(_xlfn.NORM.INV(S35,D35,'Regressão Grupo 2'!$B$7)&gt;100%,100%,_xlfn.NORM.INV(S35,D35,'Regressão Grupo 2'!$B$7)))</f>
        <v>0.71953550027395741</v>
      </c>
      <c r="G35" s="41">
        <v>2.7283017568665417E-2</v>
      </c>
      <c r="H35" s="41">
        <v>2.1648592958389511E-2</v>
      </c>
      <c r="I35" s="40">
        <f t="shared" si="2"/>
        <v>0</v>
      </c>
      <c r="J35" s="40">
        <f t="shared" si="3"/>
        <v>311.53862329084137</v>
      </c>
      <c r="K35" s="36">
        <v>0.32705145673921437</v>
      </c>
      <c r="L35" s="42">
        <f t="shared" si="9"/>
        <v>0</v>
      </c>
      <c r="M35" s="42">
        <f t="shared" si="9"/>
        <v>20000</v>
      </c>
      <c r="N35" s="42">
        <f t="shared" si="4"/>
        <v>6541.0291347842876</v>
      </c>
      <c r="O35" s="36">
        <v>3.1569815460800652</v>
      </c>
      <c r="P35" s="42">
        <f t="shared" si="5"/>
        <v>8052.3803451374069</v>
      </c>
      <c r="Q35" s="42"/>
      <c r="R35">
        <v>0.98242133854182556</v>
      </c>
      <c r="S35">
        <v>0.12292855616931669</v>
      </c>
      <c r="T35" s="42"/>
      <c r="U35" s="42"/>
    </row>
    <row r="36" spans="1:21" x14ac:dyDescent="0.25">
      <c r="A36" s="40">
        <f t="shared" si="6"/>
        <v>0</v>
      </c>
      <c r="B36" s="40">
        <f t="shared" si="7"/>
        <v>50</v>
      </c>
      <c r="C36" s="41">
        <f t="shared" si="0"/>
        <v>1.0313000000000001</v>
      </c>
      <c r="D36" s="41">
        <f t="shared" si="1"/>
        <v>0.88000000000000012</v>
      </c>
      <c r="E36" s="39">
        <f>IF(_xlfn.NORM.INV(R36,C36,'Regressão Grupo 2'!$B$7)&lt;=0,0,IF(_xlfn.NORM.INV(R36,C36,'Regressão Grupo 2'!$B$7)&gt;100%,100%,_xlfn.NORM.INV(R36,C36,'Regressão Grupo 2'!$B$7)))</f>
        <v>1</v>
      </c>
      <c r="F36" s="39">
        <f>IF(_xlfn.NORM.INV(S36,D36,'Regressão Grupo 2'!$B$7)&lt;=0,0,IF(_xlfn.NORM.INV(S36,D36,'Regressão Grupo 2'!$B$7)&gt;100%,100%,_xlfn.NORM.INV(S36,D36,'Regressão Grupo 2'!$B$7)))</f>
        <v>1</v>
      </c>
      <c r="G36" s="41">
        <v>2.5396805720646686E-2</v>
      </c>
      <c r="H36" s="41">
        <v>2.5545630377982399E-2</v>
      </c>
      <c r="I36" s="40">
        <f t="shared" si="2"/>
        <v>0</v>
      </c>
      <c r="J36" s="40">
        <f t="shared" si="3"/>
        <v>510.912607559648</v>
      </c>
      <c r="K36" s="36">
        <v>0.32340932075066448</v>
      </c>
      <c r="L36" s="42">
        <f t="shared" si="9"/>
        <v>0</v>
      </c>
      <c r="M36" s="42">
        <f t="shared" si="9"/>
        <v>20000</v>
      </c>
      <c r="N36" s="42">
        <f t="shared" si="4"/>
        <v>6468.1864150132897</v>
      </c>
      <c r="O36" s="36">
        <v>4.7106235003494712</v>
      </c>
      <c r="P36" s="42">
        <f t="shared" si="5"/>
        <v>16670.727027173805</v>
      </c>
      <c r="Q36" s="42"/>
      <c r="R36">
        <v>0.45231482894375441</v>
      </c>
      <c r="S36">
        <v>0.88467055269020656</v>
      </c>
      <c r="T36" s="42"/>
      <c r="U36" s="42"/>
    </row>
    <row r="37" spans="1:21" x14ac:dyDescent="0.25">
      <c r="A37" s="40">
        <f t="shared" si="6"/>
        <v>0</v>
      </c>
      <c r="B37" s="40">
        <f t="shared" si="7"/>
        <v>50</v>
      </c>
      <c r="C37" s="41">
        <f t="shared" si="0"/>
        <v>1.0313000000000001</v>
      </c>
      <c r="D37" s="41">
        <f t="shared" si="1"/>
        <v>0.88000000000000012</v>
      </c>
      <c r="E37" s="39">
        <f>IF(_xlfn.NORM.INV(R37,C37,'Regressão Grupo 2'!$B$7)&lt;=0,0,IF(_xlfn.NORM.INV(R37,C37,'Regressão Grupo 2'!$B$7)&gt;100%,100%,_xlfn.NORM.INV(R37,C37,'Regressão Grupo 2'!$B$7)))</f>
        <v>1</v>
      </c>
      <c r="F37" s="39">
        <f>IF(_xlfn.NORM.INV(S37,D37,'Regressão Grupo 2'!$B$7)&lt;=0,0,IF(_xlfn.NORM.INV(S37,D37,'Regressão Grupo 2'!$B$7)&gt;100%,100%,_xlfn.NORM.INV(S37,D37,'Regressão Grupo 2'!$B$7)))</f>
        <v>0.8609580092650404</v>
      </c>
      <c r="G37" s="41">
        <v>1.7296622918005579E-2</v>
      </c>
      <c r="H37" s="41">
        <v>2.5143347052129023E-2</v>
      </c>
      <c r="I37" s="40">
        <f t="shared" si="2"/>
        <v>0</v>
      </c>
      <c r="J37" s="40">
        <f t="shared" si="3"/>
        <v>432.94732048522047</v>
      </c>
      <c r="K37" s="36">
        <v>0.40037119138715332</v>
      </c>
      <c r="L37" s="42">
        <f t="shared" si="9"/>
        <v>0</v>
      </c>
      <c r="M37" s="42">
        <f t="shared" si="9"/>
        <v>20000</v>
      </c>
      <c r="N37" s="42">
        <f t="shared" si="4"/>
        <v>8007.4238277430668</v>
      </c>
      <c r="O37" s="36">
        <v>8.0242170618792628</v>
      </c>
      <c r="P37" s="42">
        <f t="shared" si="5"/>
        <v>10165.878920585543</v>
      </c>
      <c r="Q37" s="42"/>
      <c r="R37">
        <v>0.80636005737479777</v>
      </c>
      <c r="S37">
        <v>0.44523453474532304</v>
      </c>
      <c r="T37" s="42"/>
      <c r="U37" s="42"/>
    </row>
    <row r="38" spans="1:21" x14ac:dyDescent="0.25">
      <c r="A38" s="40">
        <f t="shared" si="6"/>
        <v>0</v>
      </c>
      <c r="B38" s="40">
        <f t="shared" si="7"/>
        <v>50</v>
      </c>
      <c r="C38" s="41">
        <f t="shared" si="0"/>
        <v>1.0313000000000001</v>
      </c>
      <c r="D38" s="41">
        <f t="shared" si="1"/>
        <v>0.88000000000000012</v>
      </c>
      <c r="E38" s="39">
        <f>IF(_xlfn.NORM.INV(R38,C38,'Regressão Grupo 2'!$B$7)&lt;=0,0,IF(_xlfn.NORM.INV(R38,C38,'Regressão Grupo 2'!$B$7)&gt;100%,100%,_xlfn.NORM.INV(R38,C38,'Regressão Grupo 2'!$B$7)))</f>
        <v>1</v>
      </c>
      <c r="F38" s="39">
        <f>IF(_xlfn.NORM.INV(S38,D38,'Regressão Grupo 2'!$B$7)&lt;=0,0,IF(_xlfn.NORM.INV(S38,D38,'Regressão Grupo 2'!$B$7)&gt;100%,100%,_xlfn.NORM.INV(S38,D38,'Regressão Grupo 2'!$B$7)))</f>
        <v>0.79924738544360241</v>
      </c>
      <c r="G38" s="41">
        <v>1.4975754693681542E-2</v>
      </c>
      <c r="H38" s="41">
        <v>1.7105343487392639E-2</v>
      </c>
      <c r="I38" s="40">
        <f t="shared" si="2"/>
        <v>0</v>
      </c>
      <c r="J38" s="40">
        <f t="shared" si="3"/>
        <v>273.42802118826637</v>
      </c>
      <c r="K38" s="36">
        <v>0.32267278672742694</v>
      </c>
      <c r="L38" s="42">
        <f t="shared" si="9"/>
        <v>0</v>
      </c>
      <c r="M38" s="42">
        <f t="shared" si="9"/>
        <v>20000</v>
      </c>
      <c r="N38" s="42">
        <f t="shared" si="4"/>
        <v>6453.4557345485391</v>
      </c>
      <c r="O38" s="36">
        <v>6.2869709160121987</v>
      </c>
      <c r="P38" s="42">
        <f t="shared" si="5"/>
        <v>5498.9113080313819</v>
      </c>
      <c r="Q38" s="42"/>
      <c r="R38">
        <v>0.63646351512192145</v>
      </c>
      <c r="S38">
        <v>0.27961058381908627</v>
      </c>
      <c r="T38" s="42"/>
      <c r="U38" s="42"/>
    </row>
    <row r="39" spans="1:21" x14ac:dyDescent="0.25">
      <c r="A39" s="40">
        <f t="shared" si="6"/>
        <v>0</v>
      </c>
      <c r="B39" s="40">
        <f t="shared" si="7"/>
        <v>50</v>
      </c>
      <c r="C39" s="41">
        <f t="shared" si="0"/>
        <v>1.0313000000000001</v>
      </c>
      <c r="D39" s="41">
        <f t="shared" si="1"/>
        <v>0.88000000000000012</v>
      </c>
      <c r="E39" s="39">
        <f>IF(_xlfn.NORM.INV(R39,C39,'Regressão Grupo 2'!$B$7)&lt;=0,0,IF(_xlfn.NORM.INV(R39,C39,'Regressão Grupo 2'!$B$7)&gt;100%,100%,_xlfn.NORM.INV(R39,C39,'Regressão Grupo 2'!$B$7)))</f>
        <v>1</v>
      </c>
      <c r="F39" s="39">
        <f>IF(_xlfn.NORM.INV(S39,D39,'Regressão Grupo 2'!$B$7)&lt;=0,0,IF(_xlfn.NORM.INV(S39,D39,'Regressão Grupo 2'!$B$7)&gt;100%,100%,_xlfn.NORM.INV(S39,D39,'Regressão Grupo 2'!$B$7)))</f>
        <v>1</v>
      </c>
      <c r="G39" s="41">
        <v>7.482716195360401E-3</v>
      </c>
      <c r="H39" s="41">
        <v>7.2880773338523681E-3</v>
      </c>
      <c r="I39" s="40">
        <f t="shared" si="2"/>
        <v>0</v>
      </c>
      <c r="J39" s="40">
        <f t="shared" si="3"/>
        <v>145.76154667704736</v>
      </c>
      <c r="K39" s="36">
        <v>0.23057551783722502</v>
      </c>
      <c r="L39" s="42">
        <f t="shared" ref="L39:M54" si="10">L38</f>
        <v>0</v>
      </c>
      <c r="M39" s="42">
        <f t="shared" si="10"/>
        <v>20000</v>
      </c>
      <c r="N39" s="42">
        <f t="shared" si="4"/>
        <v>4611.5103567445003</v>
      </c>
      <c r="O39" s="36">
        <v>9.865169559826251</v>
      </c>
      <c r="P39" s="42">
        <f t="shared" si="5"/>
        <v>1238.6046038362674</v>
      </c>
      <c r="Q39" s="42"/>
      <c r="R39">
        <v>0.57799005096591083</v>
      </c>
      <c r="S39">
        <v>0.8639484847560045</v>
      </c>
      <c r="T39" s="42"/>
      <c r="U39" s="42"/>
    </row>
    <row r="40" spans="1:21" x14ac:dyDescent="0.25">
      <c r="A40" s="40">
        <f t="shared" si="6"/>
        <v>0</v>
      </c>
      <c r="B40" s="40">
        <f t="shared" si="7"/>
        <v>50</v>
      </c>
      <c r="C40" s="41">
        <f t="shared" si="0"/>
        <v>1.0313000000000001</v>
      </c>
      <c r="D40" s="41">
        <f t="shared" si="1"/>
        <v>0.88000000000000012</v>
      </c>
      <c r="E40" s="39">
        <f>IF(_xlfn.NORM.INV(R40,C40,'Regressão Grupo 2'!$B$7)&lt;=0,0,IF(_xlfn.NORM.INV(R40,C40,'Regressão Grupo 2'!$B$7)&gt;100%,100%,_xlfn.NORM.INV(R40,C40,'Regressão Grupo 2'!$B$7)))</f>
        <v>0.98496791317155097</v>
      </c>
      <c r="F40" s="39">
        <f>IF(_xlfn.NORM.INV(S40,D40,'Regressão Grupo 2'!$B$7)&lt;=0,0,IF(_xlfn.NORM.INV(S40,D40,'Regressão Grupo 2'!$B$7)&gt;100%,100%,_xlfn.NORM.INV(S40,D40,'Regressão Grupo 2'!$B$7)))</f>
        <v>0.89700436538171879</v>
      </c>
      <c r="G40" s="41">
        <v>1.7588626013785028E-2</v>
      </c>
      <c r="H40" s="41">
        <v>2.1352763768535694E-2</v>
      </c>
      <c r="I40" s="40">
        <f t="shared" si="2"/>
        <v>0</v>
      </c>
      <c r="J40" s="40">
        <f t="shared" si="3"/>
        <v>383.07044626682239</v>
      </c>
      <c r="K40" s="36">
        <v>0.31448364508820714</v>
      </c>
      <c r="L40" s="42">
        <f t="shared" si="10"/>
        <v>0</v>
      </c>
      <c r="M40" s="42">
        <f t="shared" si="10"/>
        <v>20000</v>
      </c>
      <c r="N40" s="42">
        <f t="shared" si="4"/>
        <v>6289.6729017641428</v>
      </c>
      <c r="O40" s="36">
        <v>6.5903300307625514</v>
      </c>
      <c r="P40" s="42">
        <f t="shared" si="5"/>
        <v>10339.288745647127</v>
      </c>
      <c r="Q40" s="42"/>
      <c r="R40">
        <v>0.36878566850795008</v>
      </c>
      <c r="S40">
        <v>0.54893642994476155</v>
      </c>
      <c r="T40" s="42"/>
      <c r="U40" s="42"/>
    </row>
    <row r="41" spans="1:21" x14ac:dyDescent="0.25">
      <c r="A41" s="40">
        <f t="shared" si="6"/>
        <v>0</v>
      </c>
      <c r="B41" s="40">
        <f t="shared" si="7"/>
        <v>50</v>
      </c>
      <c r="C41" s="41">
        <f t="shared" si="0"/>
        <v>1.0313000000000001</v>
      </c>
      <c r="D41" s="41">
        <f t="shared" si="1"/>
        <v>0.88000000000000012</v>
      </c>
      <c r="E41" s="39">
        <f>IF(_xlfn.NORM.INV(R41,C41,'Regressão Grupo 2'!$B$7)&lt;=0,0,IF(_xlfn.NORM.INV(R41,C41,'Regressão Grupo 2'!$B$7)&gt;100%,100%,_xlfn.NORM.INV(R41,C41,'Regressão Grupo 2'!$B$7)))</f>
        <v>0.83330010454989978</v>
      </c>
      <c r="F41" s="39">
        <f>IF(_xlfn.NORM.INV(S41,D41,'Regressão Grupo 2'!$B$7)&lt;=0,0,IF(_xlfn.NORM.INV(S41,D41,'Regressão Grupo 2'!$B$7)&gt;100%,100%,_xlfn.NORM.INV(S41,D41,'Regressão Grupo 2'!$B$7)))</f>
        <v>0.82160727747310769</v>
      </c>
      <c r="G41" s="41">
        <v>1.7759977504935066E-2</v>
      </c>
      <c r="H41" s="41">
        <v>2.2414402663906881E-2</v>
      </c>
      <c r="I41" s="40">
        <f t="shared" si="2"/>
        <v>0</v>
      </c>
      <c r="J41" s="40">
        <f t="shared" si="3"/>
        <v>368.31672697757006</v>
      </c>
      <c r="K41" s="36">
        <v>0.22817272134938818</v>
      </c>
      <c r="L41" s="42">
        <f t="shared" si="10"/>
        <v>0</v>
      </c>
      <c r="M41" s="42">
        <f t="shared" si="10"/>
        <v>20000</v>
      </c>
      <c r="N41" s="42">
        <f t="shared" si="4"/>
        <v>4563.4544269877633</v>
      </c>
      <c r="O41" s="36">
        <v>6.5050167391264457</v>
      </c>
      <c r="P41" s="42">
        <f t="shared" si="5"/>
        <v>11456.47544760138</v>
      </c>
      <c r="Q41" s="42"/>
      <c r="R41">
        <v>7.6082644123661003E-2</v>
      </c>
      <c r="S41">
        <v>0.33640552995391704</v>
      </c>
      <c r="T41" s="42"/>
      <c r="U41" s="42"/>
    </row>
    <row r="42" spans="1:21" x14ac:dyDescent="0.25">
      <c r="A42" s="40">
        <f t="shared" si="6"/>
        <v>0</v>
      </c>
      <c r="B42" s="40">
        <f t="shared" si="7"/>
        <v>50</v>
      </c>
      <c r="C42" s="41">
        <f t="shared" si="0"/>
        <v>1.0313000000000001</v>
      </c>
      <c r="D42" s="41">
        <f t="shared" si="1"/>
        <v>0.88000000000000012</v>
      </c>
      <c r="E42" s="39">
        <f>IF(_xlfn.NORM.INV(R42,C42,'Regressão Grupo 2'!$B$7)&lt;=0,0,IF(_xlfn.NORM.INV(R42,C42,'Regressão Grupo 2'!$B$7)&gt;100%,100%,_xlfn.NORM.INV(R42,C42,'Regressão Grupo 2'!$B$7)))</f>
        <v>0.99513336413631714</v>
      </c>
      <c r="F42" s="39">
        <f>IF(_xlfn.NORM.INV(S42,D42,'Regressão Grupo 2'!$B$7)&lt;=0,0,IF(_xlfn.NORM.INV(S42,D42,'Regressão Grupo 2'!$B$7)&gt;100%,100%,_xlfn.NORM.INV(S42,D42,'Regressão Grupo 2'!$B$7)))</f>
        <v>0.69566587811818403</v>
      </c>
      <c r="G42" s="41">
        <v>2.1971676183231974E-2</v>
      </c>
      <c r="H42" s="41">
        <v>2.5649157188112649E-2</v>
      </c>
      <c r="I42" s="40">
        <f t="shared" si="2"/>
        <v>0</v>
      </c>
      <c r="J42" s="40">
        <f t="shared" si="3"/>
        <v>356.86486916519431</v>
      </c>
      <c r="K42" s="36">
        <v>0.20183978449173126</v>
      </c>
      <c r="L42" s="42">
        <f t="shared" si="10"/>
        <v>0</v>
      </c>
      <c r="M42" s="42">
        <f t="shared" si="10"/>
        <v>20000</v>
      </c>
      <c r="N42" s="42">
        <f t="shared" si="4"/>
        <v>4036.7956898346251</v>
      </c>
      <c r="O42" s="36">
        <v>7.0879324326294721</v>
      </c>
      <c r="P42" s="42">
        <f t="shared" si="5"/>
        <v>11277.013688203037</v>
      </c>
      <c r="Q42" s="42"/>
      <c r="R42">
        <v>0.39683217871639148</v>
      </c>
      <c r="S42">
        <v>9.1250343333231607E-2</v>
      </c>
      <c r="T42" s="42"/>
      <c r="U42" s="42"/>
    </row>
    <row r="43" spans="1:21" x14ac:dyDescent="0.25">
      <c r="A43" s="40">
        <f t="shared" si="6"/>
        <v>0</v>
      </c>
      <c r="B43" s="40">
        <f t="shared" si="7"/>
        <v>50</v>
      </c>
      <c r="C43" s="41">
        <f t="shared" si="0"/>
        <v>1.0313000000000001</v>
      </c>
      <c r="D43" s="41">
        <f t="shared" si="1"/>
        <v>0.88000000000000012</v>
      </c>
      <c r="E43" s="39">
        <f>IF(_xlfn.NORM.INV(R43,C43,'Regressão Grupo 2'!$B$7)&lt;=0,0,IF(_xlfn.NORM.INV(R43,C43,'Regressão Grupo 2'!$B$7)&gt;100%,100%,_xlfn.NORM.INV(R43,C43,'Regressão Grupo 2'!$B$7)))</f>
        <v>1</v>
      </c>
      <c r="F43" s="39">
        <f>IF(_xlfn.NORM.INV(S43,D43,'Regressão Grupo 2'!$B$7)&lt;=0,0,IF(_xlfn.NORM.INV(S43,D43,'Regressão Grupo 2'!$B$7)&gt;100%,100%,_xlfn.NORM.INV(S43,D43,'Regressão Grupo 2'!$B$7)))</f>
        <v>0.87685281401012594</v>
      </c>
      <c r="G43" s="41">
        <v>1.7438080439597624E-2</v>
      </c>
      <c r="H43" s="41">
        <v>7.7570888031910559E-3</v>
      </c>
      <c r="I43" s="40">
        <f t="shared" si="2"/>
        <v>0</v>
      </c>
      <c r="J43" s="40">
        <f t="shared" si="3"/>
        <v>136.03650291209036</v>
      </c>
      <c r="K43" s="36">
        <v>0.3357540901495934</v>
      </c>
      <c r="L43" s="42">
        <f t="shared" si="10"/>
        <v>0</v>
      </c>
      <c r="M43" s="42">
        <f t="shared" si="10"/>
        <v>20000</v>
      </c>
      <c r="N43" s="42">
        <f t="shared" si="4"/>
        <v>6715.0818029918682</v>
      </c>
      <c r="O43" s="36">
        <v>7.1997585385894487</v>
      </c>
      <c r="P43" s="42">
        <f t="shared" si="5"/>
        <v>-892.68663078852114</v>
      </c>
      <c r="Q43" s="42"/>
      <c r="R43">
        <v>0.68120365001373329</v>
      </c>
      <c r="S43">
        <v>0.49092074343089082</v>
      </c>
      <c r="T43" s="42"/>
      <c r="U43" s="42"/>
    </row>
    <row r="44" spans="1:21" x14ac:dyDescent="0.25">
      <c r="A44" s="40">
        <f t="shared" si="6"/>
        <v>0</v>
      </c>
      <c r="B44" s="40">
        <f t="shared" si="7"/>
        <v>50</v>
      </c>
      <c r="C44" s="41">
        <f t="shared" si="0"/>
        <v>1.0313000000000001</v>
      </c>
      <c r="D44" s="41">
        <f t="shared" si="1"/>
        <v>0.88000000000000012</v>
      </c>
      <c r="E44" s="39">
        <f>IF(_xlfn.NORM.INV(R44,C44,'Regressão Grupo 2'!$B$7)&lt;=0,0,IF(_xlfn.NORM.INV(R44,C44,'Regressão Grupo 2'!$B$7)&gt;100%,100%,_xlfn.NORM.INV(R44,C44,'Regressão Grupo 2'!$B$7)))</f>
        <v>0.7621258423296311</v>
      </c>
      <c r="F44" s="39">
        <f>IF(_xlfn.NORM.INV(S44,D44,'Regressão Grupo 2'!$B$7)&lt;=0,0,IF(_xlfn.NORM.INV(S44,D44,'Regressão Grupo 2'!$B$7)&gt;100%,100%,_xlfn.NORM.INV(S44,D44,'Regressão Grupo 2'!$B$7)))</f>
        <v>1</v>
      </c>
      <c r="G44" s="41">
        <v>4.3795561907896208E-3</v>
      </c>
      <c r="H44" s="41">
        <v>1.418656489781815E-2</v>
      </c>
      <c r="I44" s="40">
        <f t="shared" si="2"/>
        <v>0</v>
      </c>
      <c r="J44" s="40">
        <f t="shared" si="3"/>
        <v>283.73129795636299</v>
      </c>
      <c r="K44" s="36">
        <v>0.40144798037480617</v>
      </c>
      <c r="L44" s="42">
        <f t="shared" si="10"/>
        <v>0</v>
      </c>
      <c r="M44" s="42">
        <f t="shared" si="10"/>
        <v>20000</v>
      </c>
      <c r="N44" s="42">
        <f t="shared" si="4"/>
        <v>8028.9596074961237</v>
      </c>
      <c r="O44" s="36">
        <v>6.4758082015653073</v>
      </c>
      <c r="P44" s="42">
        <f t="shared" si="5"/>
        <v>4320.2158239754399</v>
      </c>
      <c r="Q44" s="42"/>
      <c r="R44">
        <v>2.5788140507217627E-2</v>
      </c>
      <c r="S44">
        <v>0.92101809747611929</v>
      </c>
      <c r="T44" s="42"/>
      <c r="U44" s="42"/>
    </row>
    <row r="45" spans="1:21" x14ac:dyDescent="0.25">
      <c r="A45" s="40">
        <f t="shared" si="6"/>
        <v>0</v>
      </c>
      <c r="B45" s="40">
        <f t="shared" si="7"/>
        <v>50</v>
      </c>
      <c r="C45" s="41">
        <f t="shared" si="0"/>
        <v>1.0313000000000001</v>
      </c>
      <c r="D45" s="41">
        <f t="shared" si="1"/>
        <v>0.88000000000000012</v>
      </c>
      <c r="E45" s="39">
        <f>IF(_xlfn.NORM.INV(R45,C45,'Regressão Grupo 2'!$B$7)&lt;=0,0,IF(_xlfn.NORM.INV(R45,C45,'Regressão Grupo 2'!$B$7)&gt;100%,100%,_xlfn.NORM.INV(R45,C45,'Regressão Grupo 2'!$B$7)))</f>
        <v>0.81574384229503316</v>
      </c>
      <c r="F45" s="39">
        <f>IF(_xlfn.NORM.INV(S45,D45,'Regressão Grupo 2'!$B$7)&lt;=0,0,IF(_xlfn.NORM.INV(S45,D45,'Regressão Grupo 2'!$B$7)&gt;100%,100%,_xlfn.NORM.INV(S45,D45,'Regressão Grupo 2'!$B$7)))</f>
        <v>0.95265855090893148</v>
      </c>
      <c r="G45" s="41">
        <v>2.1773922228062762E-3</v>
      </c>
      <c r="H45" s="41">
        <v>1.7252386550010695E-2</v>
      </c>
      <c r="I45" s="40">
        <f t="shared" si="2"/>
        <v>0</v>
      </c>
      <c r="J45" s="40">
        <f t="shared" si="3"/>
        <v>328.71267140907855</v>
      </c>
      <c r="K45" s="36">
        <v>0.27535856841825607</v>
      </c>
      <c r="L45" s="42">
        <f t="shared" si="10"/>
        <v>0</v>
      </c>
      <c r="M45" s="42">
        <f t="shared" si="10"/>
        <v>20000</v>
      </c>
      <c r="N45" s="42">
        <f t="shared" si="4"/>
        <v>5507.1713683651215</v>
      </c>
      <c r="O45" s="36">
        <v>5.5820995904437414</v>
      </c>
      <c r="P45" s="42">
        <f t="shared" si="5"/>
        <v>9093.5553336425201</v>
      </c>
      <c r="Q45" s="42"/>
      <c r="R45">
        <v>5.9511093478194527E-2</v>
      </c>
      <c r="S45">
        <v>0.70036927396465953</v>
      </c>
      <c r="T45" s="42"/>
      <c r="U45" s="42"/>
    </row>
    <row r="46" spans="1:21" x14ac:dyDescent="0.25">
      <c r="A46" s="40">
        <f t="shared" si="6"/>
        <v>0</v>
      </c>
      <c r="B46" s="40">
        <f t="shared" si="7"/>
        <v>50</v>
      </c>
      <c r="C46" s="41">
        <f t="shared" si="0"/>
        <v>1.0313000000000001</v>
      </c>
      <c r="D46" s="41">
        <f t="shared" si="1"/>
        <v>0.88000000000000012</v>
      </c>
      <c r="E46" s="39">
        <f>IF(_xlfn.NORM.INV(R46,C46,'Regressão Grupo 2'!$B$7)&lt;=0,0,IF(_xlfn.NORM.INV(R46,C46,'Regressão Grupo 2'!$B$7)&gt;100%,100%,_xlfn.NORM.INV(R46,C46,'Regressão Grupo 2'!$B$7)))</f>
        <v>1</v>
      </c>
      <c r="F46" s="39">
        <f>IF(_xlfn.NORM.INV(S46,D46,'Regressão Grupo 2'!$B$7)&lt;=0,0,IF(_xlfn.NORM.INV(S46,D46,'Regressão Grupo 2'!$B$7)&gt;100%,100%,_xlfn.NORM.INV(S46,D46,'Regressão Grupo 2'!$B$7)))</f>
        <v>0.90898801594070056</v>
      </c>
      <c r="G46" s="41">
        <v>2.1079100560280742E-2</v>
      </c>
      <c r="H46" s="41">
        <v>1.9341199679026023E-2</v>
      </c>
      <c r="I46" s="40">
        <f t="shared" si="2"/>
        <v>0</v>
      </c>
      <c r="J46" s="40">
        <f t="shared" si="3"/>
        <v>351.61837444301557</v>
      </c>
      <c r="K46" s="36">
        <v>0.23876554522336479</v>
      </c>
      <c r="L46" s="42">
        <f t="shared" si="10"/>
        <v>0</v>
      </c>
      <c r="M46" s="42">
        <f t="shared" si="10"/>
        <v>20000</v>
      </c>
      <c r="N46" s="42">
        <f t="shared" si="4"/>
        <v>4775.3109044672956</v>
      </c>
      <c r="O46" s="36">
        <v>5.3879854361226203</v>
      </c>
      <c r="P46" s="42">
        <f t="shared" si="5"/>
        <v>10911.093137111406</v>
      </c>
      <c r="Q46" s="42"/>
      <c r="R46">
        <v>0.522171697134312</v>
      </c>
      <c r="S46">
        <v>0.58302560502945033</v>
      </c>
      <c r="T46" s="42"/>
      <c r="U46" s="42"/>
    </row>
    <row r="47" spans="1:21" x14ac:dyDescent="0.25">
      <c r="A47" s="40">
        <f t="shared" si="6"/>
        <v>0</v>
      </c>
      <c r="B47" s="40">
        <f t="shared" si="7"/>
        <v>50</v>
      </c>
      <c r="C47" s="41">
        <f t="shared" si="0"/>
        <v>1.0313000000000001</v>
      </c>
      <c r="D47" s="41">
        <f t="shared" si="1"/>
        <v>0.88000000000000012</v>
      </c>
      <c r="E47" s="39">
        <f>IF(_xlfn.NORM.INV(R47,C47,'Regressão Grupo 2'!$B$7)&lt;=0,0,IF(_xlfn.NORM.INV(R47,C47,'Regressão Grupo 2'!$B$7)&gt;100%,100%,_xlfn.NORM.INV(R47,C47,'Regressão Grupo 2'!$B$7)))</f>
        <v>0.79527161960968873</v>
      </c>
      <c r="F47" s="39">
        <f>IF(_xlfn.NORM.INV(S47,D47,'Regressão Grupo 2'!$B$7)&lt;=0,0,IF(_xlfn.NORM.INV(S47,D47,'Regressão Grupo 2'!$B$7)&gt;100%,100%,_xlfn.NORM.INV(S47,D47,'Regressão Grupo 2'!$B$7)))</f>
        <v>0.90244389712045814</v>
      </c>
      <c r="G47" s="41">
        <v>1.4599767779763569E-2</v>
      </c>
      <c r="H47" s="41">
        <v>1.1602669094754684E-2</v>
      </c>
      <c r="I47" s="40">
        <f t="shared" si="2"/>
        <v>0</v>
      </c>
      <c r="J47" s="40">
        <f t="shared" si="3"/>
        <v>209.41515829739032</v>
      </c>
      <c r="K47" s="36">
        <v>0.26566360311662607</v>
      </c>
      <c r="L47" s="42">
        <f t="shared" si="10"/>
        <v>0</v>
      </c>
      <c r="M47" s="42">
        <f t="shared" si="10"/>
        <v>20000</v>
      </c>
      <c r="N47" s="42">
        <f t="shared" si="4"/>
        <v>5313.2720623325213</v>
      </c>
      <c r="O47" s="36">
        <v>7.0239549085355151</v>
      </c>
      <c r="P47" s="42">
        <f t="shared" si="5"/>
        <v>3686.5632234922987</v>
      </c>
      <c r="Q47" s="42"/>
      <c r="R47">
        <v>4.3916135135959961E-2</v>
      </c>
      <c r="S47">
        <v>0.56447035126804412</v>
      </c>
      <c r="T47" s="42"/>
      <c r="U47" s="42"/>
    </row>
    <row r="48" spans="1:21" x14ac:dyDescent="0.25">
      <c r="A48" s="40">
        <f t="shared" si="6"/>
        <v>0</v>
      </c>
      <c r="B48" s="40">
        <f t="shared" si="7"/>
        <v>50</v>
      </c>
      <c r="C48" s="41">
        <f t="shared" si="0"/>
        <v>1.0313000000000001</v>
      </c>
      <c r="D48" s="41">
        <f t="shared" si="1"/>
        <v>0.88000000000000012</v>
      </c>
      <c r="E48" s="39">
        <f>IF(_xlfn.NORM.INV(R48,C48,'Regressão Grupo 2'!$B$7)&lt;=0,0,IF(_xlfn.NORM.INV(R48,C48,'Regressão Grupo 2'!$B$7)&gt;100%,100%,_xlfn.NORM.INV(R48,C48,'Regressão Grupo 2'!$B$7)))</f>
        <v>0.95578414085141183</v>
      </c>
      <c r="F48" s="39">
        <f>IF(_xlfn.NORM.INV(S48,D48,'Regressão Grupo 2'!$B$7)&lt;=0,0,IF(_xlfn.NORM.INV(S48,D48,'Regressão Grupo 2'!$B$7)&gt;100%,100%,_xlfn.NORM.INV(S48,D48,'Regressão Grupo 2'!$B$7)))</f>
        <v>0.96938099147168011</v>
      </c>
      <c r="G48" s="41">
        <v>8.9845169719591153E-3</v>
      </c>
      <c r="H48" s="41">
        <v>2.105509163382626E-2</v>
      </c>
      <c r="I48" s="40">
        <f t="shared" si="2"/>
        <v>0</v>
      </c>
      <c r="J48" s="40">
        <f t="shared" si="3"/>
        <v>408.2081120705115</v>
      </c>
      <c r="K48" s="36">
        <v>0.25796499910061388</v>
      </c>
      <c r="L48" s="42">
        <f t="shared" si="10"/>
        <v>0</v>
      </c>
      <c r="M48" s="42">
        <f t="shared" si="10"/>
        <v>20000</v>
      </c>
      <c r="N48" s="42">
        <f t="shared" si="4"/>
        <v>5159.2999820122777</v>
      </c>
      <c r="O48" s="36">
        <v>5.0184386570565245</v>
      </c>
      <c r="P48" s="42">
        <f t="shared" si="5"/>
        <v>13202.538251774578</v>
      </c>
      <c r="Q48" s="42"/>
      <c r="R48">
        <v>0.2924893948179571</v>
      </c>
      <c r="S48">
        <v>0.74098941007721186</v>
      </c>
      <c r="T48" s="42"/>
      <c r="U48" s="42"/>
    </row>
    <row r="49" spans="1:21" x14ac:dyDescent="0.25">
      <c r="A49" s="40">
        <f t="shared" si="6"/>
        <v>0</v>
      </c>
      <c r="B49" s="40">
        <f t="shared" si="7"/>
        <v>50</v>
      </c>
      <c r="C49" s="41">
        <f t="shared" si="0"/>
        <v>1.0313000000000001</v>
      </c>
      <c r="D49" s="41">
        <f t="shared" si="1"/>
        <v>0.88000000000000012</v>
      </c>
      <c r="E49" s="39">
        <f>IF(_xlfn.NORM.INV(R49,C49,'Regressão Grupo 2'!$B$7)&lt;=0,0,IF(_xlfn.NORM.INV(R49,C49,'Regressão Grupo 2'!$B$7)&gt;100%,100%,_xlfn.NORM.INV(R49,C49,'Regressão Grupo 2'!$B$7)))</f>
        <v>1</v>
      </c>
      <c r="F49" s="39">
        <f>IF(_xlfn.NORM.INV(S49,D49,'Regressão Grupo 2'!$B$7)&lt;=0,0,IF(_xlfn.NORM.INV(S49,D49,'Regressão Grupo 2'!$B$7)&gt;100%,100%,_xlfn.NORM.INV(S49,D49,'Regressão Grupo 2'!$B$7)))</f>
        <v>0.86476354511966114</v>
      </c>
      <c r="G49" s="41">
        <v>1.2011950979081313E-2</v>
      </c>
      <c r="H49" s="41">
        <v>1.6706401150380367E-2</v>
      </c>
      <c r="I49" s="40">
        <f t="shared" si="2"/>
        <v>0</v>
      </c>
      <c r="J49" s="40">
        <f t="shared" si="3"/>
        <v>288.94173369988221</v>
      </c>
      <c r="K49" s="36">
        <v>0.16488899582733563</v>
      </c>
      <c r="L49" s="42">
        <f t="shared" si="10"/>
        <v>0</v>
      </c>
      <c r="M49" s="42">
        <f t="shared" si="10"/>
        <v>20000</v>
      </c>
      <c r="N49" s="42">
        <f t="shared" si="4"/>
        <v>3297.7799165467127</v>
      </c>
      <c r="O49" s="36">
        <v>4.5712261141537809</v>
      </c>
      <c r="P49" s="42">
        <f t="shared" si="5"/>
        <v>9828.4887698896291</v>
      </c>
      <c r="Q49" s="42"/>
      <c r="R49">
        <v>0.49333170567949464</v>
      </c>
      <c r="S49">
        <v>0.45612964262825406</v>
      </c>
      <c r="T49" s="42"/>
      <c r="U49" s="42"/>
    </row>
    <row r="50" spans="1:21" x14ac:dyDescent="0.25">
      <c r="A50" s="40">
        <f t="shared" si="6"/>
        <v>0</v>
      </c>
      <c r="B50" s="40">
        <f t="shared" si="7"/>
        <v>50</v>
      </c>
      <c r="C50" s="41">
        <f t="shared" si="0"/>
        <v>1.0313000000000001</v>
      </c>
      <c r="D50" s="41">
        <f t="shared" si="1"/>
        <v>0.88000000000000012</v>
      </c>
      <c r="E50" s="39">
        <f>IF(_xlfn.NORM.INV(R50,C50,'Regressão Grupo 2'!$B$7)&lt;=0,0,IF(_xlfn.NORM.INV(R50,C50,'Regressão Grupo 2'!$B$7)&gt;100%,100%,_xlfn.NORM.INV(R50,C50,'Regressão Grupo 2'!$B$7)))</f>
        <v>1</v>
      </c>
      <c r="F50" s="39">
        <f>IF(_xlfn.NORM.INV(S50,D50,'Regressão Grupo 2'!$B$7)&lt;=0,0,IF(_xlfn.NORM.INV(S50,D50,'Regressão Grupo 2'!$B$7)&gt;100%,100%,_xlfn.NORM.INV(S50,D50,'Regressão Grupo 2'!$B$7)))</f>
        <v>0.82527611592625583</v>
      </c>
      <c r="G50" s="41">
        <v>1.9922977192625993E-2</v>
      </c>
      <c r="H50" s="41">
        <v>2.1448527901205692E-2</v>
      </c>
      <c r="I50" s="40">
        <f t="shared" si="2"/>
        <v>0</v>
      </c>
      <c r="J50" s="40">
        <f t="shared" si="3"/>
        <v>354.01915597285921</v>
      </c>
      <c r="K50" s="36">
        <v>0.4611637411059869</v>
      </c>
      <c r="L50" s="42">
        <f t="shared" si="10"/>
        <v>0</v>
      </c>
      <c r="M50" s="42">
        <f t="shared" si="10"/>
        <v>20000</v>
      </c>
      <c r="N50" s="42">
        <f t="shared" si="4"/>
        <v>9223.274822119738</v>
      </c>
      <c r="O50" s="36">
        <v>7.8534291881307734</v>
      </c>
      <c r="P50" s="42">
        <f t="shared" si="5"/>
        <v>5697.4186038485495</v>
      </c>
      <c r="Q50" s="42"/>
      <c r="R50">
        <v>0.86880092776268802</v>
      </c>
      <c r="S50">
        <v>0.34614093447676014</v>
      </c>
      <c r="T50" s="42"/>
      <c r="U50" s="42"/>
    </row>
    <row r="51" spans="1:21" x14ac:dyDescent="0.25">
      <c r="A51" s="40">
        <f t="shared" si="6"/>
        <v>0</v>
      </c>
      <c r="B51" s="40">
        <f t="shared" si="7"/>
        <v>50</v>
      </c>
      <c r="C51" s="41">
        <f t="shared" si="0"/>
        <v>1.0313000000000001</v>
      </c>
      <c r="D51" s="41">
        <f t="shared" si="1"/>
        <v>0.88000000000000012</v>
      </c>
      <c r="E51" s="39">
        <f>IF(_xlfn.NORM.INV(R51,C51,'Regressão Grupo 2'!$B$7)&lt;=0,0,IF(_xlfn.NORM.INV(R51,C51,'Regressão Grupo 2'!$B$7)&gt;100%,100%,_xlfn.NORM.INV(R51,C51,'Regressão Grupo 2'!$B$7)))</f>
        <v>1</v>
      </c>
      <c r="F51" s="39">
        <f>IF(_xlfn.NORM.INV(S51,D51,'Regressão Grupo 2'!$B$7)&lt;=0,0,IF(_xlfn.NORM.INV(S51,D51,'Regressão Grupo 2'!$B$7)&gt;100%,100%,_xlfn.NORM.INV(S51,D51,'Regressão Grupo 2'!$B$7)))</f>
        <v>0.80298162376877524</v>
      </c>
      <c r="G51" s="41">
        <v>1.043532315699275E-2</v>
      </c>
      <c r="H51" s="41">
        <v>1.9961111586795137E-2</v>
      </c>
      <c r="I51" s="40">
        <f t="shared" si="2"/>
        <v>0</v>
      </c>
      <c r="J51" s="40">
        <f t="shared" si="3"/>
        <v>320.56811588388945</v>
      </c>
      <c r="K51" s="36">
        <v>0.27934052511540564</v>
      </c>
      <c r="L51" s="42">
        <f t="shared" si="10"/>
        <v>0</v>
      </c>
      <c r="M51" s="42">
        <f t="shared" si="10"/>
        <v>20000</v>
      </c>
      <c r="N51" s="42">
        <f t="shared" si="4"/>
        <v>5586.8105023081125</v>
      </c>
      <c r="O51" s="36">
        <v>7.6640475807255548</v>
      </c>
      <c r="P51" s="42">
        <f t="shared" si="5"/>
        <v>7984.7459988886867</v>
      </c>
      <c r="Q51" s="42"/>
      <c r="R51">
        <v>0.4119693594164861</v>
      </c>
      <c r="S51">
        <v>0.28876613666188544</v>
      </c>
      <c r="T51" s="42"/>
      <c r="U51" s="42"/>
    </row>
    <row r="52" spans="1:21" x14ac:dyDescent="0.25">
      <c r="A52" s="40">
        <f t="shared" si="6"/>
        <v>0</v>
      </c>
      <c r="B52" s="40">
        <f t="shared" si="7"/>
        <v>50</v>
      </c>
      <c r="C52" s="41">
        <f t="shared" si="0"/>
        <v>1.0313000000000001</v>
      </c>
      <c r="D52" s="41">
        <f t="shared" si="1"/>
        <v>0.88000000000000012</v>
      </c>
      <c r="E52" s="39">
        <f>IF(_xlfn.NORM.INV(R52,C52,'Regressão Grupo 2'!$B$7)&lt;=0,0,IF(_xlfn.NORM.INV(R52,C52,'Regressão Grupo 2'!$B$7)&gt;100%,100%,_xlfn.NORM.INV(R52,C52,'Regressão Grupo 2'!$B$7)))</f>
        <v>0.9300588735089268</v>
      </c>
      <c r="F52" s="39">
        <f>IF(_xlfn.NORM.INV(S52,D52,'Regressão Grupo 2'!$B$7)&lt;=0,0,IF(_xlfn.NORM.INV(S52,D52,'Regressão Grupo 2'!$B$7)&gt;100%,100%,_xlfn.NORM.INV(S52,D52,'Regressão Grupo 2'!$B$7)))</f>
        <v>0.99252251449398854</v>
      </c>
      <c r="G52" s="41">
        <v>8.2699024980233439E-3</v>
      </c>
      <c r="H52" s="41">
        <v>1.6977045086577158E-2</v>
      </c>
      <c r="I52" s="40">
        <f t="shared" si="2"/>
        <v>0</v>
      </c>
      <c r="J52" s="40">
        <f t="shared" si="3"/>
        <v>337.00198956014748</v>
      </c>
      <c r="K52" s="36">
        <v>0.33150859442649239</v>
      </c>
      <c r="L52" s="42">
        <f t="shared" si="10"/>
        <v>0</v>
      </c>
      <c r="M52" s="42">
        <f t="shared" si="10"/>
        <v>20000</v>
      </c>
      <c r="N52" s="42">
        <f t="shared" si="4"/>
        <v>6630.1718885298478</v>
      </c>
      <c r="O52" s="36">
        <v>6.7749733886202481</v>
      </c>
      <c r="P52" s="42">
        <f t="shared" si="5"/>
        <v>7936.748078295449</v>
      </c>
      <c r="Q52" s="42"/>
      <c r="R52">
        <v>0.23203222754600666</v>
      </c>
      <c r="S52">
        <v>0.79210791344950715</v>
      </c>
      <c r="T52" s="42"/>
      <c r="U52" s="42"/>
    </row>
    <row r="53" spans="1:21" x14ac:dyDescent="0.25">
      <c r="A53" s="40">
        <f t="shared" si="6"/>
        <v>0</v>
      </c>
      <c r="B53" s="40">
        <f t="shared" si="7"/>
        <v>50</v>
      </c>
      <c r="C53" s="41">
        <f t="shared" si="0"/>
        <v>1.0313000000000001</v>
      </c>
      <c r="D53" s="41">
        <f t="shared" si="1"/>
        <v>0.88000000000000012</v>
      </c>
      <c r="E53" s="39">
        <f>IF(_xlfn.NORM.INV(R53,C53,'Regressão Grupo 2'!$B$7)&lt;=0,0,IF(_xlfn.NORM.INV(R53,C53,'Regressão Grupo 2'!$B$7)&gt;100%,100%,_xlfn.NORM.INV(R53,C53,'Regressão Grupo 2'!$B$7)))</f>
        <v>0.8615583759093246</v>
      </c>
      <c r="F53" s="39">
        <f>IF(_xlfn.NORM.INV(S53,D53,'Regressão Grupo 2'!$B$7)&lt;=0,0,IF(_xlfn.NORM.INV(S53,D53,'Regressão Grupo 2'!$B$7)&gt;100%,100%,_xlfn.NORM.INV(S53,D53,'Regressão Grupo 2'!$B$7)))</f>
        <v>0.74273846164694768</v>
      </c>
      <c r="G53" s="41">
        <v>2.238586956628285E-2</v>
      </c>
      <c r="H53" s="41">
        <v>1.6565759446052424E-2</v>
      </c>
      <c r="I53" s="40">
        <f t="shared" si="2"/>
        <v>0</v>
      </c>
      <c r="J53" s="40">
        <f t="shared" si="3"/>
        <v>246.08053373948738</v>
      </c>
      <c r="K53" s="36">
        <v>0.16709101646764357</v>
      </c>
      <c r="L53" s="42">
        <f t="shared" si="10"/>
        <v>0</v>
      </c>
      <c r="M53" s="42">
        <f t="shared" si="10"/>
        <v>20000</v>
      </c>
      <c r="N53" s="42">
        <f t="shared" si="4"/>
        <v>3341.8203293528713</v>
      </c>
      <c r="O53" s="36">
        <v>9.255151565488358</v>
      </c>
      <c r="P53" s="42">
        <f t="shared" si="5"/>
        <v>6684.6937205462691</v>
      </c>
      <c r="Q53" s="42"/>
      <c r="R53">
        <v>0.1098055970946379</v>
      </c>
      <c r="S53">
        <v>0.16043580431531723</v>
      </c>
      <c r="T53" s="42"/>
      <c r="U53" s="42"/>
    </row>
    <row r="54" spans="1:21" x14ac:dyDescent="0.25">
      <c r="A54" s="40">
        <f t="shared" si="6"/>
        <v>0</v>
      </c>
      <c r="B54" s="40">
        <f t="shared" si="7"/>
        <v>50</v>
      </c>
      <c r="C54" s="41">
        <f t="shared" si="0"/>
        <v>1.0313000000000001</v>
      </c>
      <c r="D54" s="41">
        <f t="shared" si="1"/>
        <v>0.88000000000000012</v>
      </c>
      <c r="E54" s="39">
        <f>IF(_xlfn.NORM.INV(R54,C54,'Regressão Grupo 2'!$B$7)&lt;=0,0,IF(_xlfn.NORM.INV(R54,C54,'Regressão Grupo 2'!$B$7)&gt;100%,100%,_xlfn.NORM.INV(R54,C54,'Regressão Grupo 2'!$B$7)))</f>
        <v>1</v>
      </c>
      <c r="F54" s="39">
        <f>IF(_xlfn.NORM.INV(S54,D54,'Regressão Grupo 2'!$B$7)&lt;=0,0,IF(_xlfn.NORM.INV(S54,D54,'Regressão Grupo 2'!$B$7)&gt;100%,100%,_xlfn.NORM.INV(S54,D54,'Regressão Grupo 2'!$B$7)))</f>
        <v>1</v>
      </c>
      <c r="G54" s="41">
        <v>2.0728532262784507E-2</v>
      </c>
      <c r="H54" s="41">
        <v>1.8759760223657961E-2</v>
      </c>
      <c r="I54" s="40">
        <f t="shared" si="2"/>
        <v>0</v>
      </c>
      <c r="J54" s="40">
        <f t="shared" si="3"/>
        <v>375.19520447315921</v>
      </c>
      <c r="K54" s="36">
        <v>0.21413617824532344</v>
      </c>
      <c r="L54" s="42">
        <f t="shared" si="10"/>
        <v>0</v>
      </c>
      <c r="M54" s="42">
        <f t="shared" si="10"/>
        <v>20000</v>
      </c>
      <c r="N54" s="42">
        <f t="shared" si="4"/>
        <v>4282.7235649064687</v>
      </c>
      <c r="O54" s="36">
        <v>4.9021728588534677</v>
      </c>
      <c r="P54" s="42">
        <f t="shared" si="5"/>
        <v>12637.764910611193</v>
      </c>
      <c r="Q54" s="42"/>
      <c r="R54">
        <v>0.50453199865718557</v>
      </c>
      <c r="S54">
        <v>0.96230964079714343</v>
      </c>
      <c r="T54" s="42"/>
      <c r="U54" s="42"/>
    </row>
    <row r="55" spans="1:21" x14ac:dyDescent="0.25">
      <c r="A55" s="40">
        <f t="shared" si="6"/>
        <v>0</v>
      </c>
      <c r="B55" s="40">
        <f t="shared" si="7"/>
        <v>50</v>
      </c>
      <c r="C55" s="41">
        <f t="shared" si="0"/>
        <v>1.0313000000000001</v>
      </c>
      <c r="D55" s="41">
        <f t="shared" si="1"/>
        <v>0.88000000000000012</v>
      </c>
      <c r="E55" s="39">
        <f>IF(_xlfn.NORM.INV(R55,C55,'Regressão Grupo 2'!$B$7)&lt;=0,0,IF(_xlfn.NORM.INV(R55,C55,'Regressão Grupo 2'!$B$7)&gt;100%,100%,_xlfn.NORM.INV(R55,C55,'Regressão Grupo 2'!$B$7)))</f>
        <v>1</v>
      </c>
      <c r="F55" s="39">
        <f>IF(_xlfn.NORM.INV(S55,D55,'Regressão Grupo 2'!$B$7)&lt;=0,0,IF(_xlfn.NORM.INV(S55,D55,'Regressão Grupo 2'!$B$7)&gt;100%,100%,_xlfn.NORM.INV(S55,D55,'Regressão Grupo 2'!$B$7)))</f>
        <v>0.62243201739218756</v>
      </c>
      <c r="G55" s="41">
        <v>1.7557952495742289E-2</v>
      </c>
      <c r="H55" s="41">
        <v>2.2213675671287823E-2</v>
      </c>
      <c r="I55" s="40">
        <f t="shared" si="2"/>
        <v>0</v>
      </c>
      <c r="J55" s="40">
        <f t="shared" si="3"/>
        <v>276.5300592355087</v>
      </c>
      <c r="K55" s="36">
        <v>0.23831154012023772</v>
      </c>
      <c r="L55" s="42">
        <f t="shared" ref="L55:M70" si="11">L54</f>
        <v>0</v>
      </c>
      <c r="M55" s="42">
        <f t="shared" si="11"/>
        <v>20000</v>
      </c>
      <c r="N55" s="42">
        <f t="shared" si="4"/>
        <v>4766.2308024047543</v>
      </c>
      <c r="O55" s="36">
        <v>4.3906970293750129</v>
      </c>
      <c r="P55" s="42">
        <f t="shared" si="5"/>
        <v>7846.1124497524361</v>
      </c>
      <c r="Q55" s="42"/>
      <c r="R55">
        <v>0.68495742667928095</v>
      </c>
      <c r="S55">
        <v>3.1250953703421125E-2</v>
      </c>
      <c r="T55" s="42"/>
      <c r="U55" s="42"/>
    </row>
    <row r="56" spans="1:21" x14ac:dyDescent="0.25">
      <c r="A56" s="40">
        <f t="shared" si="6"/>
        <v>0</v>
      </c>
      <c r="B56" s="40">
        <f t="shared" si="7"/>
        <v>50</v>
      </c>
      <c r="C56" s="41">
        <f t="shared" si="0"/>
        <v>1.0313000000000001</v>
      </c>
      <c r="D56" s="41">
        <f t="shared" si="1"/>
        <v>0.88000000000000012</v>
      </c>
      <c r="E56" s="39">
        <f>IF(_xlfn.NORM.INV(R56,C56,'Regressão Grupo 2'!$B$7)&lt;=0,0,IF(_xlfn.NORM.INV(R56,C56,'Regressão Grupo 2'!$B$7)&gt;100%,100%,_xlfn.NORM.INV(R56,C56,'Regressão Grupo 2'!$B$7)))</f>
        <v>1</v>
      </c>
      <c r="F56" s="39">
        <f>IF(_xlfn.NORM.INV(S56,D56,'Regressão Grupo 2'!$B$7)&lt;=0,0,IF(_xlfn.NORM.INV(S56,D56,'Regressão Grupo 2'!$B$7)&gt;100%,100%,_xlfn.NORM.INV(S56,D56,'Regressão Grupo 2'!$B$7)))</f>
        <v>0.90665644922640343</v>
      </c>
      <c r="G56" s="41">
        <v>2.1519733306607003E-2</v>
      </c>
      <c r="H56" s="41">
        <v>2.0485463021379258E-2</v>
      </c>
      <c r="I56" s="40">
        <f t="shared" si="2"/>
        <v>0</v>
      </c>
      <c r="J56" s="40">
        <f t="shared" si="3"/>
        <v>371.46554327445011</v>
      </c>
      <c r="K56" s="36">
        <v>0.24166712854347483</v>
      </c>
      <c r="L56" s="42">
        <f t="shared" si="11"/>
        <v>0</v>
      </c>
      <c r="M56" s="42">
        <f t="shared" si="11"/>
        <v>20000</v>
      </c>
      <c r="N56" s="42">
        <f t="shared" si="4"/>
        <v>4833.3425708694967</v>
      </c>
      <c r="O56" s="36">
        <v>7.9796513211778679</v>
      </c>
      <c r="P56" s="42">
        <f t="shared" si="5"/>
        <v>10775.769079690988</v>
      </c>
      <c r="Q56" s="42"/>
      <c r="R56">
        <v>0.54292428357799005</v>
      </c>
      <c r="S56">
        <v>0.57643360698263502</v>
      </c>
      <c r="T56" s="42"/>
      <c r="U56" s="42"/>
    </row>
    <row r="57" spans="1:21" x14ac:dyDescent="0.25">
      <c r="A57" s="40">
        <f t="shared" si="6"/>
        <v>0</v>
      </c>
      <c r="B57" s="40">
        <f t="shared" si="7"/>
        <v>50</v>
      </c>
      <c r="C57" s="41">
        <f t="shared" si="0"/>
        <v>1.0313000000000001</v>
      </c>
      <c r="D57" s="41">
        <f t="shared" si="1"/>
        <v>0.88000000000000012</v>
      </c>
      <c r="E57" s="39">
        <f>IF(_xlfn.NORM.INV(R57,C57,'Regressão Grupo 2'!$B$7)&lt;=0,0,IF(_xlfn.NORM.INV(R57,C57,'Regressão Grupo 2'!$B$7)&gt;100%,100%,_xlfn.NORM.INV(R57,C57,'Regressão Grupo 2'!$B$7)))</f>
        <v>1</v>
      </c>
      <c r="F57" s="39">
        <f>IF(_xlfn.NORM.INV(S57,D57,'Regressão Grupo 2'!$B$7)&lt;=0,0,IF(_xlfn.NORM.INV(S57,D57,'Regressão Grupo 2'!$B$7)&gt;100%,100%,_xlfn.NORM.INV(S57,D57,'Regressão Grupo 2'!$B$7)))</f>
        <v>0.69463186436856938</v>
      </c>
      <c r="G57" s="41">
        <v>1.1065854743871499E-2</v>
      </c>
      <c r="H57" s="41">
        <v>1.0726737824609594E-2</v>
      </c>
      <c r="I57" s="40">
        <f t="shared" si="2"/>
        <v>0</v>
      </c>
      <c r="J57" s="40">
        <f t="shared" si="3"/>
        <v>149.02267787402829</v>
      </c>
      <c r="K57" s="36">
        <v>0.24828316143640913</v>
      </c>
      <c r="L57" s="42">
        <f t="shared" si="11"/>
        <v>0</v>
      </c>
      <c r="M57" s="42">
        <f t="shared" si="11"/>
        <v>20000</v>
      </c>
      <c r="N57" s="42">
        <f t="shared" si="4"/>
        <v>4965.6632287281827</v>
      </c>
      <c r="O57" s="36">
        <v>7.1536833330836123</v>
      </c>
      <c r="P57" s="42">
        <f t="shared" si="5"/>
        <v>1419.4096180143079</v>
      </c>
      <c r="Q57" s="42"/>
      <c r="R57">
        <v>0.60975981933042389</v>
      </c>
      <c r="S57">
        <v>9.0029602954191712E-2</v>
      </c>
      <c r="T57" s="42"/>
      <c r="U57" s="42"/>
    </row>
    <row r="58" spans="1:21" x14ac:dyDescent="0.25">
      <c r="A58" s="40">
        <f t="shared" si="6"/>
        <v>0</v>
      </c>
      <c r="B58" s="40">
        <f t="shared" si="7"/>
        <v>50</v>
      </c>
      <c r="C58" s="41">
        <f t="shared" si="0"/>
        <v>1.0313000000000001</v>
      </c>
      <c r="D58" s="41">
        <f t="shared" si="1"/>
        <v>0.88000000000000012</v>
      </c>
      <c r="E58" s="39">
        <f>IF(_xlfn.NORM.INV(R58,C58,'Regressão Grupo 2'!$B$7)&lt;=0,0,IF(_xlfn.NORM.INV(R58,C58,'Regressão Grupo 2'!$B$7)&gt;100%,100%,_xlfn.NORM.INV(R58,C58,'Regressão Grupo 2'!$B$7)))</f>
        <v>1</v>
      </c>
      <c r="F58" s="39">
        <f>IF(_xlfn.NORM.INV(S58,D58,'Regressão Grupo 2'!$B$7)&lt;=0,0,IF(_xlfn.NORM.INV(S58,D58,'Regressão Grupo 2'!$B$7)&gt;100%,100%,_xlfn.NORM.INV(S58,D58,'Regressão Grupo 2'!$B$7)))</f>
        <v>0.96970712863283248</v>
      </c>
      <c r="G58" s="41">
        <v>2.2634978158598613E-2</v>
      </c>
      <c r="H58" s="41">
        <v>2.0661940875573315E-2</v>
      </c>
      <c r="I58" s="40">
        <f t="shared" si="2"/>
        <v>0</v>
      </c>
      <c r="J58" s="40">
        <f t="shared" si="3"/>
        <v>400.72062716867106</v>
      </c>
      <c r="K58" s="36">
        <v>0.11473736030700069</v>
      </c>
      <c r="L58" s="42">
        <f t="shared" si="11"/>
        <v>0</v>
      </c>
      <c r="M58" s="42">
        <f t="shared" si="11"/>
        <v>20000</v>
      </c>
      <c r="N58" s="42">
        <f t="shared" si="4"/>
        <v>2294.7472061400135</v>
      </c>
      <c r="O58" s="36">
        <v>9.3421954846372195</v>
      </c>
      <c r="P58" s="42">
        <f t="shared" si="5"/>
        <v>13997.673718557386</v>
      </c>
      <c r="Q58" s="42"/>
      <c r="R58">
        <v>0.46266060365611744</v>
      </c>
      <c r="S58">
        <v>0.74175237281411177</v>
      </c>
      <c r="T58" s="42"/>
      <c r="U58" s="42"/>
    </row>
    <row r="59" spans="1:21" x14ac:dyDescent="0.25">
      <c r="A59" s="40">
        <f t="shared" si="6"/>
        <v>0</v>
      </c>
      <c r="B59" s="40">
        <f t="shared" si="7"/>
        <v>50</v>
      </c>
      <c r="C59" s="41">
        <f t="shared" si="0"/>
        <v>1.0313000000000001</v>
      </c>
      <c r="D59" s="41">
        <f t="shared" si="1"/>
        <v>0.88000000000000012</v>
      </c>
      <c r="E59" s="39">
        <f>IF(_xlfn.NORM.INV(R59,C59,'Regressão Grupo 2'!$B$7)&lt;=0,0,IF(_xlfn.NORM.INV(R59,C59,'Regressão Grupo 2'!$B$7)&gt;100%,100%,_xlfn.NORM.INV(R59,C59,'Regressão Grupo 2'!$B$7)))</f>
        <v>1</v>
      </c>
      <c r="F59" s="39">
        <f>IF(_xlfn.NORM.INV(S59,D59,'Regressão Grupo 2'!$B$7)&lt;=0,0,IF(_xlfn.NORM.INV(S59,D59,'Regressão Grupo 2'!$B$7)&gt;100%,100%,_xlfn.NORM.INV(S59,D59,'Regressão Grupo 2'!$B$7)))</f>
        <v>1</v>
      </c>
      <c r="G59" s="41">
        <v>1.7621648185665209E-2</v>
      </c>
      <c r="H59" s="41">
        <v>1.1904046523080176E-2</v>
      </c>
      <c r="I59" s="40">
        <f t="shared" si="2"/>
        <v>0</v>
      </c>
      <c r="J59" s="40">
        <f t="shared" si="3"/>
        <v>238.08093046160351</v>
      </c>
      <c r="K59" s="36">
        <v>0.34072053069896197</v>
      </c>
      <c r="L59" s="42">
        <f t="shared" si="11"/>
        <v>0</v>
      </c>
      <c r="M59" s="42">
        <f t="shared" si="11"/>
        <v>20000</v>
      </c>
      <c r="N59" s="42">
        <f t="shared" si="4"/>
        <v>6814.4106139792393</v>
      </c>
      <c r="O59" s="36">
        <v>4.985167642754841</v>
      </c>
      <c r="P59" s="42">
        <f t="shared" si="5"/>
        <v>3902.7625582067858</v>
      </c>
      <c r="Q59" s="42"/>
      <c r="R59">
        <v>0.70165105136265149</v>
      </c>
      <c r="S59">
        <v>0.96710104678487507</v>
      </c>
      <c r="T59" s="42"/>
      <c r="U59" s="42"/>
    </row>
    <row r="60" spans="1:21" x14ac:dyDescent="0.25">
      <c r="A60" s="40">
        <f t="shared" si="6"/>
        <v>0</v>
      </c>
      <c r="B60" s="40">
        <f t="shared" si="7"/>
        <v>50</v>
      </c>
      <c r="C60" s="41">
        <f t="shared" si="0"/>
        <v>1.0313000000000001</v>
      </c>
      <c r="D60" s="41">
        <f t="shared" si="1"/>
        <v>0.88000000000000012</v>
      </c>
      <c r="E60" s="39">
        <f>IF(_xlfn.NORM.INV(R60,C60,'Regressão Grupo 2'!$B$7)&lt;=0,0,IF(_xlfn.NORM.INV(R60,C60,'Regressão Grupo 2'!$B$7)&gt;100%,100%,_xlfn.NORM.INV(R60,C60,'Regressão Grupo 2'!$B$7)))</f>
        <v>1</v>
      </c>
      <c r="F60" s="39">
        <f>IF(_xlfn.NORM.INV(S60,D60,'Regressão Grupo 2'!$B$7)&lt;=0,0,IF(_xlfn.NORM.INV(S60,D60,'Regressão Grupo 2'!$B$7)&gt;100%,100%,_xlfn.NORM.INV(S60,D60,'Regressão Grupo 2'!$B$7)))</f>
        <v>0.71453615471963916</v>
      </c>
      <c r="G60" s="41">
        <v>1.5216826675732516E-2</v>
      </c>
      <c r="H60" s="41">
        <v>2.5543589549124293E-2</v>
      </c>
      <c r="I60" s="40">
        <f t="shared" si="2"/>
        <v>0</v>
      </c>
      <c r="J60" s="40">
        <f t="shared" si="3"/>
        <v>365.03636508336069</v>
      </c>
      <c r="K60" s="36">
        <v>0.27607653421158473</v>
      </c>
      <c r="L60" s="42">
        <f t="shared" si="11"/>
        <v>0</v>
      </c>
      <c r="M60" s="42">
        <f t="shared" si="11"/>
        <v>20000</v>
      </c>
      <c r="N60" s="42">
        <f t="shared" si="4"/>
        <v>5521.530684231695</v>
      </c>
      <c r="O60" s="36">
        <v>7.4320018932396739</v>
      </c>
      <c r="P60" s="42">
        <f t="shared" si="5"/>
        <v>10017.336613535475</v>
      </c>
      <c r="Q60" s="42"/>
      <c r="R60">
        <v>0.62544633320108645</v>
      </c>
      <c r="S60">
        <v>0.11572618793298135</v>
      </c>
      <c r="T60" s="42"/>
      <c r="U60" s="42"/>
    </row>
    <row r="61" spans="1:21" x14ac:dyDescent="0.25">
      <c r="A61" s="40">
        <f t="shared" si="6"/>
        <v>0</v>
      </c>
      <c r="B61" s="40">
        <f t="shared" si="7"/>
        <v>50</v>
      </c>
      <c r="C61" s="41">
        <f t="shared" si="0"/>
        <v>1.0313000000000001</v>
      </c>
      <c r="D61" s="41">
        <f t="shared" si="1"/>
        <v>0.88000000000000012</v>
      </c>
      <c r="E61" s="39">
        <f>IF(_xlfn.NORM.INV(R61,C61,'Regressão Grupo 2'!$B$7)&lt;=0,0,IF(_xlfn.NORM.INV(R61,C61,'Regressão Grupo 2'!$B$7)&gt;100%,100%,_xlfn.NORM.INV(R61,C61,'Regressão Grupo 2'!$B$7)))</f>
        <v>0.94230971806938368</v>
      </c>
      <c r="F61" s="39">
        <f>IF(_xlfn.NORM.INV(S61,D61,'Regressão Grupo 2'!$B$7)&lt;=0,0,IF(_xlfn.NORM.INV(S61,D61,'Regressão Grupo 2'!$B$7)&gt;100%,100%,_xlfn.NORM.INV(S61,D61,'Regressão Grupo 2'!$B$7)))</f>
        <v>0.86207865322925636</v>
      </c>
      <c r="G61" s="41">
        <v>2.1736693839130294E-2</v>
      </c>
      <c r="H61" s="41">
        <v>2.6443709489705255E-3</v>
      </c>
      <c r="I61" s="40">
        <f t="shared" si="2"/>
        <v>0</v>
      </c>
      <c r="J61" s="40">
        <f t="shared" si="3"/>
        <v>45.593114926541624</v>
      </c>
      <c r="K61" s="36">
        <v>0.24825304315798388</v>
      </c>
      <c r="L61" s="42">
        <f t="shared" si="11"/>
        <v>0</v>
      </c>
      <c r="M61" s="42">
        <f t="shared" si="11"/>
        <v>20000</v>
      </c>
      <c r="N61" s="42">
        <f t="shared" si="4"/>
        <v>4965.0608631596779</v>
      </c>
      <c r="O61" s="36">
        <v>7.6200450077175521</v>
      </c>
      <c r="P61" s="42">
        <f t="shared" si="5"/>
        <v>-3032.8267046148831</v>
      </c>
      <c r="Q61" s="42"/>
      <c r="R61">
        <v>0.25992614520706808</v>
      </c>
      <c r="S61">
        <v>0.44843897824030277</v>
      </c>
      <c r="T61" s="42"/>
      <c r="U61" s="42"/>
    </row>
    <row r="62" spans="1:21" x14ac:dyDescent="0.25">
      <c r="A62" s="40">
        <f t="shared" si="6"/>
        <v>0</v>
      </c>
      <c r="B62" s="40">
        <f t="shared" si="7"/>
        <v>50</v>
      </c>
      <c r="C62" s="41">
        <f t="shared" si="0"/>
        <v>1.0313000000000001</v>
      </c>
      <c r="D62" s="41">
        <f t="shared" si="1"/>
        <v>0.88000000000000012</v>
      </c>
      <c r="E62" s="39">
        <f>IF(_xlfn.NORM.INV(R62,C62,'Regressão Grupo 2'!$B$7)&lt;=0,0,IF(_xlfn.NORM.INV(R62,C62,'Regressão Grupo 2'!$B$7)&gt;100%,100%,_xlfn.NORM.INV(R62,C62,'Regressão Grupo 2'!$B$7)))</f>
        <v>0.86939568501534004</v>
      </c>
      <c r="F62" s="39">
        <f>IF(_xlfn.NORM.INV(S62,D62,'Regressão Grupo 2'!$B$7)&lt;=0,0,IF(_xlfn.NORM.INV(S62,D62,'Regressão Grupo 2'!$B$7)&gt;100%,100%,_xlfn.NORM.INV(S62,D62,'Regressão Grupo 2'!$B$7)))</f>
        <v>0.91026518943674062</v>
      </c>
      <c r="G62" s="41">
        <v>2.3489578348797481E-2</v>
      </c>
      <c r="H62" s="41">
        <v>8.7952757172688762E-3</v>
      </c>
      <c r="I62" s="40">
        <f t="shared" si="2"/>
        <v>0</v>
      </c>
      <c r="J62" s="40">
        <f t="shared" si="3"/>
        <v>160.12066633856236</v>
      </c>
      <c r="K62" s="36">
        <v>0.30539623218039952</v>
      </c>
      <c r="L62" s="42">
        <f t="shared" si="11"/>
        <v>0</v>
      </c>
      <c r="M62" s="42">
        <f t="shared" si="11"/>
        <v>20000</v>
      </c>
      <c r="N62" s="42">
        <f t="shared" si="4"/>
        <v>6107.9246436079902</v>
      </c>
      <c r="O62" s="36">
        <v>4.5432878988373249</v>
      </c>
      <c r="P62" s="42">
        <f t="shared" si="5"/>
        <v>1170.6343875903676</v>
      </c>
      <c r="Q62" s="42"/>
      <c r="R62">
        <v>0.12082277901547288</v>
      </c>
      <c r="S62">
        <v>0.58662678914761801</v>
      </c>
      <c r="T62" s="42"/>
      <c r="U62" s="42"/>
    </row>
    <row r="63" spans="1:21" x14ac:dyDescent="0.25">
      <c r="A63" s="40">
        <f t="shared" si="6"/>
        <v>0</v>
      </c>
      <c r="B63" s="40">
        <f t="shared" si="7"/>
        <v>50</v>
      </c>
      <c r="C63" s="41">
        <f t="shared" si="0"/>
        <v>1.0313000000000001</v>
      </c>
      <c r="D63" s="41">
        <f t="shared" si="1"/>
        <v>0.88000000000000012</v>
      </c>
      <c r="E63" s="39">
        <f>IF(_xlfn.NORM.INV(R63,C63,'Regressão Grupo 2'!$B$7)&lt;=0,0,IF(_xlfn.NORM.INV(R63,C63,'Regressão Grupo 2'!$B$7)&gt;100%,100%,_xlfn.NORM.INV(R63,C63,'Regressão Grupo 2'!$B$7)))</f>
        <v>1</v>
      </c>
      <c r="F63" s="39">
        <f>IF(_xlfn.NORM.INV(S63,D63,'Regressão Grupo 2'!$B$7)&lt;=0,0,IF(_xlfn.NORM.INV(S63,D63,'Regressão Grupo 2'!$B$7)&gt;100%,100%,_xlfn.NORM.INV(S63,D63,'Regressão Grupo 2'!$B$7)))</f>
        <v>1</v>
      </c>
      <c r="G63" s="41">
        <v>8.0540301168450373E-3</v>
      </c>
      <c r="H63" s="41">
        <v>3.9571844073195165E-3</v>
      </c>
      <c r="I63" s="40">
        <f t="shared" si="2"/>
        <v>0</v>
      </c>
      <c r="J63" s="40">
        <f t="shared" si="3"/>
        <v>79.143688146390332</v>
      </c>
      <c r="K63" s="36">
        <v>0.30813276722876437</v>
      </c>
      <c r="L63" s="42">
        <f t="shared" si="11"/>
        <v>0</v>
      </c>
      <c r="M63" s="42">
        <f t="shared" si="11"/>
        <v>20000</v>
      </c>
      <c r="N63" s="42">
        <f t="shared" si="4"/>
        <v>6162.655344575287</v>
      </c>
      <c r="O63" s="36">
        <v>7.9776735794839517</v>
      </c>
      <c r="P63" s="42">
        <f t="shared" si="5"/>
        <v>-2836.853447164146</v>
      </c>
      <c r="Q63" s="42"/>
      <c r="R63">
        <v>0.65001373332926415</v>
      </c>
      <c r="S63">
        <v>0.84868923001800589</v>
      </c>
      <c r="T63" s="42"/>
      <c r="U63" s="42"/>
    </row>
    <row r="64" spans="1:21" x14ac:dyDescent="0.25">
      <c r="A64" s="40">
        <f t="shared" si="6"/>
        <v>0</v>
      </c>
      <c r="B64" s="40">
        <f t="shared" si="7"/>
        <v>50</v>
      </c>
      <c r="C64" s="41">
        <f t="shared" si="0"/>
        <v>1.0313000000000001</v>
      </c>
      <c r="D64" s="41">
        <f t="shared" si="1"/>
        <v>0.88000000000000012</v>
      </c>
      <c r="E64" s="39">
        <f>IF(_xlfn.NORM.INV(R64,C64,'Regressão Grupo 2'!$B$7)&lt;=0,0,IF(_xlfn.NORM.INV(R64,C64,'Regressão Grupo 2'!$B$7)&gt;100%,100%,_xlfn.NORM.INV(R64,C64,'Regressão Grupo 2'!$B$7)))</f>
        <v>0.94787271353233871</v>
      </c>
      <c r="F64" s="39">
        <f>IF(_xlfn.NORM.INV(S64,D64,'Regressão Grupo 2'!$B$7)&lt;=0,0,IF(_xlfn.NORM.INV(S64,D64,'Regressão Grupo 2'!$B$7)&gt;100%,100%,_xlfn.NORM.INV(S64,D64,'Regressão Grupo 2'!$B$7)))</f>
        <v>1</v>
      </c>
      <c r="G64" s="41">
        <v>1.4825833801829296E-2</v>
      </c>
      <c r="H64" s="41">
        <v>1.2952635991675324E-2</v>
      </c>
      <c r="I64" s="40">
        <f t="shared" si="2"/>
        <v>0</v>
      </c>
      <c r="J64" s="40">
        <f t="shared" si="3"/>
        <v>259.0527198335065</v>
      </c>
      <c r="K64" s="36">
        <v>0.40970421440859572</v>
      </c>
      <c r="L64" s="42">
        <f t="shared" si="11"/>
        <v>0</v>
      </c>
      <c r="M64" s="42">
        <f t="shared" si="11"/>
        <v>20000</v>
      </c>
      <c r="N64" s="42">
        <f t="shared" si="4"/>
        <v>8194.0842881719145</v>
      </c>
      <c r="O64" s="36">
        <v>2.2316005524169182</v>
      </c>
      <c r="P64" s="42">
        <f t="shared" si="5"/>
        <v>4180.4495108178526</v>
      </c>
      <c r="Q64" s="42"/>
      <c r="R64">
        <v>0.27314065981017488</v>
      </c>
      <c r="S64">
        <v>0.87722403637806334</v>
      </c>
      <c r="T64" s="42"/>
      <c r="U64" s="42"/>
    </row>
    <row r="65" spans="1:21" x14ac:dyDescent="0.25">
      <c r="A65" s="40">
        <f t="shared" si="6"/>
        <v>0</v>
      </c>
      <c r="B65" s="40">
        <f t="shared" si="7"/>
        <v>50</v>
      </c>
      <c r="C65" s="41">
        <f t="shared" si="0"/>
        <v>1.0313000000000001</v>
      </c>
      <c r="D65" s="41">
        <f t="shared" si="1"/>
        <v>0.88000000000000012</v>
      </c>
      <c r="E65" s="39">
        <f>IF(_xlfn.NORM.INV(R65,C65,'Regressão Grupo 2'!$B$7)&lt;=0,0,IF(_xlfn.NORM.INV(R65,C65,'Regressão Grupo 2'!$B$7)&gt;100%,100%,_xlfn.NORM.INV(R65,C65,'Regressão Grupo 2'!$B$7)))</f>
        <v>0.86590106796676447</v>
      </c>
      <c r="F65" s="39">
        <f>IF(_xlfn.NORM.INV(S65,D65,'Regressão Grupo 2'!$B$7)&lt;=0,0,IF(_xlfn.NORM.INV(S65,D65,'Regressão Grupo 2'!$B$7)&gt;100%,100%,_xlfn.NORM.INV(S65,D65,'Regressão Grupo 2'!$B$7)))</f>
        <v>0.95174933161624775</v>
      </c>
      <c r="G65" s="41">
        <v>1.1773978744246598E-2</v>
      </c>
      <c r="H65" s="41">
        <v>1.5592692352693796E-2</v>
      </c>
      <c r="I65" s="40">
        <f t="shared" si="2"/>
        <v>0</v>
      </c>
      <c r="J65" s="40">
        <f t="shared" si="3"/>
        <v>296.80669049548197</v>
      </c>
      <c r="K65" s="36">
        <v>0.23509719528686537</v>
      </c>
      <c r="L65" s="42">
        <f t="shared" si="11"/>
        <v>0</v>
      </c>
      <c r="M65" s="42">
        <f t="shared" si="11"/>
        <v>20000</v>
      </c>
      <c r="N65" s="42">
        <f t="shared" si="4"/>
        <v>4701.9439057373074</v>
      </c>
      <c r="O65" s="36">
        <v>5.8705757559575176</v>
      </c>
      <c r="P65" s="42">
        <f t="shared" si="5"/>
        <v>8395.9644576080282</v>
      </c>
      <c r="Q65" s="42"/>
      <c r="R65">
        <v>0.11581774346140934</v>
      </c>
      <c r="S65">
        <v>0.69808038575395981</v>
      </c>
      <c r="T65" s="42"/>
      <c r="U65" s="42"/>
    </row>
    <row r="66" spans="1:21" x14ac:dyDescent="0.25">
      <c r="A66" s="40">
        <f t="shared" si="6"/>
        <v>0</v>
      </c>
      <c r="B66" s="40">
        <f t="shared" si="7"/>
        <v>50</v>
      </c>
      <c r="C66" s="41">
        <f t="shared" si="0"/>
        <v>1.0313000000000001</v>
      </c>
      <c r="D66" s="41">
        <f t="shared" si="1"/>
        <v>0.88000000000000012</v>
      </c>
      <c r="E66" s="39">
        <f>IF(_xlfn.NORM.INV(R66,C66,'Regressão Grupo 2'!$B$7)&lt;=0,0,IF(_xlfn.NORM.INV(R66,C66,'Regressão Grupo 2'!$B$7)&gt;100%,100%,_xlfn.NORM.INV(R66,C66,'Regressão Grupo 2'!$B$7)))</f>
        <v>0.91738720137643315</v>
      </c>
      <c r="F66" s="39">
        <f>IF(_xlfn.NORM.INV(S66,D66,'Regressão Grupo 2'!$B$7)&lt;=0,0,IF(_xlfn.NORM.INV(S66,D66,'Regressão Grupo 2'!$B$7)&gt;100%,100%,_xlfn.NORM.INV(S66,D66,'Regressão Grupo 2'!$B$7)))</f>
        <v>1</v>
      </c>
      <c r="G66" s="41">
        <v>5.0722528397990582E-4</v>
      </c>
      <c r="H66" s="41">
        <v>5.5611708263849976E-3</v>
      </c>
      <c r="I66" s="40">
        <f t="shared" si="2"/>
        <v>0</v>
      </c>
      <c r="J66" s="40">
        <f t="shared" si="3"/>
        <v>111.22341652769995</v>
      </c>
      <c r="K66" s="36">
        <v>0.38558837809875157</v>
      </c>
      <c r="L66" s="42">
        <f t="shared" si="11"/>
        <v>0</v>
      </c>
      <c r="M66" s="42">
        <f t="shared" si="11"/>
        <v>20000</v>
      </c>
      <c r="N66" s="42">
        <f t="shared" si="4"/>
        <v>7711.7675619750316</v>
      </c>
      <c r="O66" s="36">
        <v>4.5233705588517239</v>
      </c>
      <c r="P66" s="42">
        <f t="shared" si="5"/>
        <v>-2653.7014633663339</v>
      </c>
      <c r="Q66" s="42"/>
      <c r="R66">
        <v>0.20502334665974914</v>
      </c>
      <c r="S66">
        <v>0.97933896908474993</v>
      </c>
      <c r="T66" s="42"/>
      <c r="U66" s="42"/>
    </row>
    <row r="67" spans="1:21" x14ac:dyDescent="0.25">
      <c r="A67" s="40">
        <f t="shared" si="6"/>
        <v>0</v>
      </c>
      <c r="B67" s="40">
        <f t="shared" si="7"/>
        <v>50</v>
      </c>
      <c r="C67" s="41">
        <f t="shared" si="0"/>
        <v>1.0313000000000001</v>
      </c>
      <c r="D67" s="41">
        <f t="shared" si="1"/>
        <v>0.88000000000000012</v>
      </c>
      <c r="E67" s="39">
        <f>IF(_xlfn.NORM.INV(R67,C67,'Regressão Grupo 2'!$B$7)&lt;=0,0,IF(_xlfn.NORM.INV(R67,C67,'Regressão Grupo 2'!$B$7)&gt;100%,100%,_xlfn.NORM.INV(R67,C67,'Regressão Grupo 2'!$B$7)))</f>
        <v>0.85600688590750162</v>
      </c>
      <c r="F67" s="39">
        <f>IF(_xlfn.NORM.INV(S67,D67,'Regressão Grupo 2'!$B$7)&lt;=0,0,IF(_xlfn.NORM.INV(S67,D67,'Regressão Grupo 2'!$B$7)&gt;100%,100%,_xlfn.NORM.INV(S67,D67,'Regressão Grupo 2'!$B$7)))</f>
        <v>1</v>
      </c>
      <c r="G67" s="41">
        <v>2.7370428659757279E-2</v>
      </c>
      <c r="H67" s="41">
        <v>8.8879065086656384E-3</v>
      </c>
      <c r="I67" s="40">
        <f t="shared" si="2"/>
        <v>0</v>
      </c>
      <c r="J67" s="40">
        <f t="shared" si="3"/>
        <v>177.75813017331276</v>
      </c>
      <c r="K67" s="36">
        <v>0.24924100540125113</v>
      </c>
      <c r="L67" s="42">
        <f t="shared" si="11"/>
        <v>0</v>
      </c>
      <c r="M67" s="42">
        <f t="shared" si="11"/>
        <v>20000</v>
      </c>
      <c r="N67" s="42">
        <f t="shared" si="4"/>
        <v>4984.8201080250228</v>
      </c>
      <c r="O67" s="36">
        <v>4.9162439051277058</v>
      </c>
      <c r="P67" s="42">
        <f t="shared" si="5"/>
        <v>3029.1840765891684</v>
      </c>
      <c r="Q67" s="42"/>
      <c r="R67">
        <v>0.10245063631092258</v>
      </c>
      <c r="S67">
        <v>0.90032654805139312</v>
      </c>
      <c r="T67" s="42"/>
      <c r="U67" s="42"/>
    </row>
    <row r="68" spans="1:21" x14ac:dyDescent="0.25">
      <c r="A68" s="40">
        <f t="shared" si="6"/>
        <v>0</v>
      </c>
      <c r="B68" s="40">
        <f t="shared" si="7"/>
        <v>50</v>
      </c>
      <c r="C68" s="41">
        <f t="shared" si="0"/>
        <v>1.0313000000000001</v>
      </c>
      <c r="D68" s="41">
        <f t="shared" si="1"/>
        <v>0.88000000000000012</v>
      </c>
      <c r="E68" s="39">
        <f>IF(_xlfn.NORM.INV(R68,C68,'Regressão Grupo 2'!$B$7)&lt;=0,0,IF(_xlfn.NORM.INV(R68,C68,'Regressão Grupo 2'!$B$7)&gt;100%,100%,_xlfn.NORM.INV(R68,C68,'Regressão Grupo 2'!$B$7)))</f>
        <v>1</v>
      </c>
      <c r="F68" s="39">
        <f>IF(_xlfn.NORM.INV(S68,D68,'Regressão Grupo 2'!$B$7)&lt;=0,0,IF(_xlfn.NORM.INV(S68,D68,'Regressão Grupo 2'!$B$7)&gt;100%,100%,_xlfn.NORM.INV(S68,D68,'Regressão Grupo 2'!$B$7)))</f>
        <v>1</v>
      </c>
      <c r="G68" s="41">
        <v>8.9480153627174222E-3</v>
      </c>
      <c r="H68" s="41">
        <v>1.6808013416638075E-2</v>
      </c>
      <c r="I68" s="40">
        <f t="shared" si="2"/>
        <v>0</v>
      </c>
      <c r="J68" s="40">
        <f t="shared" si="3"/>
        <v>336.16026833276152</v>
      </c>
      <c r="K68" s="36">
        <v>0.25169145269788351</v>
      </c>
      <c r="L68" s="42">
        <f t="shared" si="11"/>
        <v>0</v>
      </c>
      <c r="M68" s="42">
        <f t="shared" si="11"/>
        <v>20000</v>
      </c>
      <c r="N68" s="42">
        <f t="shared" si="4"/>
        <v>5033.8290539576701</v>
      </c>
      <c r="O68" s="36">
        <v>3.821078585410588</v>
      </c>
      <c r="P68" s="42">
        <f t="shared" si="5"/>
        <v>10489.689560088216</v>
      </c>
      <c r="Q68" s="42"/>
      <c r="R68">
        <v>0.98907437360759298</v>
      </c>
      <c r="S68">
        <v>0.82424390392773217</v>
      </c>
      <c r="T68" s="42"/>
      <c r="U68" s="42"/>
    </row>
    <row r="69" spans="1:21" x14ac:dyDescent="0.25">
      <c r="A69" s="40">
        <f t="shared" si="6"/>
        <v>0</v>
      </c>
      <c r="B69" s="40">
        <f t="shared" si="7"/>
        <v>50</v>
      </c>
      <c r="C69" s="41">
        <f t="shared" si="0"/>
        <v>1.0313000000000001</v>
      </c>
      <c r="D69" s="41">
        <f t="shared" si="1"/>
        <v>0.88000000000000012</v>
      </c>
      <c r="E69" s="39">
        <f>IF(_xlfn.NORM.INV(R69,C69,'Regressão Grupo 2'!$B$7)&lt;=0,0,IF(_xlfn.NORM.INV(R69,C69,'Regressão Grupo 2'!$B$7)&gt;100%,100%,_xlfn.NORM.INV(R69,C69,'Regressão Grupo 2'!$B$7)))</f>
        <v>1</v>
      </c>
      <c r="F69" s="39">
        <f>IF(_xlfn.NORM.INV(S69,D69,'Regressão Grupo 2'!$B$7)&lt;=0,0,IF(_xlfn.NORM.INV(S69,D69,'Regressão Grupo 2'!$B$7)&gt;100%,100%,_xlfn.NORM.INV(S69,D69,'Regressão Grupo 2'!$B$7)))</f>
        <v>0.5879344180452426</v>
      </c>
      <c r="G69" s="41">
        <v>1.7085789139552211E-2</v>
      </c>
      <c r="H69" s="41">
        <v>2.5763443273694703E-2</v>
      </c>
      <c r="I69" s="40">
        <f t="shared" si="2"/>
        <v>0</v>
      </c>
      <c r="J69" s="40">
        <f t="shared" si="3"/>
        <v>302.94430055922629</v>
      </c>
      <c r="K69" s="36">
        <v>0.39281845064805054</v>
      </c>
      <c r="L69" s="42">
        <f t="shared" si="11"/>
        <v>0</v>
      </c>
      <c r="M69" s="42">
        <f t="shared" si="11"/>
        <v>20000</v>
      </c>
      <c r="N69" s="42">
        <f t="shared" si="4"/>
        <v>7856.3690129610113</v>
      </c>
      <c r="O69" s="36">
        <v>2.8945767919949468</v>
      </c>
      <c r="P69" s="42">
        <f t="shared" si="5"/>
        <v>6413.9504733344256</v>
      </c>
      <c r="Q69" s="42"/>
      <c r="R69">
        <v>0.86931974242378007</v>
      </c>
      <c r="S69">
        <v>1.7334513382366405E-2</v>
      </c>
      <c r="T69" s="42"/>
      <c r="U69" s="42"/>
    </row>
    <row r="70" spans="1:21" x14ac:dyDescent="0.25">
      <c r="A70" s="40">
        <f t="shared" si="6"/>
        <v>0</v>
      </c>
      <c r="B70" s="40">
        <f t="shared" si="7"/>
        <v>50</v>
      </c>
      <c r="C70" s="41">
        <f t="shared" ref="C70:C133" si="12">-0.0071*A70 + 1.0313</f>
        <v>1.0313000000000001</v>
      </c>
      <c r="D70" s="41">
        <f t="shared" ref="D70:D133" si="13">-0.0059*B70+1.175</f>
        <v>0.88000000000000012</v>
      </c>
      <c r="E70" s="39">
        <f>IF(_xlfn.NORM.INV(R70,C70,'Regressão Grupo 2'!$B$7)&lt;=0,0,IF(_xlfn.NORM.INV(R70,C70,'Regressão Grupo 2'!$B$7)&gt;100%,100%,_xlfn.NORM.INV(R70,C70,'Regressão Grupo 2'!$B$7)))</f>
        <v>1</v>
      </c>
      <c r="F70" s="39">
        <f>IF(_xlfn.NORM.INV(S70,D70,'Regressão Grupo 2'!$B$7)&lt;=0,0,IF(_xlfn.NORM.INV(S70,D70,'Regressão Grupo 2'!$B$7)&gt;100%,100%,_xlfn.NORM.INV(S70,D70,'Regressão Grupo 2'!$B$7)))</f>
        <v>0.69938012254579496</v>
      </c>
      <c r="G70" s="41">
        <v>2.3617882942723316E-2</v>
      </c>
      <c r="H70" s="41">
        <v>1.1215057147795018E-2</v>
      </c>
      <c r="I70" s="40">
        <f t="shared" ref="I70:I133" si="14">IF(E70*G70*L70&gt;0,E70*G70*L70,0)</f>
        <v>0</v>
      </c>
      <c r="J70" s="40">
        <f t="shared" ref="J70:J133" si="15">IF(F70*H70*M70&gt;0,F70*H70*M70,0)</f>
        <v>156.87176084765949</v>
      </c>
      <c r="K70" s="36">
        <v>0.31755593412373773</v>
      </c>
      <c r="L70" s="42">
        <f t="shared" si="11"/>
        <v>0</v>
      </c>
      <c r="M70" s="42">
        <f t="shared" si="11"/>
        <v>20000</v>
      </c>
      <c r="N70" s="42">
        <f t="shared" ref="N70:N133" si="16">(L70+M70)*K70</f>
        <v>6351.1186824747547</v>
      </c>
      <c r="O70" s="36">
        <v>8.3312516688189042</v>
      </c>
      <c r="P70" s="42">
        <f t="shared" ref="P70:P133" si="17">SUMPRODUCT(A70:B70,I70:J70)-SUM(I70:J70)*O70-N70</f>
        <v>185.53124055559601</v>
      </c>
      <c r="Q70" s="42"/>
      <c r="R70">
        <v>0.41828669087801751</v>
      </c>
      <c r="S70">
        <v>9.5736564226203191E-2</v>
      </c>
      <c r="T70" s="42"/>
      <c r="U70" s="42"/>
    </row>
    <row r="71" spans="1:21" x14ac:dyDescent="0.25">
      <c r="A71" s="40">
        <f t="shared" ref="A71:A134" si="18">A70</f>
        <v>0</v>
      </c>
      <c r="B71" s="40">
        <f t="shared" ref="B71:B134" si="19">B70</f>
        <v>50</v>
      </c>
      <c r="C71" s="41">
        <f t="shared" si="12"/>
        <v>1.0313000000000001</v>
      </c>
      <c r="D71" s="41">
        <f t="shared" si="13"/>
        <v>0.88000000000000012</v>
      </c>
      <c r="E71" s="39">
        <f>IF(_xlfn.NORM.INV(R71,C71,'Regressão Grupo 2'!$B$7)&lt;=0,0,IF(_xlfn.NORM.INV(R71,C71,'Regressão Grupo 2'!$B$7)&gt;100%,100%,_xlfn.NORM.INV(R71,C71,'Regressão Grupo 2'!$B$7)))</f>
        <v>1</v>
      </c>
      <c r="F71" s="39">
        <f>IF(_xlfn.NORM.INV(S71,D71,'Regressão Grupo 2'!$B$7)&lt;=0,0,IF(_xlfn.NORM.INV(S71,D71,'Regressão Grupo 2'!$B$7)&gt;100%,100%,_xlfn.NORM.INV(S71,D71,'Regressão Grupo 2'!$B$7)))</f>
        <v>1</v>
      </c>
      <c r="G71" s="41">
        <v>2.360862411769224E-2</v>
      </c>
      <c r="H71" s="41">
        <v>1.6943298515628272E-2</v>
      </c>
      <c r="I71" s="40">
        <f t="shared" si="14"/>
        <v>0</v>
      </c>
      <c r="J71" s="40">
        <f t="shared" si="15"/>
        <v>338.86597031256542</v>
      </c>
      <c r="K71" s="36">
        <v>0.48365460738491695</v>
      </c>
      <c r="L71" s="42">
        <f t="shared" ref="L71:M86" si="20">L70</f>
        <v>0</v>
      </c>
      <c r="M71" s="42">
        <f t="shared" si="20"/>
        <v>20000</v>
      </c>
      <c r="N71" s="42">
        <f t="shared" si="16"/>
        <v>9673.0921476983385</v>
      </c>
      <c r="O71" s="36">
        <v>5.5731503774306459</v>
      </c>
      <c r="P71" s="42">
        <f t="shared" si="17"/>
        <v>5381.6553575840553</v>
      </c>
      <c r="Q71" s="42"/>
      <c r="R71">
        <v>0.67595446638386181</v>
      </c>
      <c r="S71">
        <v>0.83748893704031491</v>
      </c>
      <c r="T71" s="42"/>
      <c r="U71" s="42"/>
    </row>
    <row r="72" spans="1:21" x14ac:dyDescent="0.25">
      <c r="A72" s="40">
        <f t="shared" si="18"/>
        <v>0</v>
      </c>
      <c r="B72" s="40">
        <f t="shared" si="19"/>
        <v>50</v>
      </c>
      <c r="C72" s="41">
        <f t="shared" si="12"/>
        <v>1.0313000000000001</v>
      </c>
      <c r="D72" s="41">
        <f t="shared" si="13"/>
        <v>0.88000000000000012</v>
      </c>
      <c r="E72" s="39">
        <f>IF(_xlfn.NORM.INV(R72,C72,'Regressão Grupo 2'!$B$7)&lt;=0,0,IF(_xlfn.NORM.INV(R72,C72,'Regressão Grupo 2'!$B$7)&gt;100%,100%,_xlfn.NORM.INV(R72,C72,'Regressão Grupo 2'!$B$7)))</f>
        <v>1</v>
      </c>
      <c r="F72" s="39">
        <f>IF(_xlfn.NORM.INV(S72,D72,'Regressão Grupo 2'!$B$7)&lt;=0,0,IF(_xlfn.NORM.INV(S72,D72,'Regressão Grupo 2'!$B$7)&gt;100%,100%,_xlfn.NORM.INV(S72,D72,'Regressão Grupo 2'!$B$7)))</f>
        <v>0.91225105202494894</v>
      </c>
      <c r="G72" s="41">
        <v>1.9657902949808615E-2</v>
      </c>
      <c r="H72" s="41">
        <v>8.6244679162472918E-3</v>
      </c>
      <c r="I72" s="40">
        <f t="shared" si="14"/>
        <v>0</v>
      </c>
      <c r="J72" s="40">
        <f t="shared" si="15"/>
        <v>157.35359859504021</v>
      </c>
      <c r="K72" s="36">
        <v>0.27860694068929726</v>
      </c>
      <c r="L72" s="42">
        <f t="shared" si="20"/>
        <v>0</v>
      </c>
      <c r="M72" s="42">
        <f t="shared" si="20"/>
        <v>20000</v>
      </c>
      <c r="N72" s="42">
        <f t="shared" si="16"/>
        <v>5572.1388137859449</v>
      </c>
      <c r="O72" s="36">
        <v>4.6171324539089351</v>
      </c>
      <c r="P72" s="42">
        <f t="shared" si="17"/>
        <v>1569.0187091535454</v>
      </c>
      <c r="Q72" s="42"/>
      <c r="R72">
        <v>0.92730491042817464</v>
      </c>
      <c r="S72">
        <v>0.59221167638172556</v>
      </c>
      <c r="T72" s="42"/>
      <c r="U72" s="42"/>
    </row>
    <row r="73" spans="1:21" x14ac:dyDescent="0.25">
      <c r="A73" s="40">
        <f t="shared" si="18"/>
        <v>0</v>
      </c>
      <c r="B73" s="40">
        <f t="shared" si="19"/>
        <v>50</v>
      </c>
      <c r="C73" s="41">
        <f t="shared" si="12"/>
        <v>1.0313000000000001</v>
      </c>
      <c r="D73" s="41">
        <f t="shared" si="13"/>
        <v>0.88000000000000012</v>
      </c>
      <c r="E73" s="39">
        <f>IF(_xlfn.NORM.INV(R73,C73,'Regressão Grupo 2'!$B$7)&lt;=0,0,IF(_xlfn.NORM.INV(R73,C73,'Regressão Grupo 2'!$B$7)&gt;100%,100%,_xlfn.NORM.INV(R73,C73,'Regressão Grupo 2'!$B$7)))</f>
        <v>0.96708347101027159</v>
      </c>
      <c r="F73" s="39">
        <f>IF(_xlfn.NORM.INV(S73,D73,'Regressão Grupo 2'!$B$7)&lt;=0,0,IF(_xlfn.NORM.INV(S73,D73,'Regressão Grupo 2'!$B$7)&gt;100%,100%,_xlfn.NORM.INV(S73,D73,'Regressão Grupo 2'!$B$7)))</f>
        <v>1</v>
      </c>
      <c r="G73" s="41">
        <v>2.2062538086990061E-2</v>
      </c>
      <c r="H73" s="41">
        <v>1.5854420381271217E-2</v>
      </c>
      <c r="I73" s="40">
        <f t="shared" si="14"/>
        <v>0</v>
      </c>
      <c r="J73" s="40">
        <f t="shared" si="15"/>
        <v>317.08840762542434</v>
      </c>
      <c r="K73" s="36">
        <v>0.38163325266617465</v>
      </c>
      <c r="L73" s="42">
        <f t="shared" si="20"/>
        <v>0</v>
      </c>
      <c r="M73" s="42">
        <f t="shared" si="20"/>
        <v>20000</v>
      </c>
      <c r="N73" s="42">
        <f t="shared" si="16"/>
        <v>7632.6650533234933</v>
      </c>
      <c r="O73" s="36">
        <v>4.4921225536338447</v>
      </c>
      <c r="P73" s="42">
        <f t="shared" si="17"/>
        <v>6797.3553405577131</v>
      </c>
      <c r="Q73" s="42"/>
      <c r="R73">
        <v>0.32117679372539443</v>
      </c>
      <c r="S73">
        <v>0.8826563310647908</v>
      </c>
      <c r="T73" s="42"/>
      <c r="U73" s="42"/>
    </row>
    <row r="74" spans="1:21" x14ac:dyDescent="0.25">
      <c r="A74" s="40">
        <f t="shared" si="18"/>
        <v>0</v>
      </c>
      <c r="B74" s="40">
        <f t="shared" si="19"/>
        <v>50</v>
      </c>
      <c r="C74" s="41">
        <f t="shared" si="12"/>
        <v>1.0313000000000001</v>
      </c>
      <c r="D74" s="41">
        <f t="shared" si="13"/>
        <v>0.88000000000000012</v>
      </c>
      <c r="E74" s="39">
        <f>IF(_xlfn.NORM.INV(R74,C74,'Regressão Grupo 2'!$B$7)&lt;=0,0,IF(_xlfn.NORM.INV(R74,C74,'Regressão Grupo 2'!$B$7)&gt;100%,100%,_xlfn.NORM.INV(R74,C74,'Regressão Grupo 2'!$B$7)))</f>
        <v>1</v>
      </c>
      <c r="F74" s="39">
        <f>IF(_xlfn.NORM.INV(S74,D74,'Regressão Grupo 2'!$B$7)&lt;=0,0,IF(_xlfn.NORM.INV(S74,D74,'Regressão Grupo 2'!$B$7)&gt;100%,100%,_xlfn.NORM.INV(S74,D74,'Regressão Grupo 2'!$B$7)))</f>
        <v>0.64328768189789831</v>
      </c>
      <c r="G74" s="41">
        <v>2.7257069484593638E-2</v>
      </c>
      <c r="H74" s="41">
        <v>2.5133100270164754E-2</v>
      </c>
      <c r="I74" s="40">
        <f t="shared" si="14"/>
        <v>0</v>
      </c>
      <c r="J74" s="40">
        <f t="shared" si="15"/>
        <v>323.35627623403451</v>
      </c>
      <c r="K74" s="36">
        <v>0.24034973330198905</v>
      </c>
      <c r="L74" s="42">
        <f t="shared" si="20"/>
        <v>0</v>
      </c>
      <c r="M74" s="42">
        <f t="shared" si="20"/>
        <v>20000</v>
      </c>
      <c r="N74" s="42">
        <f t="shared" si="16"/>
        <v>4806.9946660397809</v>
      </c>
      <c r="O74" s="36">
        <v>6.6613574656060752</v>
      </c>
      <c r="P74" s="42">
        <f t="shared" si="17"/>
        <v>9206.8274009197776</v>
      </c>
      <c r="Q74" s="42"/>
      <c r="R74">
        <v>0.69484542374950409</v>
      </c>
      <c r="S74">
        <v>4.3458357493820002E-2</v>
      </c>
      <c r="T74" s="42"/>
      <c r="U74" s="42"/>
    </row>
    <row r="75" spans="1:21" x14ac:dyDescent="0.25">
      <c r="A75" s="40">
        <f t="shared" si="18"/>
        <v>0</v>
      </c>
      <c r="B75" s="40">
        <f t="shared" si="19"/>
        <v>50</v>
      </c>
      <c r="C75" s="41">
        <f t="shared" si="12"/>
        <v>1.0313000000000001</v>
      </c>
      <c r="D75" s="41">
        <f t="shared" si="13"/>
        <v>0.88000000000000012</v>
      </c>
      <c r="E75" s="39">
        <f>IF(_xlfn.NORM.INV(R75,C75,'Regressão Grupo 2'!$B$7)&lt;=0,0,IF(_xlfn.NORM.INV(R75,C75,'Regressão Grupo 2'!$B$7)&gt;100%,100%,_xlfn.NORM.INV(R75,C75,'Regressão Grupo 2'!$B$7)))</f>
        <v>0.96551224725848739</v>
      </c>
      <c r="F75" s="39">
        <f>IF(_xlfn.NORM.INV(S75,D75,'Regressão Grupo 2'!$B$7)&lt;=0,0,IF(_xlfn.NORM.INV(S75,D75,'Regressão Grupo 2'!$B$7)&gt;100%,100%,_xlfn.NORM.INV(S75,D75,'Regressão Grupo 2'!$B$7)))</f>
        <v>0.566223214099977</v>
      </c>
      <c r="G75" s="41">
        <v>1.7861817000233631E-2</v>
      </c>
      <c r="H75" s="41">
        <v>8.1903194203111554E-3</v>
      </c>
      <c r="I75" s="40">
        <f t="shared" si="14"/>
        <v>0</v>
      </c>
      <c r="J75" s="40">
        <f t="shared" si="15"/>
        <v>92.750979733480861</v>
      </c>
      <c r="K75" s="36">
        <v>0.26232063958724022</v>
      </c>
      <c r="L75" s="42">
        <f t="shared" si="20"/>
        <v>0</v>
      </c>
      <c r="M75" s="42">
        <f t="shared" si="20"/>
        <v>20000</v>
      </c>
      <c r="N75" s="42">
        <f t="shared" si="16"/>
        <v>5246.4127917448041</v>
      </c>
      <c r="O75" s="36">
        <v>6.2246254388810254</v>
      </c>
      <c r="P75" s="42">
        <f t="shared" si="17"/>
        <v>-1186.2039130009248</v>
      </c>
      <c r="Q75" s="42"/>
      <c r="R75">
        <v>0.3171178319650868</v>
      </c>
      <c r="S75">
        <v>1.1627552110354931E-2</v>
      </c>
      <c r="T75" s="42"/>
      <c r="U75" s="42"/>
    </row>
    <row r="76" spans="1:21" x14ac:dyDescent="0.25">
      <c r="A76" s="40">
        <f t="shared" si="18"/>
        <v>0</v>
      </c>
      <c r="B76" s="40">
        <f t="shared" si="19"/>
        <v>50</v>
      </c>
      <c r="C76" s="41">
        <f t="shared" si="12"/>
        <v>1.0313000000000001</v>
      </c>
      <c r="D76" s="41">
        <f t="shared" si="13"/>
        <v>0.88000000000000012</v>
      </c>
      <c r="E76" s="39">
        <f>IF(_xlfn.NORM.INV(R76,C76,'Regressão Grupo 2'!$B$7)&lt;=0,0,IF(_xlfn.NORM.INV(R76,C76,'Regressão Grupo 2'!$B$7)&gt;100%,100%,_xlfn.NORM.INV(R76,C76,'Regressão Grupo 2'!$B$7)))</f>
        <v>1</v>
      </c>
      <c r="F76" s="39">
        <f>IF(_xlfn.NORM.INV(S76,D76,'Regressão Grupo 2'!$B$7)&lt;=0,0,IF(_xlfn.NORM.INV(S76,D76,'Regressão Grupo 2'!$B$7)&gt;100%,100%,_xlfn.NORM.INV(S76,D76,'Regressão Grupo 2'!$B$7)))</f>
        <v>0.99117273870462774</v>
      </c>
      <c r="G76" s="41">
        <v>2.283572840605751E-2</v>
      </c>
      <c r="H76" s="41">
        <v>2.266061019474052E-2</v>
      </c>
      <c r="I76" s="40">
        <f t="shared" si="14"/>
        <v>0</v>
      </c>
      <c r="J76" s="40">
        <f t="shared" si="15"/>
        <v>449.21158134877936</v>
      </c>
      <c r="K76" s="36">
        <v>0.21071008287530252</v>
      </c>
      <c r="L76" s="42">
        <f t="shared" si="20"/>
        <v>0</v>
      </c>
      <c r="M76" s="42">
        <f t="shared" si="20"/>
        <v>20000</v>
      </c>
      <c r="N76" s="42">
        <f t="shared" si="16"/>
        <v>4214.2016575060507</v>
      </c>
      <c r="O76" s="36">
        <v>2.9394588985781205</v>
      </c>
      <c r="P76" s="42">
        <f t="shared" si="17"/>
        <v>16925.938429792899</v>
      </c>
      <c r="Q76" s="42"/>
      <c r="R76">
        <v>0.45936460463270973</v>
      </c>
      <c r="S76">
        <v>0.78930021057771538</v>
      </c>
      <c r="T76" s="42"/>
      <c r="U76" s="42"/>
    </row>
    <row r="77" spans="1:21" x14ac:dyDescent="0.25">
      <c r="A77" s="40">
        <f t="shared" si="18"/>
        <v>0</v>
      </c>
      <c r="B77" s="40">
        <f t="shared" si="19"/>
        <v>50</v>
      </c>
      <c r="C77" s="41">
        <f t="shared" si="12"/>
        <v>1.0313000000000001</v>
      </c>
      <c r="D77" s="41">
        <f t="shared" si="13"/>
        <v>0.88000000000000012</v>
      </c>
      <c r="E77" s="39">
        <f>IF(_xlfn.NORM.INV(R77,C77,'Regressão Grupo 2'!$B$7)&lt;=0,0,IF(_xlfn.NORM.INV(R77,C77,'Regressão Grupo 2'!$B$7)&gt;100%,100%,_xlfn.NORM.INV(R77,C77,'Regressão Grupo 2'!$B$7)))</f>
        <v>1</v>
      </c>
      <c r="F77" s="39">
        <f>IF(_xlfn.NORM.INV(S77,D77,'Regressão Grupo 2'!$B$7)&lt;=0,0,IF(_xlfn.NORM.INV(S77,D77,'Regressão Grupo 2'!$B$7)&gt;100%,100%,_xlfn.NORM.INV(S77,D77,'Regressão Grupo 2'!$B$7)))</f>
        <v>0.9846041164704068</v>
      </c>
      <c r="G77" s="41">
        <v>1.444006210976872E-2</v>
      </c>
      <c r="H77" s="41">
        <v>2.0070945153630587E-2</v>
      </c>
      <c r="I77" s="40">
        <f t="shared" si="14"/>
        <v>0</v>
      </c>
      <c r="J77" s="40">
        <f t="shared" si="15"/>
        <v>395.23870439432875</v>
      </c>
      <c r="K77" s="36">
        <v>0.45149363828872707</v>
      </c>
      <c r="L77" s="42">
        <f t="shared" si="20"/>
        <v>0</v>
      </c>
      <c r="M77" s="42">
        <f t="shared" si="20"/>
        <v>20000</v>
      </c>
      <c r="N77" s="42">
        <f t="shared" si="16"/>
        <v>9029.8727657745421</v>
      </c>
      <c r="O77" s="36">
        <v>7.6253934135850354</v>
      </c>
      <c r="P77" s="42">
        <f t="shared" si="17"/>
        <v>7718.2118406594982</v>
      </c>
      <c r="Q77" s="42"/>
      <c r="R77">
        <v>0.47898800622577592</v>
      </c>
      <c r="S77">
        <v>0.77532273323770862</v>
      </c>
      <c r="T77" s="42"/>
      <c r="U77" s="42"/>
    </row>
    <row r="78" spans="1:21" x14ac:dyDescent="0.25">
      <c r="A78" s="40">
        <f t="shared" si="18"/>
        <v>0</v>
      </c>
      <c r="B78" s="40">
        <f t="shared" si="19"/>
        <v>50</v>
      </c>
      <c r="C78" s="41">
        <f t="shared" si="12"/>
        <v>1.0313000000000001</v>
      </c>
      <c r="D78" s="41">
        <f t="shared" si="13"/>
        <v>0.88000000000000012</v>
      </c>
      <c r="E78" s="39">
        <f>IF(_xlfn.NORM.INV(R78,C78,'Regressão Grupo 2'!$B$7)&lt;=0,0,IF(_xlfn.NORM.INV(R78,C78,'Regressão Grupo 2'!$B$7)&gt;100%,100%,_xlfn.NORM.INV(R78,C78,'Regressão Grupo 2'!$B$7)))</f>
        <v>0.83588961802011785</v>
      </c>
      <c r="F78" s="39">
        <f>IF(_xlfn.NORM.INV(S78,D78,'Regressão Grupo 2'!$B$7)&lt;=0,0,IF(_xlfn.NORM.INV(S78,D78,'Regressão Grupo 2'!$B$7)&gt;100%,100%,_xlfn.NORM.INV(S78,D78,'Regressão Grupo 2'!$B$7)))</f>
        <v>0.77563512240157251</v>
      </c>
      <c r="G78" s="41">
        <v>8.6395837801444188E-3</v>
      </c>
      <c r="H78" s="41">
        <v>2.6142161717738557E-2</v>
      </c>
      <c r="I78" s="40">
        <f t="shared" si="14"/>
        <v>0</v>
      </c>
      <c r="J78" s="40">
        <f t="shared" si="15"/>
        <v>405.53557607559696</v>
      </c>
      <c r="K78" s="36">
        <v>0.15977814985692834</v>
      </c>
      <c r="L78" s="42">
        <f t="shared" si="20"/>
        <v>0</v>
      </c>
      <c r="M78" s="42">
        <f t="shared" si="20"/>
        <v>20000</v>
      </c>
      <c r="N78" s="42">
        <f t="shared" si="16"/>
        <v>3195.562997138567</v>
      </c>
      <c r="O78" s="36">
        <v>5.5580447460908013</v>
      </c>
      <c r="P78" s="42">
        <f t="shared" si="17"/>
        <v>14827.230928681402</v>
      </c>
      <c r="Q78" s="42"/>
      <c r="R78">
        <v>7.8798791467024745E-2</v>
      </c>
      <c r="S78">
        <v>0.22519608142338329</v>
      </c>
      <c r="T78" s="42"/>
      <c r="U78" s="42"/>
    </row>
    <row r="79" spans="1:21" x14ac:dyDescent="0.25">
      <c r="A79" s="40">
        <f t="shared" si="18"/>
        <v>0</v>
      </c>
      <c r="B79" s="40">
        <f t="shared" si="19"/>
        <v>50</v>
      </c>
      <c r="C79" s="41">
        <f t="shared" si="12"/>
        <v>1.0313000000000001</v>
      </c>
      <c r="D79" s="41">
        <f t="shared" si="13"/>
        <v>0.88000000000000012</v>
      </c>
      <c r="E79" s="39">
        <f>IF(_xlfn.NORM.INV(R79,C79,'Regressão Grupo 2'!$B$7)&lt;=0,0,IF(_xlfn.NORM.INV(R79,C79,'Regressão Grupo 2'!$B$7)&gt;100%,100%,_xlfn.NORM.INV(R79,C79,'Regressão Grupo 2'!$B$7)))</f>
        <v>0.92098732826578</v>
      </c>
      <c r="F79" s="39">
        <f>IF(_xlfn.NORM.INV(S79,D79,'Regressão Grupo 2'!$B$7)&lt;=0,0,IF(_xlfn.NORM.INV(S79,D79,'Regressão Grupo 2'!$B$7)&gt;100%,100%,_xlfn.NORM.INV(S79,D79,'Regressão Grupo 2'!$B$7)))</f>
        <v>0.94453482259862021</v>
      </c>
      <c r="G79" s="41">
        <v>2.0516674269470868E-2</v>
      </c>
      <c r="H79" s="41">
        <v>2.018227338581792E-2</v>
      </c>
      <c r="I79" s="40">
        <f t="shared" si="14"/>
        <v>0</v>
      </c>
      <c r="J79" s="40">
        <f t="shared" si="15"/>
        <v>381.25720024220766</v>
      </c>
      <c r="K79" s="36">
        <v>0.24484973356033488</v>
      </c>
      <c r="L79" s="42">
        <f t="shared" si="20"/>
        <v>0</v>
      </c>
      <c r="M79" s="42">
        <f t="shared" si="20"/>
        <v>20000</v>
      </c>
      <c r="N79" s="42">
        <f t="shared" si="16"/>
        <v>4896.9946712066976</v>
      </c>
      <c r="O79" s="36">
        <v>3.2074042919684205</v>
      </c>
      <c r="P79" s="42">
        <f t="shared" si="17"/>
        <v>12943.019360502965</v>
      </c>
      <c r="Q79" s="42"/>
      <c r="R79">
        <v>0.21250038148136846</v>
      </c>
      <c r="S79">
        <v>0.67964720603045747</v>
      </c>
      <c r="T79" s="42"/>
      <c r="U79" s="42"/>
    </row>
    <row r="80" spans="1:21" x14ac:dyDescent="0.25">
      <c r="A80" s="40">
        <f t="shared" si="18"/>
        <v>0</v>
      </c>
      <c r="B80" s="40">
        <f t="shared" si="19"/>
        <v>50</v>
      </c>
      <c r="C80" s="41">
        <f t="shared" si="12"/>
        <v>1.0313000000000001</v>
      </c>
      <c r="D80" s="41">
        <f t="shared" si="13"/>
        <v>0.88000000000000012</v>
      </c>
      <c r="E80" s="39">
        <f>IF(_xlfn.NORM.INV(R80,C80,'Regressão Grupo 2'!$B$7)&lt;=0,0,IF(_xlfn.NORM.INV(R80,C80,'Regressão Grupo 2'!$B$7)&gt;100%,100%,_xlfn.NORM.INV(R80,C80,'Regressão Grupo 2'!$B$7)))</f>
        <v>0.98378019422412322</v>
      </c>
      <c r="F80" s="39">
        <f>IF(_xlfn.NORM.INV(S80,D80,'Regressão Grupo 2'!$B$7)&lt;=0,0,IF(_xlfn.NORM.INV(S80,D80,'Regressão Grupo 2'!$B$7)&gt;100%,100%,_xlfn.NORM.INV(S80,D80,'Regressão Grupo 2'!$B$7)))</f>
        <v>0.85288002118779005</v>
      </c>
      <c r="G80" s="41">
        <v>1.8574341012450039E-2</v>
      </c>
      <c r="H80" s="41">
        <v>1.8125611985496805E-2</v>
      </c>
      <c r="I80" s="40">
        <f t="shared" si="14"/>
        <v>0</v>
      </c>
      <c r="J80" s="40">
        <f t="shared" si="15"/>
        <v>309.17944668464355</v>
      </c>
      <c r="K80" s="36">
        <v>0.17937389823569438</v>
      </c>
      <c r="L80" s="42">
        <f t="shared" si="20"/>
        <v>0</v>
      </c>
      <c r="M80" s="42">
        <f t="shared" si="20"/>
        <v>20000</v>
      </c>
      <c r="N80" s="42">
        <f t="shared" si="16"/>
        <v>3587.4779647138876</v>
      </c>
      <c r="O80" s="36">
        <v>3.4642584279804378</v>
      </c>
      <c r="P80" s="42">
        <f t="shared" si="17"/>
        <v>10800.416865582685</v>
      </c>
      <c r="Q80" s="42"/>
      <c r="R80">
        <v>0.36555070650349436</v>
      </c>
      <c r="S80">
        <v>0.42225409710989714</v>
      </c>
      <c r="T80" s="42"/>
      <c r="U80" s="42"/>
    </row>
    <row r="81" spans="1:21" x14ac:dyDescent="0.25">
      <c r="A81" s="40">
        <f t="shared" si="18"/>
        <v>0</v>
      </c>
      <c r="B81" s="40">
        <f t="shared" si="19"/>
        <v>50</v>
      </c>
      <c r="C81" s="41">
        <f t="shared" si="12"/>
        <v>1.0313000000000001</v>
      </c>
      <c r="D81" s="41">
        <f t="shared" si="13"/>
        <v>0.88000000000000012</v>
      </c>
      <c r="E81" s="39">
        <f>IF(_xlfn.NORM.INV(R81,C81,'Regressão Grupo 2'!$B$7)&lt;=0,0,IF(_xlfn.NORM.INV(R81,C81,'Regressão Grupo 2'!$B$7)&gt;100%,100%,_xlfn.NORM.INV(R81,C81,'Regressão Grupo 2'!$B$7)))</f>
        <v>0.95050974863696913</v>
      </c>
      <c r="F81" s="39">
        <f>IF(_xlfn.NORM.INV(S81,D81,'Regressão Grupo 2'!$B$7)&lt;=0,0,IF(_xlfn.NORM.INV(S81,D81,'Regressão Grupo 2'!$B$7)&gt;100%,100%,_xlfn.NORM.INV(S81,D81,'Regressão Grupo 2'!$B$7)))</f>
        <v>0.57512765876536953</v>
      </c>
      <c r="G81" s="41">
        <v>6.4589366836102164E-3</v>
      </c>
      <c r="H81" s="41">
        <v>1.7573873387199398E-2</v>
      </c>
      <c r="I81" s="40">
        <f t="shared" si="14"/>
        <v>0</v>
      </c>
      <c r="J81" s="40">
        <f t="shared" si="15"/>
        <v>202.14441313238049</v>
      </c>
      <c r="K81" s="36">
        <v>0.16343158713159173</v>
      </c>
      <c r="L81" s="42">
        <f t="shared" si="20"/>
        <v>0</v>
      </c>
      <c r="M81" s="42">
        <f t="shared" si="20"/>
        <v>20000</v>
      </c>
      <c r="N81" s="42">
        <f t="shared" si="16"/>
        <v>3268.6317426318346</v>
      </c>
      <c r="O81" s="36">
        <v>8.832218075115934</v>
      </c>
      <c r="P81" s="42">
        <f t="shared" si="17"/>
        <v>5053.205374535677</v>
      </c>
      <c r="Q81" s="42"/>
      <c r="R81">
        <v>0.27951902829065828</v>
      </c>
      <c r="S81">
        <v>1.3733329264198737E-2</v>
      </c>
      <c r="T81" s="42"/>
      <c r="U81" s="42"/>
    </row>
    <row r="82" spans="1:21" x14ac:dyDescent="0.25">
      <c r="A82" s="40">
        <f t="shared" si="18"/>
        <v>0</v>
      </c>
      <c r="B82" s="40">
        <f t="shared" si="19"/>
        <v>50</v>
      </c>
      <c r="C82" s="41">
        <f t="shared" si="12"/>
        <v>1.0313000000000001</v>
      </c>
      <c r="D82" s="41">
        <f t="shared" si="13"/>
        <v>0.88000000000000012</v>
      </c>
      <c r="E82" s="39">
        <f>IF(_xlfn.NORM.INV(R82,C82,'Regressão Grupo 2'!$B$7)&lt;=0,0,IF(_xlfn.NORM.INV(R82,C82,'Regressão Grupo 2'!$B$7)&gt;100%,100%,_xlfn.NORM.INV(R82,C82,'Regressão Grupo 2'!$B$7)))</f>
        <v>0.92833614411099219</v>
      </c>
      <c r="F82" s="39">
        <f>IF(_xlfn.NORM.INV(S82,D82,'Regressão Grupo 2'!$B$7)&lt;=0,0,IF(_xlfn.NORM.INV(S82,D82,'Regressão Grupo 2'!$B$7)&gt;100%,100%,_xlfn.NORM.INV(S82,D82,'Regressão Grupo 2'!$B$7)))</f>
        <v>1</v>
      </c>
      <c r="G82" s="41">
        <v>1.6217217389498294E-2</v>
      </c>
      <c r="H82" s="41">
        <v>7.9163522825224583E-3</v>
      </c>
      <c r="I82" s="40">
        <f t="shared" si="14"/>
        <v>0</v>
      </c>
      <c r="J82" s="40">
        <f t="shared" si="15"/>
        <v>158.32704565044918</v>
      </c>
      <c r="K82" s="36">
        <v>0.32174441121905706</v>
      </c>
      <c r="L82" s="42">
        <f t="shared" si="20"/>
        <v>0</v>
      </c>
      <c r="M82" s="42">
        <f t="shared" si="20"/>
        <v>20000</v>
      </c>
      <c r="N82" s="42">
        <f t="shared" si="16"/>
        <v>6434.8882243811413</v>
      </c>
      <c r="O82" s="36">
        <v>5.066073549417867</v>
      </c>
      <c r="P82" s="42">
        <f t="shared" si="17"/>
        <v>679.36760001410221</v>
      </c>
      <c r="Q82" s="42"/>
      <c r="R82">
        <v>0.22824793237098301</v>
      </c>
      <c r="S82">
        <v>0.82689901425214396</v>
      </c>
      <c r="T82" s="42"/>
      <c r="U82" s="42"/>
    </row>
    <row r="83" spans="1:21" x14ac:dyDescent="0.25">
      <c r="A83" s="40">
        <f t="shared" si="18"/>
        <v>0</v>
      </c>
      <c r="B83" s="40">
        <f t="shared" si="19"/>
        <v>50</v>
      </c>
      <c r="C83" s="41">
        <f t="shared" si="12"/>
        <v>1.0313000000000001</v>
      </c>
      <c r="D83" s="41">
        <f t="shared" si="13"/>
        <v>0.88000000000000012</v>
      </c>
      <c r="E83" s="39">
        <f>IF(_xlfn.NORM.INV(R83,C83,'Regressão Grupo 2'!$B$7)&lt;=0,0,IF(_xlfn.NORM.INV(R83,C83,'Regressão Grupo 2'!$B$7)&gt;100%,100%,_xlfn.NORM.INV(R83,C83,'Regressão Grupo 2'!$B$7)))</f>
        <v>0.96803632203915035</v>
      </c>
      <c r="F83" s="39">
        <f>IF(_xlfn.NORM.INV(S83,D83,'Regressão Grupo 2'!$B$7)&lt;=0,0,IF(_xlfn.NORM.INV(S83,D83,'Regressão Grupo 2'!$B$7)&gt;100%,100%,_xlfn.NORM.INV(S83,D83,'Regressão Grupo 2'!$B$7)))</f>
        <v>0.84432570334669255</v>
      </c>
      <c r="G83" s="41">
        <v>1.0383345269512177E-2</v>
      </c>
      <c r="H83" s="41">
        <v>1.1597031758635886E-2</v>
      </c>
      <c r="I83" s="40">
        <f t="shared" si="14"/>
        <v>0</v>
      </c>
      <c r="J83" s="40">
        <f t="shared" si="15"/>
        <v>195.8334399268835</v>
      </c>
      <c r="K83" s="36">
        <v>0.32680723944854367</v>
      </c>
      <c r="L83" s="42">
        <f t="shared" si="20"/>
        <v>0</v>
      </c>
      <c r="M83" s="42">
        <f t="shared" si="20"/>
        <v>20000</v>
      </c>
      <c r="N83" s="42">
        <f t="shared" si="16"/>
        <v>6536.1447889708734</v>
      </c>
      <c r="O83" s="36">
        <v>7.3089961680006112</v>
      </c>
      <c r="P83" s="42">
        <f t="shared" si="17"/>
        <v>1824.1813453813329</v>
      </c>
      <c r="Q83" s="42"/>
      <c r="R83">
        <v>0.32364879299295024</v>
      </c>
      <c r="S83">
        <v>0.39820551164281137</v>
      </c>
      <c r="T83" s="42"/>
      <c r="U83" s="42"/>
    </row>
    <row r="84" spans="1:21" x14ac:dyDescent="0.25">
      <c r="A84" s="40">
        <f t="shared" si="18"/>
        <v>0</v>
      </c>
      <c r="B84" s="40">
        <f t="shared" si="19"/>
        <v>50</v>
      </c>
      <c r="C84" s="41">
        <f t="shared" si="12"/>
        <v>1.0313000000000001</v>
      </c>
      <c r="D84" s="41">
        <f t="shared" si="13"/>
        <v>0.88000000000000012</v>
      </c>
      <c r="E84" s="39">
        <f>IF(_xlfn.NORM.INV(R84,C84,'Regressão Grupo 2'!$B$7)&lt;=0,0,IF(_xlfn.NORM.INV(R84,C84,'Regressão Grupo 2'!$B$7)&gt;100%,100%,_xlfn.NORM.INV(R84,C84,'Regressão Grupo 2'!$B$7)))</f>
        <v>1</v>
      </c>
      <c r="F84" s="39">
        <f>IF(_xlfn.NORM.INV(S84,D84,'Regressão Grupo 2'!$B$7)&lt;=0,0,IF(_xlfn.NORM.INV(S84,D84,'Regressão Grupo 2'!$B$7)&gt;100%,100%,_xlfn.NORM.INV(S84,D84,'Regressão Grupo 2'!$B$7)))</f>
        <v>0.86161986933582446</v>
      </c>
      <c r="G84" s="41">
        <v>9.866508333658399E-3</v>
      </c>
      <c r="H84" s="41">
        <v>1.640800684650414E-2</v>
      </c>
      <c r="I84" s="40">
        <f t="shared" si="14"/>
        <v>0</v>
      </c>
      <c r="J84" s="40">
        <f t="shared" si="15"/>
        <v>282.74929430292423</v>
      </c>
      <c r="K84" s="36">
        <v>0.31887675804427995</v>
      </c>
      <c r="L84" s="42">
        <f t="shared" si="20"/>
        <v>0</v>
      </c>
      <c r="M84" s="42">
        <f t="shared" si="20"/>
        <v>20000</v>
      </c>
      <c r="N84" s="42">
        <f t="shared" si="16"/>
        <v>6377.535160885599</v>
      </c>
      <c r="O84" s="36">
        <v>5.4587313333658392</v>
      </c>
      <c r="P84" s="42">
        <f t="shared" si="17"/>
        <v>6216.4771219621625</v>
      </c>
      <c r="Q84" s="42"/>
      <c r="R84">
        <v>0.6513870662556841</v>
      </c>
      <c r="S84">
        <v>0.44712668233283487</v>
      </c>
      <c r="T84" s="42"/>
      <c r="U84" s="42"/>
    </row>
    <row r="85" spans="1:21" x14ac:dyDescent="0.25">
      <c r="A85" s="40">
        <f t="shared" si="18"/>
        <v>0</v>
      </c>
      <c r="B85" s="40">
        <f t="shared" si="19"/>
        <v>50</v>
      </c>
      <c r="C85" s="41">
        <f t="shared" si="12"/>
        <v>1.0313000000000001</v>
      </c>
      <c r="D85" s="41">
        <f t="shared" si="13"/>
        <v>0.88000000000000012</v>
      </c>
      <c r="E85" s="39">
        <f>IF(_xlfn.NORM.INV(R85,C85,'Regressão Grupo 2'!$B$7)&lt;=0,0,IF(_xlfn.NORM.INV(R85,C85,'Regressão Grupo 2'!$B$7)&gt;100%,100%,_xlfn.NORM.INV(R85,C85,'Regressão Grupo 2'!$B$7)))</f>
        <v>1</v>
      </c>
      <c r="F85" s="39">
        <f>IF(_xlfn.NORM.INV(S85,D85,'Regressão Grupo 2'!$B$7)&lt;=0,0,IF(_xlfn.NORM.INV(S85,D85,'Regressão Grupo 2'!$B$7)&gt;100%,100%,_xlfn.NORM.INV(S85,D85,'Regressão Grupo 2'!$B$7)))</f>
        <v>0.95672208532241432</v>
      </c>
      <c r="G85" s="41">
        <v>2.1996254069424515E-2</v>
      </c>
      <c r="H85" s="41">
        <v>1.1503710915116608E-2</v>
      </c>
      <c r="I85" s="40">
        <f t="shared" si="14"/>
        <v>0</v>
      </c>
      <c r="J85" s="40">
        <f t="shared" si="15"/>
        <v>220.1170859131316</v>
      </c>
      <c r="K85" s="36">
        <v>0.28403662974182875</v>
      </c>
      <c r="L85" s="42">
        <f t="shared" si="20"/>
        <v>0</v>
      </c>
      <c r="M85" s="42">
        <f t="shared" si="20"/>
        <v>20000</v>
      </c>
      <c r="N85" s="42">
        <f t="shared" si="16"/>
        <v>5680.7325948365751</v>
      </c>
      <c r="O85" s="36">
        <v>8.1769813776539255</v>
      </c>
      <c r="P85" s="42">
        <f t="shared" si="17"/>
        <v>3525.2283884048784</v>
      </c>
      <c r="Q85" s="42"/>
      <c r="R85">
        <v>0.93667409283730585</v>
      </c>
      <c r="S85">
        <v>0.71050141911069065</v>
      </c>
      <c r="T85" s="42"/>
      <c r="U85" s="42"/>
    </row>
    <row r="86" spans="1:21" x14ac:dyDescent="0.25">
      <c r="A86" s="40">
        <f t="shared" si="18"/>
        <v>0</v>
      </c>
      <c r="B86" s="40">
        <f t="shared" si="19"/>
        <v>50</v>
      </c>
      <c r="C86" s="41">
        <f t="shared" si="12"/>
        <v>1.0313000000000001</v>
      </c>
      <c r="D86" s="41">
        <f t="shared" si="13"/>
        <v>0.88000000000000012</v>
      </c>
      <c r="E86" s="39">
        <f>IF(_xlfn.NORM.INV(R86,C86,'Regressão Grupo 2'!$B$7)&lt;=0,0,IF(_xlfn.NORM.INV(R86,C86,'Regressão Grupo 2'!$B$7)&gt;100%,100%,_xlfn.NORM.INV(R86,C86,'Regressão Grupo 2'!$B$7)))</f>
        <v>1</v>
      </c>
      <c r="F86" s="39">
        <f>IF(_xlfn.NORM.INV(S86,D86,'Regressão Grupo 2'!$B$7)&lt;=0,0,IF(_xlfn.NORM.INV(S86,D86,'Regressão Grupo 2'!$B$7)&gt;100%,100%,_xlfn.NORM.INV(S86,D86,'Regressão Grupo 2'!$B$7)))</f>
        <v>0.85602199914397192</v>
      </c>
      <c r="G86" s="41">
        <v>1.6889559504861262E-2</v>
      </c>
      <c r="H86" s="41">
        <v>1.0053620822052418E-2</v>
      </c>
      <c r="I86" s="40">
        <f t="shared" si="14"/>
        <v>0</v>
      </c>
      <c r="J86" s="40">
        <f t="shared" si="15"/>
        <v>172.12241189457546</v>
      </c>
      <c r="K86" s="36">
        <v>0.34153796624823007</v>
      </c>
      <c r="L86" s="42">
        <f t="shared" si="20"/>
        <v>0</v>
      </c>
      <c r="M86" s="42">
        <f t="shared" si="20"/>
        <v>20000</v>
      </c>
      <c r="N86" s="42">
        <f t="shared" si="16"/>
        <v>6830.7593249646015</v>
      </c>
      <c r="O86" s="36">
        <v>6.3788938933640082</v>
      </c>
      <c r="P86" s="42">
        <f t="shared" si="17"/>
        <v>677.41066761877937</v>
      </c>
      <c r="Q86" s="42"/>
      <c r="R86">
        <v>0.54405346842860192</v>
      </c>
      <c r="S86">
        <v>0.43116550187688835</v>
      </c>
      <c r="T86" s="42"/>
      <c r="U86" s="42"/>
    </row>
    <row r="87" spans="1:21" x14ac:dyDescent="0.25">
      <c r="A87" s="40">
        <f t="shared" si="18"/>
        <v>0</v>
      </c>
      <c r="B87" s="40">
        <f t="shared" si="19"/>
        <v>50</v>
      </c>
      <c r="C87" s="41">
        <f t="shared" si="12"/>
        <v>1.0313000000000001</v>
      </c>
      <c r="D87" s="41">
        <f t="shared" si="13"/>
        <v>0.88000000000000012</v>
      </c>
      <c r="E87" s="39">
        <f>IF(_xlfn.NORM.INV(R87,C87,'Regressão Grupo 2'!$B$7)&lt;=0,0,IF(_xlfn.NORM.INV(R87,C87,'Regressão Grupo 2'!$B$7)&gt;100%,100%,_xlfn.NORM.INV(R87,C87,'Regressão Grupo 2'!$B$7)))</f>
        <v>1</v>
      </c>
      <c r="F87" s="39">
        <f>IF(_xlfn.NORM.INV(S87,D87,'Regressão Grupo 2'!$B$7)&lt;=0,0,IF(_xlfn.NORM.INV(S87,D87,'Regressão Grupo 2'!$B$7)&gt;100%,100%,_xlfn.NORM.INV(S87,D87,'Regressão Grupo 2'!$B$7)))</f>
        <v>0.8951300366328383</v>
      </c>
      <c r="G87" s="41">
        <v>1.5009540861453527E-2</v>
      </c>
      <c r="H87" s="41">
        <v>8.1184000939783073E-3</v>
      </c>
      <c r="I87" s="40">
        <f t="shared" si="14"/>
        <v>0</v>
      </c>
      <c r="J87" s="40">
        <f t="shared" si="15"/>
        <v>145.34047547045679</v>
      </c>
      <c r="K87" s="36">
        <v>0.38115003677387993</v>
      </c>
      <c r="L87" s="42">
        <f t="shared" ref="L87:M102" si="21">L86</f>
        <v>0</v>
      </c>
      <c r="M87" s="42">
        <f t="shared" si="21"/>
        <v>20000</v>
      </c>
      <c r="N87" s="42">
        <f t="shared" si="16"/>
        <v>7623.0007354775989</v>
      </c>
      <c r="O87" s="36">
        <v>5.1727234176986086</v>
      </c>
      <c r="P87" s="42">
        <f t="shared" si="17"/>
        <v>-1107.7830429602409</v>
      </c>
      <c r="Q87" s="42"/>
      <c r="R87">
        <v>0.54731894894253363</v>
      </c>
      <c r="S87">
        <v>0.54356517227698598</v>
      </c>
      <c r="T87" s="42"/>
      <c r="U87" s="42"/>
    </row>
    <row r="88" spans="1:21" x14ac:dyDescent="0.25">
      <c r="A88" s="40">
        <f t="shared" si="18"/>
        <v>0</v>
      </c>
      <c r="B88" s="40">
        <f t="shared" si="19"/>
        <v>50</v>
      </c>
      <c r="C88" s="41">
        <f t="shared" si="12"/>
        <v>1.0313000000000001</v>
      </c>
      <c r="D88" s="41">
        <f t="shared" si="13"/>
        <v>0.88000000000000012</v>
      </c>
      <c r="E88" s="39">
        <f>IF(_xlfn.NORM.INV(R88,C88,'Regressão Grupo 2'!$B$7)&lt;=0,0,IF(_xlfn.NORM.INV(R88,C88,'Regressão Grupo 2'!$B$7)&gt;100%,100%,_xlfn.NORM.INV(R88,C88,'Regressão Grupo 2'!$B$7)))</f>
        <v>1</v>
      </c>
      <c r="F88" s="39">
        <f>IF(_xlfn.NORM.INV(S88,D88,'Regressão Grupo 2'!$B$7)&lt;=0,0,IF(_xlfn.NORM.INV(S88,D88,'Regressão Grupo 2'!$B$7)&gt;100%,100%,_xlfn.NORM.INV(S88,D88,'Regressão Grupo 2'!$B$7)))</f>
        <v>0.86091529379287979</v>
      </c>
      <c r="G88" s="41">
        <v>2.2153661387556339E-2</v>
      </c>
      <c r="H88" s="41">
        <v>2.1917721014192149E-2</v>
      </c>
      <c r="I88" s="40">
        <f t="shared" si="14"/>
        <v>0</v>
      </c>
      <c r="J88" s="40">
        <f t="shared" si="15"/>
        <v>377.38602452407218</v>
      </c>
      <c r="K88" s="36">
        <v>0.23899086811064912</v>
      </c>
      <c r="L88" s="42">
        <f t="shared" si="21"/>
        <v>0</v>
      </c>
      <c r="M88" s="42">
        <f t="shared" si="21"/>
        <v>20000</v>
      </c>
      <c r="N88" s="42">
        <f t="shared" si="16"/>
        <v>4779.8173622129825</v>
      </c>
      <c r="O88" s="36">
        <v>10.076050457858249</v>
      </c>
      <c r="P88" s="42">
        <f t="shared" si="17"/>
        <v>10286.923238795545</v>
      </c>
      <c r="Q88" s="42"/>
      <c r="R88">
        <v>0.98904385509811699</v>
      </c>
      <c r="S88">
        <v>0.44511246070741906</v>
      </c>
      <c r="T88" s="42"/>
      <c r="U88" s="42"/>
    </row>
    <row r="89" spans="1:21" x14ac:dyDescent="0.25">
      <c r="A89" s="40">
        <f t="shared" si="18"/>
        <v>0</v>
      </c>
      <c r="B89" s="40">
        <f t="shared" si="19"/>
        <v>50</v>
      </c>
      <c r="C89" s="41">
        <f t="shared" si="12"/>
        <v>1.0313000000000001</v>
      </c>
      <c r="D89" s="41">
        <f t="shared" si="13"/>
        <v>0.88000000000000012</v>
      </c>
      <c r="E89" s="39">
        <f>IF(_xlfn.NORM.INV(R89,C89,'Regressão Grupo 2'!$B$7)&lt;=0,0,IF(_xlfn.NORM.INV(R89,C89,'Regressão Grupo 2'!$B$7)&gt;100%,100%,_xlfn.NORM.INV(R89,C89,'Regressão Grupo 2'!$B$7)))</f>
        <v>1</v>
      </c>
      <c r="F89" s="39">
        <f>IF(_xlfn.NORM.INV(S89,D89,'Regressão Grupo 2'!$B$7)&lt;=0,0,IF(_xlfn.NORM.INV(S89,D89,'Regressão Grupo 2'!$B$7)&gt;100%,100%,_xlfn.NORM.INV(S89,D89,'Regressão Grupo 2'!$B$7)))</f>
        <v>1</v>
      </c>
      <c r="G89" s="41">
        <v>1.5249761001089903E-2</v>
      </c>
      <c r="H89" s="41">
        <v>1.9722011834426824E-2</v>
      </c>
      <c r="I89" s="40">
        <f t="shared" si="14"/>
        <v>0</v>
      </c>
      <c r="J89" s="40">
        <f t="shared" si="15"/>
        <v>394.44023668853646</v>
      </c>
      <c r="K89" s="36">
        <v>0.4220174638784977</v>
      </c>
      <c r="L89" s="42">
        <f t="shared" si="21"/>
        <v>0</v>
      </c>
      <c r="M89" s="42">
        <f t="shared" si="21"/>
        <v>20000</v>
      </c>
      <c r="N89" s="42">
        <f t="shared" si="16"/>
        <v>8440.3492775699542</v>
      </c>
      <c r="O89" s="36">
        <v>5.1448800850629679</v>
      </c>
      <c r="P89" s="42">
        <f t="shared" si="17"/>
        <v>9252.3148383704956</v>
      </c>
      <c r="Q89" s="42"/>
      <c r="R89">
        <v>0.91378521073030794</v>
      </c>
      <c r="S89">
        <v>0.85406048768578147</v>
      </c>
      <c r="T89" s="42"/>
      <c r="U89" s="42"/>
    </row>
    <row r="90" spans="1:21" x14ac:dyDescent="0.25">
      <c r="A90" s="40">
        <f t="shared" si="18"/>
        <v>0</v>
      </c>
      <c r="B90" s="40">
        <f t="shared" si="19"/>
        <v>50</v>
      </c>
      <c r="C90" s="41">
        <f t="shared" si="12"/>
        <v>1.0313000000000001</v>
      </c>
      <c r="D90" s="41">
        <f t="shared" si="13"/>
        <v>0.88000000000000012</v>
      </c>
      <c r="E90" s="39">
        <f>IF(_xlfn.NORM.INV(R90,C90,'Regressão Grupo 2'!$B$7)&lt;=0,0,IF(_xlfn.NORM.INV(R90,C90,'Regressão Grupo 2'!$B$7)&gt;100%,100%,_xlfn.NORM.INV(R90,C90,'Regressão Grupo 2'!$B$7)))</f>
        <v>1</v>
      </c>
      <c r="F90" s="39">
        <f>IF(_xlfn.NORM.INV(S90,D90,'Regressão Grupo 2'!$B$7)&lt;=0,0,IF(_xlfn.NORM.INV(S90,D90,'Regressão Grupo 2'!$B$7)&gt;100%,100%,_xlfn.NORM.INV(S90,D90,'Regressão Grupo 2'!$B$7)))</f>
        <v>0.97567986955580732</v>
      </c>
      <c r="G90" s="41">
        <v>1.09665088157154E-2</v>
      </c>
      <c r="H90" s="41">
        <v>1.2281919213618641E-2</v>
      </c>
      <c r="I90" s="40">
        <f t="shared" si="14"/>
        <v>0</v>
      </c>
      <c r="J90" s="40">
        <f t="shared" si="15"/>
        <v>239.66442672476796</v>
      </c>
      <c r="K90" s="36">
        <v>0.32507102227671236</v>
      </c>
      <c r="L90" s="42">
        <f t="shared" si="21"/>
        <v>0</v>
      </c>
      <c r="M90" s="42">
        <f t="shared" si="21"/>
        <v>20000</v>
      </c>
      <c r="N90" s="42">
        <f t="shared" si="16"/>
        <v>6501.4204455342469</v>
      </c>
      <c r="O90" s="36">
        <v>7.2971051927478232</v>
      </c>
      <c r="P90" s="42">
        <f t="shared" si="17"/>
        <v>3732.9443579339177</v>
      </c>
      <c r="Q90" s="42"/>
      <c r="R90">
        <v>0.92373424481948296</v>
      </c>
      <c r="S90">
        <v>0.75551622058778645</v>
      </c>
      <c r="T90" s="42"/>
      <c r="U90" s="42"/>
    </row>
    <row r="91" spans="1:21" x14ac:dyDescent="0.25">
      <c r="A91" s="40">
        <f t="shared" si="18"/>
        <v>0</v>
      </c>
      <c r="B91" s="40">
        <f t="shared" si="19"/>
        <v>50</v>
      </c>
      <c r="C91" s="41">
        <f t="shared" si="12"/>
        <v>1.0313000000000001</v>
      </c>
      <c r="D91" s="41">
        <f t="shared" si="13"/>
        <v>0.88000000000000012</v>
      </c>
      <c r="E91" s="39">
        <f>IF(_xlfn.NORM.INV(R91,C91,'Regressão Grupo 2'!$B$7)&lt;=0,0,IF(_xlfn.NORM.INV(R91,C91,'Regressão Grupo 2'!$B$7)&gt;100%,100%,_xlfn.NORM.INV(R91,C91,'Regressão Grupo 2'!$B$7)))</f>
        <v>1</v>
      </c>
      <c r="F91" s="39">
        <f>IF(_xlfn.NORM.INV(S91,D91,'Regressão Grupo 2'!$B$7)&lt;=0,0,IF(_xlfn.NORM.INV(S91,D91,'Regressão Grupo 2'!$B$7)&gt;100%,100%,_xlfn.NORM.INV(S91,D91,'Regressão Grupo 2'!$B$7)))</f>
        <v>1</v>
      </c>
      <c r="G91" s="41">
        <v>1.3978333686688216E-2</v>
      </c>
      <c r="H91" s="41">
        <v>9.9590937086060025E-3</v>
      </c>
      <c r="I91" s="40">
        <f t="shared" si="14"/>
        <v>0</v>
      </c>
      <c r="J91" s="40">
        <f t="shared" si="15"/>
        <v>199.18187417212005</v>
      </c>
      <c r="K91" s="36">
        <v>0.17380577435323646</v>
      </c>
      <c r="L91" s="42">
        <f t="shared" si="21"/>
        <v>0</v>
      </c>
      <c r="M91" s="42">
        <f t="shared" si="21"/>
        <v>20000</v>
      </c>
      <c r="N91" s="42">
        <f t="shared" si="16"/>
        <v>3476.1154870647292</v>
      </c>
      <c r="O91" s="36">
        <v>5.0348310577961666</v>
      </c>
      <c r="P91" s="42">
        <f t="shared" si="17"/>
        <v>5480.1311353094352</v>
      </c>
      <c r="Q91" s="42"/>
      <c r="R91">
        <v>0.50053407391582994</v>
      </c>
      <c r="S91">
        <v>0.95593127231666009</v>
      </c>
      <c r="T91" s="42"/>
      <c r="U91" s="42"/>
    </row>
    <row r="92" spans="1:21" x14ac:dyDescent="0.25">
      <c r="A92" s="40">
        <f t="shared" si="18"/>
        <v>0</v>
      </c>
      <c r="B92" s="40">
        <f t="shared" si="19"/>
        <v>50</v>
      </c>
      <c r="C92" s="41">
        <f t="shared" si="12"/>
        <v>1.0313000000000001</v>
      </c>
      <c r="D92" s="41">
        <f t="shared" si="13"/>
        <v>0.88000000000000012</v>
      </c>
      <c r="E92" s="39">
        <f>IF(_xlfn.NORM.INV(R92,C92,'Regressão Grupo 2'!$B$7)&lt;=0,0,IF(_xlfn.NORM.INV(R92,C92,'Regressão Grupo 2'!$B$7)&gt;100%,100%,_xlfn.NORM.INV(R92,C92,'Regressão Grupo 2'!$B$7)))</f>
        <v>1</v>
      </c>
      <c r="F92" s="39">
        <f>IF(_xlfn.NORM.INV(S92,D92,'Regressão Grupo 2'!$B$7)&lt;=0,0,IF(_xlfn.NORM.INV(S92,D92,'Regressão Grupo 2'!$B$7)&gt;100%,100%,_xlfn.NORM.INV(S92,D92,'Regressão Grupo 2'!$B$7)))</f>
        <v>0.85326811301624261</v>
      </c>
      <c r="G92" s="41">
        <v>2.0205340403210845E-2</v>
      </c>
      <c r="H92" s="41">
        <v>1.4461763429472241E-2</v>
      </c>
      <c r="I92" s="40">
        <f t="shared" si="14"/>
        <v>0</v>
      </c>
      <c r="J92" s="40">
        <f t="shared" si="15"/>
        <v>246.7952318470617</v>
      </c>
      <c r="K92" s="36">
        <v>0.28399325144872656</v>
      </c>
      <c r="L92" s="42">
        <f t="shared" si="21"/>
        <v>0</v>
      </c>
      <c r="M92" s="42">
        <f t="shared" si="21"/>
        <v>20000</v>
      </c>
      <c r="N92" s="42">
        <f t="shared" si="16"/>
        <v>5679.865028974531</v>
      </c>
      <c r="O92" s="36">
        <v>7.1005197669641635</v>
      </c>
      <c r="P92" s="42">
        <f t="shared" si="17"/>
        <v>4907.5221412559877</v>
      </c>
      <c r="Q92" s="42"/>
      <c r="R92">
        <v>0.78368480483413194</v>
      </c>
      <c r="S92">
        <v>0.42335276345103307</v>
      </c>
      <c r="T92" s="42"/>
      <c r="U92" s="42"/>
    </row>
    <row r="93" spans="1:21" x14ac:dyDescent="0.25">
      <c r="A93" s="40">
        <f t="shared" si="18"/>
        <v>0</v>
      </c>
      <c r="B93" s="40">
        <f t="shared" si="19"/>
        <v>50</v>
      </c>
      <c r="C93" s="41">
        <f t="shared" si="12"/>
        <v>1.0313000000000001</v>
      </c>
      <c r="D93" s="41">
        <f t="shared" si="13"/>
        <v>0.88000000000000012</v>
      </c>
      <c r="E93" s="39">
        <f>IF(_xlfn.NORM.INV(R93,C93,'Regressão Grupo 2'!$B$7)&lt;=0,0,IF(_xlfn.NORM.INV(R93,C93,'Regressão Grupo 2'!$B$7)&gt;100%,100%,_xlfn.NORM.INV(R93,C93,'Regressão Grupo 2'!$B$7)))</f>
        <v>1</v>
      </c>
      <c r="F93" s="39">
        <f>IF(_xlfn.NORM.INV(S93,D93,'Regressão Grupo 2'!$B$7)&lt;=0,0,IF(_xlfn.NORM.INV(S93,D93,'Regressão Grupo 2'!$B$7)&gt;100%,100%,_xlfn.NORM.INV(S93,D93,'Regressão Grupo 2'!$B$7)))</f>
        <v>0.88560251103963816</v>
      </c>
      <c r="G93" s="41">
        <v>1.1252283818173328E-2</v>
      </c>
      <c r="H93" s="41">
        <v>1.6472387791545393E-2</v>
      </c>
      <c r="I93" s="40">
        <f t="shared" si="14"/>
        <v>0</v>
      </c>
      <c r="J93" s="40">
        <f t="shared" si="15"/>
        <v>291.75975982022561</v>
      </c>
      <c r="K93" s="36">
        <v>0.21182201388094885</v>
      </c>
      <c r="L93" s="42">
        <f t="shared" si="21"/>
        <v>0</v>
      </c>
      <c r="M93" s="42">
        <f t="shared" si="21"/>
        <v>20000</v>
      </c>
      <c r="N93" s="42">
        <f t="shared" si="16"/>
        <v>4236.4402776189772</v>
      </c>
      <c r="O93" s="36">
        <v>6.9849789847309944</v>
      </c>
      <c r="P93" s="42">
        <f t="shared" si="17"/>
        <v>8313.6119224578651</v>
      </c>
      <c r="Q93" s="42"/>
      <c r="R93">
        <v>0.52162236396374406</v>
      </c>
      <c r="S93">
        <v>0.5161595507675405</v>
      </c>
      <c r="T93" s="42"/>
      <c r="U93" s="42"/>
    </row>
    <row r="94" spans="1:21" x14ac:dyDescent="0.25">
      <c r="A94" s="40">
        <f t="shared" si="18"/>
        <v>0</v>
      </c>
      <c r="B94" s="40">
        <f t="shared" si="19"/>
        <v>50</v>
      </c>
      <c r="C94" s="41">
        <f t="shared" si="12"/>
        <v>1.0313000000000001</v>
      </c>
      <c r="D94" s="41">
        <f t="shared" si="13"/>
        <v>0.88000000000000012</v>
      </c>
      <c r="E94" s="39">
        <f>IF(_xlfn.NORM.INV(R94,C94,'Regressão Grupo 2'!$B$7)&lt;=0,0,IF(_xlfn.NORM.INV(R94,C94,'Regressão Grupo 2'!$B$7)&gt;100%,100%,_xlfn.NORM.INV(R94,C94,'Regressão Grupo 2'!$B$7)))</f>
        <v>0.88219538019417809</v>
      </c>
      <c r="F94" s="39">
        <f>IF(_xlfn.NORM.INV(S94,D94,'Regressão Grupo 2'!$B$7)&lt;=0,0,IF(_xlfn.NORM.INV(S94,D94,'Regressão Grupo 2'!$B$7)&gt;100%,100%,_xlfn.NORM.INV(S94,D94,'Regressão Grupo 2'!$B$7)))</f>
        <v>0.88540137246125861</v>
      </c>
      <c r="G94" s="41">
        <v>1.0009073075318058E-2</v>
      </c>
      <c r="H94" s="41">
        <v>1.2949202179358741E-2</v>
      </c>
      <c r="I94" s="40">
        <f t="shared" si="14"/>
        <v>0</v>
      </c>
      <c r="J94" s="40">
        <f t="shared" si="15"/>
        <v>229.30482763765102</v>
      </c>
      <c r="K94" s="36">
        <v>0.23033217174145731</v>
      </c>
      <c r="L94" s="42">
        <f t="shared" si="21"/>
        <v>0</v>
      </c>
      <c r="M94" s="42">
        <f t="shared" si="21"/>
        <v>20000</v>
      </c>
      <c r="N94" s="42">
        <f t="shared" si="16"/>
        <v>4606.6434348291459</v>
      </c>
      <c r="O94" s="36">
        <v>9.0440698854726325</v>
      </c>
      <c r="P94" s="42">
        <f t="shared" si="17"/>
        <v>4784.7490608222342</v>
      </c>
      <c r="Q94" s="42"/>
      <c r="R94">
        <v>0.14044618060853908</v>
      </c>
      <c r="S94">
        <v>0.51557969908749657</v>
      </c>
      <c r="T94" s="42"/>
      <c r="U94" s="42"/>
    </row>
    <row r="95" spans="1:21" x14ac:dyDescent="0.25">
      <c r="A95" s="40">
        <f t="shared" si="18"/>
        <v>0</v>
      </c>
      <c r="B95" s="40">
        <f t="shared" si="19"/>
        <v>50</v>
      </c>
      <c r="C95" s="41">
        <f t="shared" si="12"/>
        <v>1.0313000000000001</v>
      </c>
      <c r="D95" s="41">
        <f t="shared" si="13"/>
        <v>0.88000000000000012</v>
      </c>
      <c r="E95" s="39">
        <f>IF(_xlfn.NORM.INV(R95,C95,'Regressão Grupo 2'!$B$7)&lt;=0,0,IF(_xlfn.NORM.INV(R95,C95,'Regressão Grupo 2'!$B$7)&gt;100%,100%,_xlfn.NORM.INV(R95,C95,'Regressão Grupo 2'!$B$7)))</f>
        <v>1</v>
      </c>
      <c r="F95" s="39">
        <f>IF(_xlfn.NORM.INV(S95,D95,'Regressão Grupo 2'!$B$7)&lt;=0,0,IF(_xlfn.NORM.INV(S95,D95,'Regressão Grupo 2'!$B$7)&gt;100%,100%,_xlfn.NORM.INV(S95,D95,'Regressão Grupo 2'!$B$7)))</f>
        <v>0.95609363265618774</v>
      </c>
      <c r="G95" s="41">
        <v>5.5293534470348639E-3</v>
      </c>
      <c r="H95" s="41">
        <v>1.4187072848304996E-2</v>
      </c>
      <c r="I95" s="40">
        <f t="shared" si="14"/>
        <v>0</v>
      </c>
      <c r="J95" s="40">
        <f t="shared" si="15"/>
        <v>271.28340032587784</v>
      </c>
      <c r="K95" s="36">
        <v>0.46895091749186191</v>
      </c>
      <c r="L95" s="42">
        <f t="shared" si="21"/>
        <v>0</v>
      </c>
      <c r="M95" s="42">
        <f t="shared" si="21"/>
        <v>20000</v>
      </c>
      <c r="N95" s="42">
        <f t="shared" si="16"/>
        <v>9379.0183498372389</v>
      </c>
      <c r="O95" s="36">
        <v>5.6482914408546669</v>
      </c>
      <c r="P95" s="42">
        <f t="shared" si="17"/>
        <v>2652.8639583500481</v>
      </c>
      <c r="Q95" s="42"/>
      <c r="R95">
        <v>0.93090609454634232</v>
      </c>
      <c r="S95">
        <v>0.70894497512741472</v>
      </c>
      <c r="T95" s="42"/>
      <c r="U95" s="42"/>
    </row>
    <row r="96" spans="1:21" x14ac:dyDescent="0.25">
      <c r="A96" s="40">
        <f t="shared" si="18"/>
        <v>0</v>
      </c>
      <c r="B96" s="40">
        <f t="shared" si="19"/>
        <v>50</v>
      </c>
      <c r="C96" s="41">
        <f t="shared" si="12"/>
        <v>1.0313000000000001</v>
      </c>
      <c r="D96" s="41">
        <f t="shared" si="13"/>
        <v>0.88000000000000012</v>
      </c>
      <c r="E96" s="39">
        <f>IF(_xlfn.NORM.INV(R96,C96,'Regressão Grupo 2'!$B$7)&lt;=0,0,IF(_xlfn.NORM.INV(R96,C96,'Regressão Grupo 2'!$B$7)&gt;100%,100%,_xlfn.NORM.INV(R96,C96,'Regressão Grupo 2'!$B$7)))</f>
        <v>1</v>
      </c>
      <c r="F96" s="39">
        <f>IF(_xlfn.NORM.INV(S96,D96,'Regressão Grupo 2'!$B$7)&lt;=0,0,IF(_xlfn.NORM.INV(S96,D96,'Regressão Grupo 2'!$B$7)&gt;100%,100%,_xlfn.NORM.INV(S96,D96,'Regressão Grupo 2'!$B$7)))</f>
        <v>0.96921159656381073</v>
      </c>
      <c r="G96" s="41">
        <v>2.1845524772721434E-2</v>
      </c>
      <c r="H96" s="41">
        <v>1.9897822501987173E-2</v>
      </c>
      <c r="I96" s="40">
        <f t="shared" si="14"/>
        <v>0</v>
      </c>
      <c r="J96" s="40">
        <f t="shared" si="15"/>
        <v>385.70400630588614</v>
      </c>
      <c r="K96" s="36">
        <v>0.23107540688838082</v>
      </c>
      <c r="L96" s="42">
        <f t="shared" si="21"/>
        <v>0</v>
      </c>
      <c r="M96" s="42">
        <f t="shared" si="21"/>
        <v>20000</v>
      </c>
      <c r="N96" s="42">
        <f t="shared" si="16"/>
        <v>4621.5081377676161</v>
      </c>
      <c r="O96" s="36">
        <v>5.5039972178620298</v>
      </c>
      <c r="P96" s="42">
        <f t="shared" si="17"/>
        <v>12540.778399900855</v>
      </c>
      <c r="Q96" s="42"/>
      <c r="R96">
        <v>0.86492507705923638</v>
      </c>
      <c r="S96">
        <v>0.74059266945402391</v>
      </c>
      <c r="T96" s="42"/>
      <c r="U96" s="42"/>
    </row>
    <row r="97" spans="1:21" x14ac:dyDescent="0.25">
      <c r="A97" s="40">
        <f t="shared" si="18"/>
        <v>0</v>
      </c>
      <c r="B97" s="40">
        <f t="shared" si="19"/>
        <v>50</v>
      </c>
      <c r="C97" s="41">
        <f t="shared" si="12"/>
        <v>1.0313000000000001</v>
      </c>
      <c r="D97" s="41">
        <f t="shared" si="13"/>
        <v>0.88000000000000012</v>
      </c>
      <c r="E97" s="39">
        <f>IF(_xlfn.NORM.INV(R97,C97,'Regressão Grupo 2'!$B$7)&lt;=0,0,IF(_xlfn.NORM.INV(R97,C97,'Regressão Grupo 2'!$B$7)&gt;100%,100%,_xlfn.NORM.INV(R97,C97,'Regressão Grupo 2'!$B$7)))</f>
        <v>0.88247884628652551</v>
      </c>
      <c r="F97" s="39">
        <f>IF(_xlfn.NORM.INV(S97,D97,'Regressão Grupo 2'!$B$7)&lt;=0,0,IF(_xlfn.NORM.INV(S97,D97,'Regressão Grupo 2'!$B$7)&gt;100%,100%,_xlfn.NORM.INV(S97,D97,'Regressão Grupo 2'!$B$7)))</f>
        <v>0.75536021736217607</v>
      </c>
      <c r="G97" s="41">
        <v>1.6444413620401541E-2</v>
      </c>
      <c r="H97" s="41">
        <v>1.8161944850410682E-2</v>
      </c>
      <c r="I97" s="40">
        <f t="shared" si="14"/>
        <v>0</v>
      </c>
      <c r="J97" s="40">
        <f t="shared" si="15"/>
        <v>274.37621219852133</v>
      </c>
      <c r="K97" s="36">
        <v>0.36372548805034488</v>
      </c>
      <c r="L97" s="42">
        <f t="shared" si="21"/>
        <v>0</v>
      </c>
      <c r="M97" s="42">
        <f t="shared" si="21"/>
        <v>20000</v>
      </c>
      <c r="N97" s="42">
        <f t="shared" si="16"/>
        <v>7274.5097610068979</v>
      </c>
      <c r="O97" s="36">
        <v>5.6475652695474574</v>
      </c>
      <c r="P97" s="42">
        <f t="shared" si="17"/>
        <v>4894.7432821168159</v>
      </c>
      <c r="Q97" s="42"/>
      <c r="R97">
        <v>0.14090395825067903</v>
      </c>
      <c r="S97">
        <v>0.1836909085360271</v>
      </c>
      <c r="T97" s="42"/>
      <c r="U97" s="42"/>
    </row>
    <row r="98" spans="1:21" x14ac:dyDescent="0.25">
      <c r="A98" s="40">
        <f t="shared" si="18"/>
        <v>0</v>
      </c>
      <c r="B98" s="40">
        <f t="shared" si="19"/>
        <v>50</v>
      </c>
      <c r="C98" s="41">
        <f t="shared" si="12"/>
        <v>1.0313000000000001</v>
      </c>
      <c r="D98" s="41">
        <f t="shared" si="13"/>
        <v>0.88000000000000012</v>
      </c>
      <c r="E98" s="39">
        <f>IF(_xlfn.NORM.INV(R98,C98,'Regressão Grupo 2'!$B$7)&lt;=0,0,IF(_xlfn.NORM.INV(R98,C98,'Regressão Grupo 2'!$B$7)&gt;100%,100%,_xlfn.NORM.INV(R98,C98,'Regressão Grupo 2'!$B$7)))</f>
        <v>1</v>
      </c>
      <c r="F98" s="39">
        <f>IF(_xlfn.NORM.INV(S98,D98,'Regressão Grupo 2'!$B$7)&lt;=0,0,IF(_xlfn.NORM.INV(S98,D98,'Regressão Grupo 2'!$B$7)&gt;100%,100%,_xlfn.NORM.INV(S98,D98,'Regressão Grupo 2'!$B$7)))</f>
        <v>0.84977814626988102</v>
      </c>
      <c r="G98" s="41">
        <v>2.0366617744013441E-2</v>
      </c>
      <c r="H98" s="41">
        <v>2.1241128514227152E-2</v>
      </c>
      <c r="I98" s="40">
        <f t="shared" si="14"/>
        <v>0</v>
      </c>
      <c r="J98" s="40">
        <f t="shared" si="15"/>
        <v>361.00493627000526</v>
      </c>
      <c r="K98" s="36">
        <v>0.26170211927621101</v>
      </c>
      <c r="L98" s="42">
        <f t="shared" si="21"/>
        <v>0</v>
      </c>
      <c r="M98" s="42">
        <f t="shared" si="21"/>
        <v>20000</v>
      </c>
      <c r="N98" s="42">
        <f t="shared" si="16"/>
        <v>5234.0423855242198</v>
      </c>
      <c r="O98" s="36">
        <v>6.7677127593734365</v>
      </c>
      <c r="P98" s="42">
        <f t="shared" si="17"/>
        <v>10373.026714584736</v>
      </c>
      <c r="Q98" s="42"/>
      <c r="R98">
        <v>0.8469496749778741</v>
      </c>
      <c r="S98">
        <v>0.41349528489028597</v>
      </c>
      <c r="T98" s="42"/>
      <c r="U98" s="42"/>
    </row>
    <row r="99" spans="1:21" x14ac:dyDescent="0.25">
      <c r="A99" s="40">
        <f t="shared" si="18"/>
        <v>0</v>
      </c>
      <c r="B99" s="40">
        <f t="shared" si="19"/>
        <v>50</v>
      </c>
      <c r="C99" s="41">
        <f t="shared" si="12"/>
        <v>1.0313000000000001</v>
      </c>
      <c r="D99" s="41">
        <f t="shared" si="13"/>
        <v>0.88000000000000012</v>
      </c>
      <c r="E99" s="39">
        <f>IF(_xlfn.NORM.INV(R99,C99,'Regressão Grupo 2'!$B$7)&lt;=0,0,IF(_xlfn.NORM.INV(R99,C99,'Regressão Grupo 2'!$B$7)&gt;100%,100%,_xlfn.NORM.INV(R99,C99,'Regressão Grupo 2'!$B$7)))</f>
        <v>1</v>
      </c>
      <c r="F99" s="39">
        <f>IF(_xlfn.NORM.INV(S99,D99,'Regressão Grupo 2'!$B$7)&lt;=0,0,IF(_xlfn.NORM.INV(S99,D99,'Regressão Grupo 2'!$B$7)&gt;100%,100%,_xlfn.NORM.INV(S99,D99,'Regressão Grupo 2'!$B$7)))</f>
        <v>0.51802552780519506</v>
      </c>
      <c r="G99" s="41">
        <v>1.3575101755087519E-2</v>
      </c>
      <c r="H99" s="41">
        <v>2.2564412386910381E-2</v>
      </c>
      <c r="I99" s="40">
        <f t="shared" si="14"/>
        <v>0</v>
      </c>
      <c r="J99" s="40">
        <f t="shared" si="15"/>
        <v>233.77883272686663</v>
      </c>
      <c r="K99" s="36">
        <v>0.30498182577071409</v>
      </c>
      <c r="L99" s="42">
        <f t="shared" si="21"/>
        <v>0</v>
      </c>
      <c r="M99" s="42">
        <f t="shared" si="21"/>
        <v>20000</v>
      </c>
      <c r="N99" s="42">
        <f t="shared" si="16"/>
        <v>6099.6365154142813</v>
      </c>
      <c r="O99" s="36">
        <v>9.0047029416675084</v>
      </c>
      <c r="P99" s="42">
        <f t="shared" si="17"/>
        <v>3484.1961781738382</v>
      </c>
      <c r="Q99" s="42"/>
      <c r="R99">
        <v>0.75160985137485881</v>
      </c>
      <c r="S99">
        <v>4.4251838740195929E-3</v>
      </c>
      <c r="T99" s="42"/>
      <c r="U99" s="42"/>
    </row>
    <row r="100" spans="1:21" x14ac:dyDescent="0.25">
      <c r="A100" s="40">
        <f t="shared" si="18"/>
        <v>0</v>
      </c>
      <c r="B100" s="40">
        <f t="shared" si="19"/>
        <v>50</v>
      </c>
      <c r="C100" s="41">
        <f t="shared" si="12"/>
        <v>1.0313000000000001</v>
      </c>
      <c r="D100" s="41">
        <f t="shared" si="13"/>
        <v>0.88000000000000012</v>
      </c>
      <c r="E100" s="39">
        <f>IF(_xlfn.NORM.INV(R100,C100,'Regressão Grupo 2'!$B$7)&lt;=0,0,IF(_xlfn.NORM.INV(R100,C100,'Regressão Grupo 2'!$B$7)&gt;100%,100%,_xlfn.NORM.INV(R100,C100,'Regressão Grupo 2'!$B$7)))</f>
        <v>1</v>
      </c>
      <c r="F100" s="39">
        <f>IF(_xlfn.NORM.INV(S100,D100,'Regressão Grupo 2'!$B$7)&lt;=0,0,IF(_xlfn.NORM.INV(S100,D100,'Regressão Grupo 2'!$B$7)&gt;100%,100%,_xlfn.NORM.INV(S100,D100,'Regressão Grupo 2'!$B$7)))</f>
        <v>0.74138143603891493</v>
      </c>
      <c r="G100" s="41">
        <v>7.9675673560894375E-3</v>
      </c>
      <c r="H100" s="41">
        <v>2.070167905367409E-2</v>
      </c>
      <c r="I100" s="40">
        <f t="shared" si="14"/>
        <v>0</v>
      </c>
      <c r="J100" s="40">
        <f t="shared" si="15"/>
        <v>306.95681090459243</v>
      </c>
      <c r="K100" s="36">
        <v>0.27202487306616496</v>
      </c>
      <c r="L100" s="42">
        <f t="shared" si="21"/>
        <v>0</v>
      </c>
      <c r="M100" s="42">
        <f t="shared" si="21"/>
        <v>20000</v>
      </c>
      <c r="N100" s="42">
        <f t="shared" si="16"/>
        <v>5440.4974613232989</v>
      </c>
      <c r="O100" s="36">
        <v>6.7448356534195648</v>
      </c>
      <c r="P100" s="42">
        <f t="shared" si="17"/>
        <v>7836.9698416570591</v>
      </c>
      <c r="Q100" s="42"/>
      <c r="R100">
        <v>0.80324716940824614</v>
      </c>
      <c r="S100">
        <v>0.15805536057618946</v>
      </c>
      <c r="T100" s="42"/>
      <c r="U100" s="42"/>
    </row>
    <row r="101" spans="1:21" x14ac:dyDescent="0.25">
      <c r="A101" s="40">
        <f t="shared" si="18"/>
        <v>0</v>
      </c>
      <c r="B101" s="40">
        <f t="shared" si="19"/>
        <v>50</v>
      </c>
      <c r="C101" s="41">
        <f t="shared" si="12"/>
        <v>1.0313000000000001</v>
      </c>
      <c r="D101" s="41">
        <f t="shared" si="13"/>
        <v>0.88000000000000012</v>
      </c>
      <c r="E101" s="39">
        <f>IF(_xlfn.NORM.INV(R101,C101,'Regressão Grupo 2'!$B$7)&lt;=0,0,IF(_xlfn.NORM.INV(R101,C101,'Regressão Grupo 2'!$B$7)&gt;100%,100%,_xlfn.NORM.INV(R101,C101,'Regressão Grupo 2'!$B$7)))</f>
        <v>0.82708699454731394</v>
      </c>
      <c r="F101" s="39">
        <f>IF(_xlfn.NORM.INV(S101,D101,'Regressão Grupo 2'!$B$7)&lt;=0,0,IF(_xlfn.NORM.INV(S101,D101,'Regressão Grupo 2'!$B$7)&gt;100%,100%,_xlfn.NORM.INV(S101,D101,'Regressão Grupo 2'!$B$7)))</f>
        <v>0.77119308398286102</v>
      </c>
      <c r="G101" s="41">
        <v>1.903863945680016E-2</v>
      </c>
      <c r="H101" s="41">
        <v>2.2390589062033416E-2</v>
      </c>
      <c r="I101" s="40">
        <f t="shared" si="14"/>
        <v>0</v>
      </c>
      <c r="J101" s="40">
        <f t="shared" si="15"/>
        <v>345.34934861884926</v>
      </c>
      <c r="K101" s="36">
        <v>0.28668756583704014</v>
      </c>
      <c r="L101" s="42">
        <f t="shared" si="21"/>
        <v>0</v>
      </c>
      <c r="M101" s="42">
        <f t="shared" si="21"/>
        <v>20000</v>
      </c>
      <c r="N101" s="42">
        <f t="shared" si="16"/>
        <v>5733.7513167408024</v>
      </c>
      <c r="O101" s="36">
        <v>6.0947227227425191</v>
      </c>
      <c r="P101" s="42">
        <f t="shared" si="17"/>
        <v>9428.9075918900307</v>
      </c>
      <c r="Q101" s="42"/>
      <c r="R101">
        <v>6.9856868190557572E-2</v>
      </c>
      <c r="S101">
        <v>0.21567430646687216</v>
      </c>
      <c r="T101" s="42"/>
      <c r="U101" s="42"/>
    </row>
    <row r="102" spans="1:21" x14ac:dyDescent="0.25">
      <c r="A102" s="40">
        <f t="shared" si="18"/>
        <v>0</v>
      </c>
      <c r="B102" s="40">
        <f t="shared" si="19"/>
        <v>50</v>
      </c>
      <c r="C102" s="41">
        <f t="shared" si="12"/>
        <v>1.0313000000000001</v>
      </c>
      <c r="D102" s="41">
        <f t="shared" si="13"/>
        <v>0.88000000000000012</v>
      </c>
      <c r="E102" s="39">
        <f>IF(_xlfn.NORM.INV(R102,C102,'Regressão Grupo 2'!$B$7)&lt;=0,0,IF(_xlfn.NORM.INV(R102,C102,'Regressão Grupo 2'!$B$7)&gt;100%,100%,_xlfn.NORM.INV(R102,C102,'Regressão Grupo 2'!$B$7)))</f>
        <v>0.91701550394559839</v>
      </c>
      <c r="F102" s="39">
        <f>IF(_xlfn.NORM.INV(S102,D102,'Regressão Grupo 2'!$B$7)&lt;=0,0,IF(_xlfn.NORM.INV(S102,D102,'Regressão Grupo 2'!$B$7)&gt;100%,100%,_xlfn.NORM.INV(S102,D102,'Regressão Grupo 2'!$B$7)))</f>
        <v>0.78718903440309129</v>
      </c>
      <c r="G102" s="41">
        <v>2.5222265900459138E-2</v>
      </c>
      <c r="H102" s="41">
        <v>2.2268653075225187E-2</v>
      </c>
      <c r="I102" s="40">
        <f t="shared" si="14"/>
        <v>0</v>
      </c>
      <c r="J102" s="40">
        <f t="shared" si="15"/>
        <v>350.59279023487892</v>
      </c>
      <c r="K102" s="36">
        <v>0.27052087198519947</v>
      </c>
      <c r="L102" s="42">
        <f t="shared" si="21"/>
        <v>0</v>
      </c>
      <c r="M102" s="42">
        <f t="shared" si="21"/>
        <v>20000</v>
      </c>
      <c r="N102" s="42">
        <f t="shared" si="16"/>
        <v>5410.4174397039897</v>
      </c>
      <c r="O102" s="36">
        <v>7.5454572420666919</v>
      </c>
      <c r="P102" s="42">
        <f t="shared" si="17"/>
        <v>9473.8391639458205</v>
      </c>
      <c r="Q102" s="42"/>
      <c r="R102">
        <v>0.2042603839228492</v>
      </c>
      <c r="S102">
        <v>0.25104525894955293</v>
      </c>
      <c r="T102" s="42"/>
      <c r="U102" s="42"/>
    </row>
    <row r="103" spans="1:21" x14ac:dyDescent="0.25">
      <c r="A103" s="40">
        <f t="shared" si="18"/>
        <v>0</v>
      </c>
      <c r="B103" s="40">
        <f t="shared" si="19"/>
        <v>50</v>
      </c>
      <c r="C103" s="41">
        <f t="shared" si="12"/>
        <v>1.0313000000000001</v>
      </c>
      <c r="D103" s="41">
        <f t="shared" si="13"/>
        <v>0.88000000000000012</v>
      </c>
      <c r="E103" s="39">
        <f>IF(_xlfn.NORM.INV(R103,C103,'Regressão Grupo 2'!$B$7)&lt;=0,0,IF(_xlfn.NORM.INV(R103,C103,'Regressão Grupo 2'!$B$7)&gt;100%,100%,_xlfn.NORM.INV(R103,C103,'Regressão Grupo 2'!$B$7)))</f>
        <v>1</v>
      </c>
      <c r="F103" s="39">
        <f>IF(_xlfn.NORM.INV(S103,D103,'Regressão Grupo 2'!$B$7)&lt;=0,0,IF(_xlfn.NORM.INV(S103,D103,'Regressão Grupo 2'!$B$7)&gt;100%,100%,_xlfn.NORM.INV(S103,D103,'Regressão Grupo 2'!$B$7)))</f>
        <v>0.75951216060757043</v>
      </c>
      <c r="G103" s="41">
        <v>1.7220440250245113E-2</v>
      </c>
      <c r="H103" s="41">
        <v>6.9394824314330684E-3</v>
      </c>
      <c r="I103" s="40">
        <f t="shared" si="14"/>
        <v>0</v>
      </c>
      <c r="J103" s="40">
        <f t="shared" si="15"/>
        <v>105.41242589992011</v>
      </c>
      <c r="K103" s="36">
        <v>0.38473136764505067</v>
      </c>
      <c r="L103" s="42">
        <f t="shared" ref="L103:M118" si="22">L102</f>
        <v>0</v>
      </c>
      <c r="M103" s="42">
        <f t="shared" si="22"/>
        <v>20000</v>
      </c>
      <c r="N103" s="42">
        <f t="shared" si="16"/>
        <v>7694.6273529010132</v>
      </c>
      <c r="O103" s="36">
        <v>5.5260266861665359</v>
      </c>
      <c r="P103" s="42">
        <f t="shared" si="17"/>
        <v>-3006.5179364815185</v>
      </c>
      <c r="Q103" s="42"/>
      <c r="R103">
        <v>0.70165105136265149</v>
      </c>
      <c r="S103">
        <v>0.19177831354716635</v>
      </c>
      <c r="T103" s="42"/>
      <c r="U103" s="42"/>
    </row>
    <row r="104" spans="1:21" x14ac:dyDescent="0.25">
      <c r="A104" s="40">
        <f t="shared" si="18"/>
        <v>0</v>
      </c>
      <c r="B104" s="40">
        <f t="shared" si="19"/>
        <v>50</v>
      </c>
      <c r="C104" s="41">
        <f t="shared" si="12"/>
        <v>1.0313000000000001</v>
      </c>
      <c r="D104" s="41">
        <f t="shared" si="13"/>
        <v>0.88000000000000012</v>
      </c>
      <c r="E104" s="39">
        <f>IF(_xlfn.NORM.INV(R104,C104,'Regressão Grupo 2'!$B$7)&lt;=0,0,IF(_xlfn.NORM.INV(R104,C104,'Regressão Grupo 2'!$B$7)&gt;100%,100%,_xlfn.NORM.INV(R104,C104,'Regressão Grupo 2'!$B$7)))</f>
        <v>1</v>
      </c>
      <c r="F104" s="39">
        <f>IF(_xlfn.NORM.INV(S104,D104,'Regressão Grupo 2'!$B$7)&lt;=0,0,IF(_xlfn.NORM.INV(S104,D104,'Regressão Grupo 2'!$B$7)&gt;100%,100%,_xlfn.NORM.INV(S104,D104,'Regressão Grupo 2'!$B$7)))</f>
        <v>0.58097940883810462</v>
      </c>
      <c r="G104" s="41">
        <v>1.3750662354208373E-2</v>
      </c>
      <c r="H104" s="41">
        <v>2.3234771211521718E-2</v>
      </c>
      <c r="I104" s="40">
        <f t="shared" si="14"/>
        <v>0</v>
      </c>
      <c r="J104" s="40">
        <f t="shared" si="15"/>
        <v>269.97847285916998</v>
      </c>
      <c r="K104" s="36">
        <v>0.33211858136481742</v>
      </c>
      <c r="L104" s="42">
        <f t="shared" si="22"/>
        <v>0</v>
      </c>
      <c r="M104" s="42">
        <f t="shared" si="22"/>
        <v>20000</v>
      </c>
      <c r="N104" s="42">
        <f t="shared" si="16"/>
        <v>6642.3716272963484</v>
      </c>
      <c r="O104" s="36">
        <v>7.4714226329355915</v>
      </c>
      <c r="P104" s="42">
        <f t="shared" si="17"/>
        <v>4839.4287431367611</v>
      </c>
      <c r="Q104" s="42"/>
      <c r="R104">
        <v>0.85140537736136968</v>
      </c>
      <c r="S104">
        <v>1.5289773247474594E-2</v>
      </c>
      <c r="T104" s="42"/>
      <c r="U104" s="42"/>
    </row>
    <row r="105" spans="1:21" x14ac:dyDescent="0.25">
      <c r="A105" s="40">
        <f t="shared" si="18"/>
        <v>0</v>
      </c>
      <c r="B105" s="40">
        <f t="shared" si="19"/>
        <v>50</v>
      </c>
      <c r="C105" s="41">
        <f t="shared" si="12"/>
        <v>1.0313000000000001</v>
      </c>
      <c r="D105" s="41">
        <f t="shared" si="13"/>
        <v>0.88000000000000012</v>
      </c>
      <c r="E105" s="39">
        <f>IF(_xlfn.NORM.INV(R105,C105,'Regressão Grupo 2'!$B$7)&lt;=0,0,IF(_xlfn.NORM.INV(R105,C105,'Regressão Grupo 2'!$B$7)&gt;100%,100%,_xlfn.NORM.INV(R105,C105,'Regressão Grupo 2'!$B$7)))</f>
        <v>1</v>
      </c>
      <c r="F105" s="39">
        <f>IF(_xlfn.NORM.INV(S105,D105,'Regressão Grupo 2'!$B$7)&lt;=0,0,IF(_xlfn.NORM.INV(S105,D105,'Regressão Grupo 2'!$B$7)&gt;100%,100%,_xlfn.NORM.INV(S105,D105,'Regressão Grupo 2'!$B$7)))</f>
        <v>0.85401137021483164</v>
      </c>
      <c r="G105" s="41">
        <v>2.1098573886817365E-2</v>
      </c>
      <c r="H105" s="41">
        <v>7.7628887429314498E-3</v>
      </c>
      <c r="I105" s="40">
        <f t="shared" si="14"/>
        <v>0</v>
      </c>
      <c r="J105" s="40">
        <f t="shared" si="15"/>
        <v>132.59190504352358</v>
      </c>
      <c r="K105" s="36">
        <v>0.37657884150644344</v>
      </c>
      <c r="L105" s="42">
        <f t="shared" si="22"/>
        <v>0</v>
      </c>
      <c r="M105" s="42">
        <f t="shared" si="22"/>
        <v>20000</v>
      </c>
      <c r="N105" s="42">
        <f t="shared" si="16"/>
        <v>7531.576830128869</v>
      </c>
      <c r="O105" s="36">
        <v>7.5424807618153018</v>
      </c>
      <c r="P105" s="42">
        <f t="shared" si="17"/>
        <v>-1902.0534709159074</v>
      </c>
      <c r="Q105" s="42"/>
      <c r="R105">
        <v>0.99713126010925623</v>
      </c>
      <c r="S105">
        <v>0.42545854060487687</v>
      </c>
      <c r="T105" s="42"/>
      <c r="U105" s="42"/>
    </row>
    <row r="106" spans="1:21" x14ac:dyDescent="0.25">
      <c r="A106" s="40">
        <f t="shared" si="18"/>
        <v>0</v>
      </c>
      <c r="B106" s="40">
        <f t="shared" si="19"/>
        <v>50</v>
      </c>
      <c r="C106" s="41">
        <f t="shared" si="12"/>
        <v>1.0313000000000001</v>
      </c>
      <c r="D106" s="41">
        <f t="shared" si="13"/>
        <v>0.88000000000000012</v>
      </c>
      <c r="E106" s="39">
        <f>IF(_xlfn.NORM.INV(R106,C106,'Regressão Grupo 2'!$B$7)&lt;=0,0,IF(_xlfn.NORM.INV(R106,C106,'Regressão Grupo 2'!$B$7)&gt;100%,100%,_xlfn.NORM.INV(R106,C106,'Regressão Grupo 2'!$B$7)))</f>
        <v>0.87932550729870484</v>
      </c>
      <c r="F106" s="39">
        <f>IF(_xlfn.NORM.INV(S106,D106,'Regressão Grupo 2'!$B$7)&lt;=0,0,IF(_xlfn.NORM.INV(S106,D106,'Regressão Grupo 2'!$B$7)&gt;100%,100%,_xlfn.NORM.INV(S106,D106,'Regressão Grupo 2'!$B$7)))</f>
        <v>0.74703509750027874</v>
      </c>
      <c r="G106" s="41">
        <v>1.0417234723178771E-2</v>
      </c>
      <c r="H106" s="41">
        <v>1.9092706604963972E-2</v>
      </c>
      <c r="I106" s="40">
        <f t="shared" si="14"/>
        <v>0</v>
      </c>
      <c r="J106" s="40">
        <f t="shared" si="15"/>
        <v>285.25843880366955</v>
      </c>
      <c r="K106" s="36">
        <v>0.2617360276285301</v>
      </c>
      <c r="L106" s="42">
        <f t="shared" si="22"/>
        <v>0</v>
      </c>
      <c r="M106" s="42">
        <f t="shared" si="22"/>
        <v>20000</v>
      </c>
      <c r="N106" s="42">
        <f t="shared" si="16"/>
        <v>5234.7205525706022</v>
      </c>
      <c r="O106" s="36">
        <v>4.21582118673631</v>
      </c>
      <c r="P106" s="42">
        <f t="shared" si="17"/>
        <v>7825.6028176090431</v>
      </c>
      <c r="Q106" s="42"/>
      <c r="R106">
        <v>0.1358684041871395</v>
      </c>
      <c r="S106">
        <v>0.16812646870326853</v>
      </c>
      <c r="T106" s="42"/>
      <c r="U106" s="42"/>
    </row>
    <row r="107" spans="1:21" x14ac:dyDescent="0.25">
      <c r="A107" s="40">
        <f t="shared" si="18"/>
        <v>0</v>
      </c>
      <c r="B107" s="40">
        <f t="shared" si="19"/>
        <v>50</v>
      </c>
      <c r="C107" s="41">
        <f t="shared" si="12"/>
        <v>1.0313000000000001</v>
      </c>
      <c r="D107" s="41">
        <f t="shared" si="13"/>
        <v>0.88000000000000012</v>
      </c>
      <c r="E107" s="39">
        <f>IF(_xlfn.NORM.INV(R107,C107,'Regressão Grupo 2'!$B$7)&lt;=0,0,IF(_xlfn.NORM.INV(R107,C107,'Regressão Grupo 2'!$B$7)&gt;100%,100%,_xlfn.NORM.INV(R107,C107,'Regressão Grupo 2'!$B$7)))</f>
        <v>1</v>
      </c>
      <c r="F107" s="39">
        <f>IF(_xlfn.NORM.INV(S107,D107,'Regressão Grupo 2'!$B$7)&lt;=0,0,IF(_xlfn.NORM.INV(S107,D107,'Regressão Grupo 2'!$B$7)&gt;100%,100%,_xlfn.NORM.INV(S107,D107,'Regressão Grupo 2'!$B$7)))</f>
        <v>1</v>
      </c>
      <c r="G107" s="41">
        <v>9.4708634085848287E-3</v>
      </c>
      <c r="H107" s="41">
        <v>1.9273652532063746E-2</v>
      </c>
      <c r="I107" s="40">
        <f t="shared" si="14"/>
        <v>0</v>
      </c>
      <c r="J107" s="40">
        <f t="shared" si="15"/>
        <v>385.47305064127494</v>
      </c>
      <c r="K107" s="36">
        <v>0.46370562408550797</v>
      </c>
      <c r="L107" s="42">
        <f t="shared" si="22"/>
        <v>0</v>
      </c>
      <c r="M107" s="42">
        <f t="shared" si="22"/>
        <v>20000</v>
      </c>
      <c r="N107" s="42">
        <f t="shared" si="16"/>
        <v>9274.112481710159</v>
      </c>
      <c r="O107" s="36">
        <v>5.1216016513553972</v>
      </c>
      <c r="P107" s="42">
        <f t="shared" si="17"/>
        <v>8025.3006376362318</v>
      </c>
      <c r="Q107" s="42"/>
      <c r="R107">
        <v>0.63106173894466999</v>
      </c>
      <c r="S107">
        <v>0.91241187780388811</v>
      </c>
      <c r="T107" s="42"/>
      <c r="U107" s="42"/>
    </row>
    <row r="108" spans="1:21" x14ac:dyDescent="0.25">
      <c r="A108" s="40">
        <f t="shared" si="18"/>
        <v>0</v>
      </c>
      <c r="B108" s="40">
        <f t="shared" si="19"/>
        <v>50</v>
      </c>
      <c r="C108" s="41">
        <f t="shared" si="12"/>
        <v>1.0313000000000001</v>
      </c>
      <c r="D108" s="41">
        <f t="shared" si="13"/>
        <v>0.88000000000000012</v>
      </c>
      <c r="E108" s="39">
        <f>IF(_xlfn.NORM.INV(R108,C108,'Regressão Grupo 2'!$B$7)&lt;=0,0,IF(_xlfn.NORM.INV(R108,C108,'Regressão Grupo 2'!$B$7)&gt;100%,100%,_xlfn.NORM.INV(R108,C108,'Regressão Grupo 2'!$B$7)))</f>
        <v>1</v>
      </c>
      <c r="F108" s="39">
        <f>IF(_xlfn.NORM.INV(S108,D108,'Regressão Grupo 2'!$B$7)&lt;=0,0,IF(_xlfn.NORM.INV(S108,D108,'Regressão Grupo 2'!$B$7)&gt;100%,100%,_xlfn.NORM.INV(S108,D108,'Regressão Grupo 2'!$B$7)))</f>
        <v>0.89069959844167723</v>
      </c>
      <c r="G108" s="41">
        <v>5.1556708270693065E-3</v>
      </c>
      <c r="H108" s="41">
        <v>2.2479010388984446E-2</v>
      </c>
      <c r="I108" s="40">
        <f t="shared" si="14"/>
        <v>0</v>
      </c>
      <c r="J108" s="40">
        <f t="shared" si="15"/>
        <v>400.44091053669473</v>
      </c>
      <c r="K108" s="36">
        <v>0.4438574651909738</v>
      </c>
      <c r="L108" s="42">
        <f t="shared" si="22"/>
        <v>0</v>
      </c>
      <c r="M108" s="42">
        <f t="shared" si="22"/>
        <v>20000</v>
      </c>
      <c r="N108" s="42">
        <f t="shared" si="16"/>
        <v>8877.1493038194767</v>
      </c>
      <c r="O108" s="36">
        <v>3.3819310239824993</v>
      </c>
      <c r="P108" s="42">
        <f t="shared" si="17"/>
        <v>9790.632684399412</v>
      </c>
      <c r="Q108" s="42"/>
      <c r="R108">
        <v>0.51069673757133704</v>
      </c>
      <c r="S108">
        <v>0.53083895382549517</v>
      </c>
      <c r="T108" s="42"/>
      <c r="U108" s="42"/>
    </row>
    <row r="109" spans="1:21" x14ac:dyDescent="0.25">
      <c r="A109" s="40">
        <f t="shared" si="18"/>
        <v>0</v>
      </c>
      <c r="B109" s="40">
        <f t="shared" si="19"/>
        <v>50</v>
      </c>
      <c r="C109" s="41">
        <f t="shared" si="12"/>
        <v>1.0313000000000001</v>
      </c>
      <c r="D109" s="41">
        <f t="shared" si="13"/>
        <v>0.88000000000000012</v>
      </c>
      <c r="E109" s="39">
        <f>IF(_xlfn.NORM.INV(R109,C109,'Regressão Grupo 2'!$B$7)&lt;=0,0,IF(_xlfn.NORM.INV(R109,C109,'Regressão Grupo 2'!$B$7)&gt;100%,100%,_xlfn.NORM.INV(R109,C109,'Regressão Grupo 2'!$B$7)))</f>
        <v>0.85332808586048126</v>
      </c>
      <c r="F109" s="39">
        <f>IF(_xlfn.NORM.INV(S109,D109,'Regressão Grupo 2'!$B$7)&lt;=0,0,IF(_xlfn.NORM.INV(S109,D109,'Regressão Grupo 2'!$B$7)&gt;100%,100%,_xlfn.NORM.INV(S109,D109,'Regressão Grupo 2'!$B$7)))</f>
        <v>0.99031267173422011</v>
      </c>
      <c r="G109" s="41">
        <v>2.1702682679323321E-2</v>
      </c>
      <c r="H109" s="41">
        <v>1.080837982704988E-2</v>
      </c>
      <c r="I109" s="40">
        <f t="shared" si="14"/>
        <v>0</v>
      </c>
      <c r="J109" s="40">
        <f t="shared" si="15"/>
        <v>214.07351007288028</v>
      </c>
      <c r="K109" s="36">
        <v>0.28640669919365147</v>
      </c>
      <c r="L109" s="42">
        <f t="shared" si="22"/>
        <v>0</v>
      </c>
      <c r="M109" s="42">
        <f t="shared" si="22"/>
        <v>20000</v>
      </c>
      <c r="N109" s="42">
        <f t="shared" si="16"/>
        <v>5728.1339838730291</v>
      </c>
      <c r="O109" s="36">
        <v>3.4036732908640808</v>
      </c>
      <c r="P109" s="42">
        <f t="shared" si="17"/>
        <v>4246.905231254399</v>
      </c>
      <c r="Q109" s="42"/>
      <c r="R109">
        <v>9.9032563249610892E-2</v>
      </c>
      <c r="S109">
        <v>0.78749961851863159</v>
      </c>
      <c r="T109" s="42"/>
      <c r="U109" s="42"/>
    </row>
    <row r="110" spans="1:21" x14ac:dyDescent="0.25">
      <c r="A110" s="40">
        <f t="shared" si="18"/>
        <v>0</v>
      </c>
      <c r="B110" s="40">
        <f t="shared" si="19"/>
        <v>50</v>
      </c>
      <c r="C110" s="41">
        <f t="shared" si="12"/>
        <v>1.0313000000000001</v>
      </c>
      <c r="D110" s="41">
        <f t="shared" si="13"/>
        <v>0.88000000000000012</v>
      </c>
      <c r="E110" s="39">
        <f>IF(_xlfn.NORM.INV(R110,C110,'Regressão Grupo 2'!$B$7)&lt;=0,0,IF(_xlfn.NORM.INV(R110,C110,'Regressão Grupo 2'!$B$7)&gt;100%,100%,_xlfn.NORM.INV(R110,C110,'Regressão Grupo 2'!$B$7)))</f>
        <v>0.91806898334764775</v>
      </c>
      <c r="F110" s="39">
        <f>IF(_xlfn.NORM.INV(S110,D110,'Regressão Grupo 2'!$B$7)&lt;=0,0,IF(_xlfn.NORM.INV(S110,D110,'Regressão Grupo 2'!$B$7)&gt;100%,100%,_xlfn.NORM.INV(S110,D110,'Regressão Grupo 2'!$B$7)))</f>
        <v>0.5314782192830747</v>
      </c>
      <c r="G110" s="41">
        <v>1.8591961494147401E-2</v>
      </c>
      <c r="H110" s="41">
        <v>2.4144230235115353E-2</v>
      </c>
      <c r="I110" s="40">
        <f t="shared" si="14"/>
        <v>0</v>
      </c>
      <c r="J110" s="40">
        <f t="shared" si="15"/>
        <v>256.64264982639361</v>
      </c>
      <c r="K110" s="36">
        <v>0.24838111207966151</v>
      </c>
      <c r="L110" s="42">
        <f t="shared" si="22"/>
        <v>0</v>
      </c>
      <c r="M110" s="42">
        <f t="shared" si="22"/>
        <v>20000</v>
      </c>
      <c r="N110" s="42">
        <f t="shared" si="16"/>
        <v>4967.6222415932307</v>
      </c>
      <c r="O110" s="36">
        <v>8.2229726464585369</v>
      </c>
      <c r="P110" s="42">
        <f t="shared" si="17"/>
        <v>5754.1447602893777</v>
      </c>
      <c r="Q110" s="42"/>
      <c r="R110">
        <v>0.206427198095645</v>
      </c>
      <c r="S110">
        <v>5.8595538193914609E-3</v>
      </c>
      <c r="T110" s="42"/>
      <c r="U110" s="42"/>
    </row>
    <row r="111" spans="1:21" x14ac:dyDescent="0.25">
      <c r="A111" s="40">
        <f t="shared" si="18"/>
        <v>0</v>
      </c>
      <c r="B111" s="40">
        <f t="shared" si="19"/>
        <v>50</v>
      </c>
      <c r="C111" s="41">
        <f t="shared" si="12"/>
        <v>1.0313000000000001</v>
      </c>
      <c r="D111" s="41">
        <f t="shared" si="13"/>
        <v>0.88000000000000012</v>
      </c>
      <c r="E111" s="39">
        <f>IF(_xlfn.NORM.INV(R111,C111,'Regressão Grupo 2'!$B$7)&lt;=0,0,IF(_xlfn.NORM.INV(R111,C111,'Regressão Grupo 2'!$B$7)&gt;100%,100%,_xlfn.NORM.INV(R111,C111,'Regressão Grupo 2'!$B$7)))</f>
        <v>1</v>
      </c>
      <c r="F111" s="39">
        <f>IF(_xlfn.NORM.INV(S111,D111,'Regressão Grupo 2'!$B$7)&lt;=0,0,IF(_xlfn.NORM.INV(S111,D111,'Regressão Grupo 2'!$B$7)&gt;100%,100%,_xlfn.NORM.INV(S111,D111,'Regressão Grupo 2'!$B$7)))</f>
        <v>0.83390280805569084</v>
      </c>
      <c r="G111" s="41">
        <v>2.537184129787767E-2</v>
      </c>
      <c r="H111" s="41">
        <v>1.7015006692544819E-2</v>
      </c>
      <c r="I111" s="40">
        <f t="shared" si="14"/>
        <v>0</v>
      </c>
      <c r="J111" s="40">
        <f t="shared" si="15"/>
        <v>283.77723719998994</v>
      </c>
      <c r="K111" s="36">
        <v>0.44650616497728912</v>
      </c>
      <c r="L111" s="42">
        <f t="shared" si="22"/>
        <v>0</v>
      </c>
      <c r="M111" s="42">
        <f t="shared" si="22"/>
        <v>20000</v>
      </c>
      <c r="N111" s="42">
        <f t="shared" si="16"/>
        <v>8930.1232995457831</v>
      </c>
      <c r="O111" s="36">
        <v>5.1843820443828923</v>
      </c>
      <c r="P111" s="42">
        <f t="shared" si="17"/>
        <v>3787.5289473095017</v>
      </c>
      <c r="Q111" s="42"/>
      <c r="R111">
        <v>0.41087069307535018</v>
      </c>
      <c r="S111">
        <v>0.369426557206946</v>
      </c>
      <c r="T111" s="42"/>
      <c r="U111" s="42"/>
    </row>
    <row r="112" spans="1:21" x14ac:dyDescent="0.25">
      <c r="A112" s="40">
        <f t="shared" si="18"/>
        <v>0</v>
      </c>
      <c r="B112" s="40">
        <f t="shared" si="19"/>
        <v>50</v>
      </c>
      <c r="C112" s="41">
        <f t="shared" si="12"/>
        <v>1.0313000000000001</v>
      </c>
      <c r="D112" s="41">
        <f t="shared" si="13"/>
        <v>0.88000000000000012</v>
      </c>
      <c r="E112" s="39">
        <f>IF(_xlfn.NORM.INV(R112,C112,'Regressão Grupo 2'!$B$7)&lt;=0,0,IF(_xlfn.NORM.INV(R112,C112,'Regressão Grupo 2'!$B$7)&gt;100%,100%,_xlfn.NORM.INV(R112,C112,'Regressão Grupo 2'!$B$7)))</f>
        <v>1</v>
      </c>
      <c r="F112" s="39">
        <f>IF(_xlfn.NORM.INV(S112,D112,'Regressão Grupo 2'!$B$7)&lt;=0,0,IF(_xlfn.NORM.INV(S112,D112,'Regressão Grupo 2'!$B$7)&gt;100%,100%,_xlfn.NORM.INV(S112,D112,'Regressão Grupo 2'!$B$7)))</f>
        <v>0.77689651900686962</v>
      </c>
      <c r="G112" s="41">
        <v>2.0828347658848684E-2</v>
      </c>
      <c r="H112" s="41">
        <v>1.6796767833279134E-2</v>
      </c>
      <c r="I112" s="40">
        <f t="shared" si="14"/>
        <v>0</v>
      </c>
      <c r="J112" s="40">
        <f t="shared" si="15"/>
        <v>260.98700920482236</v>
      </c>
      <c r="K112" s="36">
        <v>0.16786382183390358</v>
      </c>
      <c r="L112" s="42">
        <f t="shared" si="22"/>
        <v>0</v>
      </c>
      <c r="M112" s="42">
        <f t="shared" si="22"/>
        <v>20000</v>
      </c>
      <c r="N112" s="42">
        <f t="shared" si="16"/>
        <v>3357.2764366780716</v>
      </c>
      <c r="O112" s="36">
        <v>4.7277720154174609</v>
      </c>
      <c r="P112" s="42">
        <f t="shared" si="17"/>
        <v>8458.1869450569866</v>
      </c>
      <c r="Q112" s="42"/>
      <c r="R112">
        <v>0.72264778588213752</v>
      </c>
      <c r="S112">
        <v>0.22794274727622302</v>
      </c>
      <c r="T112" s="42"/>
      <c r="U112" s="42"/>
    </row>
    <row r="113" spans="1:21" x14ac:dyDescent="0.25">
      <c r="A113" s="40">
        <f t="shared" si="18"/>
        <v>0</v>
      </c>
      <c r="B113" s="40">
        <f t="shared" si="19"/>
        <v>50</v>
      </c>
      <c r="C113" s="41">
        <f t="shared" si="12"/>
        <v>1.0313000000000001</v>
      </c>
      <c r="D113" s="41">
        <f t="shared" si="13"/>
        <v>0.88000000000000012</v>
      </c>
      <c r="E113" s="39">
        <f>IF(_xlfn.NORM.INV(R113,C113,'Regressão Grupo 2'!$B$7)&lt;=0,0,IF(_xlfn.NORM.INV(R113,C113,'Regressão Grupo 2'!$B$7)&gt;100%,100%,_xlfn.NORM.INV(R113,C113,'Regressão Grupo 2'!$B$7)))</f>
        <v>1</v>
      </c>
      <c r="F113" s="39">
        <f>IF(_xlfn.NORM.INV(S113,D113,'Regressão Grupo 2'!$B$7)&lt;=0,0,IF(_xlfn.NORM.INV(S113,D113,'Regressão Grupo 2'!$B$7)&gt;100%,100%,_xlfn.NORM.INV(S113,D113,'Regressão Grupo 2'!$B$7)))</f>
        <v>0.79510872901477625</v>
      </c>
      <c r="G113" s="41">
        <v>2.6350216054125599E-2</v>
      </c>
      <c r="H113" s="41">
        <v>2.381583748864918E-2</v>
      </c>
      <c r="I113" s="40">
        <f t="shared" si="14"/>
        <v>0</v>
      </c>
      <c r="J113" s="40">
        <f t="shared" si="15"/>
        <v>378.7236055204462</v>
      </c>
      <c r="K113" s="36">
        <v>0.39478417099060947</v>
      </c>
      <c r="L113" s="42">
        <f t="shared" si="22"/>
        <v>0</v>
      </c>
      <c r="M113" s="42">
        <f t="shared" si="22"/>
        <v>20000</v>
      </c>
      <c r="N113" s="42">
        <f t="shared" si="16"/>
        <v>7895.6834198121896</v>
      </c>
      <c r="O113" s="36">
        <v>6.76909062786057</v>
      </c>
      <c r="P113" s="42">
        <f t="shared" si="17"/>
        <v>8476.8824475321053</v>
      </c>
      <c r="Q113" s="42"/>
      <c r="R113">
        <v>0.76268807031464581</v>
      </c>
      <c r="S113">
        <v>0.26963103122043519</v>
      </c>
      <c r="T113" s="42"/>
      <c r="U113" s="42"/>
    </row>
    <row r="114" spans="1:21" x14ac:dyDescent="0.25">
      <c r="A114" s="40">
        <f t="shared" si="18"/>
        <v>0</v>
      </c>
      <c r="B114" s="40">
        <f t="shared" si="19"/>
        <v>50</v>
      </c>
      <c r="C114" s="41">
        <f t="shared" si="12"/>
        <v>1.0313000000000001</v>
      </c>
      <c r="D114" s="41">
        <f t="shared" si="13"/>
        <v>0.88000000000000012</v>
      </c>
      <c r="E114" s="39">
        <f>IF(_xlfn.NORM.INV(R114,C114,'Regressão Grupo 2'!$B$7)&lt;=0,0,IF(_xlfn.NORM.INV(R114,C114,'Regressão Grupo 2'!$B$7)&gt;100%,100%,_xlfn.NORM.INV(R114,C114,'Regressão Grupo 2'!$B$7)))</f>
        <v>0.87274902277009747</v>
      </c>
      <c r="F114" s="39">
        <f>IF(_xlfn.NORM.INV(S114,D114,'Regressão Grupo 2'!$B$7)&lt;=0,0,IF(_xlfn.NORM.INV(S114,D114,'Regressão Grupo 2'!$B$7)&gt;100%,100%,_xlfn.NORM.INV(S114,D114,'Regressão Grupo 2'!$B$7)))</f>
        <v>0.99392765070980782</v>
      </c>
      <c r="G114" s="41">
        <v>1.4434059971776108E-2</v>
      </c>
      <c r="H114" s="41">
        <v>2.3269680580560372E-2</v>
      </c>
      <c r="I114" s="40">
        <f t="shared" si="14"/>
        <v>0</v>
      </c>
      <c r="J114" s="40">
        <f t="shared" si="15"/>
        <v>462.56757904408016</v>
      </c>
      <c r="K114" s="36">
        <v>0.24366213559634134</v>
      </c>
      <c r="L114" s="42">
        <f t="shared" si="22"/>
        <v>0</v>
      </c>
      <c r="M114" s="42">
        <f t="shared" si="22"/>
        <v>20000</v>
      </c>
      <c r="N114" s="42">
        <f t="shared" si="16"/>
        <v>4873.2427119268268</v>
      </c>
      <c r="O114" s="36">
        <v>5.9290168629698936</v>
      </c>
      <c r="P114" s="42">
        <f t="shared" si="17"/>
        <v>15512.565263861672</v>
      </c>
      <c r="Q114" s="42"/>
      <c r="R114">
        <v>0.12576677755058444</v>
      </c>
      <c r="S114">
        <v>0.79500717184972691</v>
      </c>
      <c r="T114" s="42"/>
      <c r="U114" s="42"/>
    </row>
    <row r="115" spans="1:21" x14ac:dyDescent="0.25">
      <c r="A115" s="40">
        <f t="shared" si="18"/>
        <v>0</v>
      </c>
      <c r="B115" s="40">
        <f t="shared" si="19"/>
        <v>50</v>
      </c>
      <c r="C115" s="41">
        <f t="shared" si="12"/>
        <v>1.0313000000000001</v>
      </c>
      <c r="D115" s="41">
        <f t="shared" si="13"/>
        <v>0.88000000000000012</v>
      </c>
      <c r="E115" s="39">
        <f>IF(_xlfn.NORM.INV(R115,C115,'Regressão Grupo 2'!$B$7)&lt;=0,0,IF(_xlfn.NORM.INV(R115,C115,'Regressão Grupo 2'!$B$7)&gt;100%,100%,_xlfn.NORM.INV(R115,C115,'Regressão Grupo 2'!$B$7)))</f>
        <v>1</v>
      </c>
      <c r="F115" s="39">
        <f>IF(_xlfn.NORM.INV(S115,D115,'Regressão Grupo 2'!$B$7)&lt;=0,0,IF(_xlfn.NORM.INV(S115,D115,'Regressão Grupo 2'!$B$7)&gt;100%,100%,_xlfn.NORM.INV(S115,D115,'Regressão Grupo 2'!$B$7)))</f>
        <v>0.96148132522854579</v>
      </c>
      <c r="G115" s="41">
        <v>4.7805739280076236E-3</v>
      </c>
      <c r="H115" s="41">
        <v>1.4803941451225159E-2</v>
      </c>
      <c r="I115" s="40">
        <f t="shared" si="14"/>
        <v>0</v>
      </c>
      <c r="J115" s="40">
        <f t="shared" si="15"/>
        <v>284.67426490259533</v>
      </c>
      <c r="K115" s="36">
        <v>0.37365611555062767</v>
      </c>
      <c r="L115" s="42">
        <f t="shared" si="22"/>
        <v>0</v>
      </c>
      <c r="M115" s="42">
        <f t="shared" si="22"/>
        <v>20000</v>
      </c>
      <c r="N115" s="42">
        <f t="shared" si="16"/>
        <v>7473.1223110125529</v>
      </c>
      <c r="O115" s="36">
        <v>4.9849409395633906</v>
      </c>
      <c r="P115" s="42">
        <f t="shared" si="17"/>
        <v>5341.5065365641522</v>
      </c>
      <c r="Q115" s="42"/>
      <c r="R115">
        <v>0.4685201574755089</v>
      </c>
      <c r="S115">
        <v>0.72215948973052158</v>
      </c>
      <c r="T115" s="42"/>
      <c r="U115" s="42"/>
    </row>
    <row r="116" spans="1:21" x14ac:dyDescent="0.25">
      <c r="A116" s="40">
        <f t="shared" si="18"/>
        <v>0</v>
      </c>
      <c r="B116" s="40">
        <f t="shared" si="19"/>
        <v>50</v>
      </c>
      <c r="C116" s="41">
        <f t="shared" si="12"/>
        <v>1.0313000000000001</v>
      </c>
      <c r="D116" s="41">
        <f t="shared" si="13"/>
        <v>0.88000000000000012</v>
      </c>
      <c r="E116" s="39">
        <f>IF(_xlfn.NORM.INV(R116,C116,'Regressão Grupo 2'!$B$7)&lt;=0,0,IF(_xlfn.NORM.INV(R116,C116,'Regressão Grupo 2'!$B$7)&gt;100%,100%,_xlfn.NORM.INV(R116,C116,'Regressão Grupo 2'!$B$7)))</f>
        <v>1</v>
      </c>
      <c r="F116" s="39">
        <f>IF(_xlfn.NORM.INV(S116,D116,'Regressão Grupo 2'!$B$7)&lt;=0,0,IF(_xlfn.NORM.INV(S116,D116,'Regressão Grupo 2'!$B$7)&gt;100%,100%,_xlfn.NORM.INV(S116,D116,'Regressão Grupo 2'!$B$7)))</f>
        <v>0.87502204033576414</v>
      </c>
      <c r="G116" s="41">
        <v>1.9921299645586487E-2</v>
      </c>
      <c r="H116" s="41">
        <v>1.8078309462915963E-2</v>
      </c>
      <c r="I116" s="40">
        <f t="shared" si="14"/>
        <v>0</v>
      </c>
      <c r="J116" s="40">
        <f t="shared" si="15"/>
        <v>316.37838464124155</v>
      </c>
      <c r="K116" s="36">
        <v>0.34796231227598745</v>
      </c>
      <c r="L116" s="42">
        <f t="shared" si="22"/>
        <v>0</v>
      </c>
      <c r="M116" s="42">
        <f t="shared" si="22"/>
        <v>20000</v>
      </c>
      <c r="N116" s="42">
        <f t="shared" si="16"/>
        <v>6959.2462455197492</v>
      </c>
      <c r="O116" s="36">
        <v>4.4703396616533695</v>
      </c>
      <c r="P116" s="42">
        <f t="shared" si="17"/>
        <v>7445.3541455907598</v>
      </c>
      <c r="Q116" s="42"/>
      <c r="R116">
        <v>0.68511001922666093</v>
      </c>
      <c r="S116">
        <v>0.48564104129154334</v>
      </c>
      <c r="T116" s="42"/>
      <c r="U116" s="42"/>
    </row>
    <row r="117" spans="1:21" x14ac:dyDescent="0.25">
      <c r="A117" s="40">
        <f t="shared" si="18"/>
        <v>0</v>
      </c>
      <c r="B117" s="40">
        <f t="shared" si="19"/>
        <v>50</v>
      </c>
      <c r="C117" s="41">
        <f t="shared" si="12"/>
        <v>1.0313000000000001</v>
      </c>
      <c r="D117" s="41">
        <f t="shared" si="13"/>
        <v>0.88000000000000012</v>
      </c>
      <c r="E117" s="39">
        <f>IF(_xlfn.NORM.INV(R117,C117,'Regressão Grupo 2'!$B$7)&lt;=0,0,IF(_xlfn.NORM.INV(R117,C117,'Regressão Grupo 2'!$B$7)&gt;100%,100%,_xlfn.NORM.INV(R117,C117,'Regressão Grupo 2'!$B$7)))</f>
        <v>1</v>
      </c>
      <c r="F117" s="39">
        <f>IF(_xlfn.NORM.INV(S117,D117,'Regressão Grupo 2'!$B$7)&lt;=0,0,IF(_xlfn.NORM.INV(S117,D117,'Regressão Grupo 2'!$B$7)&gt;100%,100%,_xlfn.NORM.INV(S117,D117,'Regressão Grupo 2'!$B$7)))</f>
        <v>0.9915384732871243</v>
      </c>
      <c r="G117" s="41">
        <v>8.6923512148692639E-3</v>
      </c>
      <c r="H117" s="41">
        <v>1.6839245960134926E-2</v>
      </c>
      <c r="I117" s="40">
        <f t="shared" si="14"/>
        <v>0</v>
      </c>
      <c r="J117" s="40">
        <f t="shared" si="15"/>
        <v>333.93520461237119</v>
      </c>
      <c r="K117" s="36">
        <v>0.25896060400358045</v>
      </c>
      <c r="L117" s="42">
        <f t="shared" si="22"/>
        <v>0</v>
      </c>
      <c r="M117" s="42">
        <f t="shared" si="22"/>
        <v>20000</v>
      </c>
      <c r="N117" s="42">
        <f t="shared" si="16"/>
        <v>5179.2120800716093</v>
      </c>
      <c r="O117" s="36">
        <v>5.2458215222398206</v>
      </c>
      <c r="P117" s="42">
        <f t="shared" si="17"/>
        <v>9765.7836671578134</v>
      </c>
      <c r="Q117" s="42"/>
      <c r="R117">
        <v>0.93334757530442214</v>
      </c>
      <c r="S117">
        <v>0.79006317331461529</v>
      </c>
      <c r="T117" s="42"/>
      <c r="U117" s="42"/>
    </row>
    <row r="118" spans="1:21" x14ac:dyDescent="0.25">
      <c r="A118" s="40">
        <f t="shared" si="18"/>
        <v>0</v>
      </c>
      <c r="B118" s="40">
        <f t="shared" si="19"/>
        <v>50</v>
      </c>
      <c r="C118" s="41">
        <f t="shared" si="12"/>
        <v>1.0313000000000001</v>
      </c>
      <c r="D118" s="41">
        <f t="shared" si="13"/>
        <v>0.88000000000000012</v>
      </c>
      <c r="E118" s="39">
        <f>IF(_xlfn.NORM.INV(R118,C118,'Regressão Grupo 2'!$B$7)&lt;=0,0,IF(_xlfn.NORM.INV(R118,C118,'Regressão Grupo 2'!$B$7)&gt;100%,100%,_xlfn.NORM.INV(R118,C118,'Regressão Grupo 2'!$B$7)))</f>
        <v>1</v>
      </c>
      <c r="F118" s="39">
        <f>IF(_xlfn.NORM.INV(S118,D118,'Regressão Grupo 2'!$B$7)&lt;=0,0,IF(_xlfn.NORM.INV(S118,D118,'Regressão Grupo 2'!$B$7)&gt;100%,100%,_xlfn.NORM.INV(S118,D118,'Regressão Grupo 2'!$B$7)))</f>
        <v>0.83377978451175017</v>
      </c>
      <c r="G118" s="41">
        <v>2.0074537730472741E-2</v>
      </c>
      <c r="H118" s="41">
        <v>1.903947534062685E-2</v>
      </c>
      <c r="I118" s="40">
        <f t="shared" si="14"/>
        <v>0</v>
      </c>
      <c r="J118" s="40">
        <f t="shared" si="15"/>
        <v>317.49459293449274</v>
      </c>
      <c r="K118" s="36">
        <v>0.1839663747970437</v>
      </c>
      <c r="L118" s="42">
        <f t="shared" si="22"/>
        <v>0</v>
      </c>
      <c r="M118" s="42">
        <f t="shared" si="22"/>
        <v>20000</v>
      </c>
      <c r="N118" s="42">
        <f t="shared" si="16"/>
        <v>3679.3274959408741</v>
      </c>
      <c r="O118" s="36">
        <v>9.514609433296874</v>
      </c>
      <c r="P118" s="42">
        <f t="shared" si="17"/>
        <v>9174.565101828488</v>
      </c>
      <c r="Q118" s="42"/>
      <c r="R118">
        <v>0.87774285103915528</v>
      </c>
      <c r="S118">
        <v>0.36909085360271005</v>
      </c>
      <c r="T118" s="42"/>
      <c r="U118" s="42"/>
    </row>
    <row r="119" spans="1:21" x14ac:dyDescent="0.25">
      <c r="A119" s="40">
        <f t="shared" si="18"/>
        <v>0</v>
      </c>
      <c r="B119" s="40">
        <f t="shared" si="19"/>
        <v>50</v>
      </c>
      <c r="C119" s="41">
        <f t="shared" si="12"/>
        <v>1.0313000000000001</v>
      </c>
      <c r="D119" s="41">
        <f t="shared" si="13"/>
        <v>0.88000000000000012</v>
      </c>
      <c r="E119" s="39">
        <f>IF(_xlfn.NORM.INV(R119,C119,'Regressão Grupo 2'!$B$7)&lt;=0,0,IF(_xlfn.NORM.INV(R119,C119,'Regressão Grupo 2'!$B$7)&gt;100%,100%,_xlfn.NORM.INV(R119,C119,'Regressão Grupo 2'!$B$7)))</f>
        <v>1</v>
      </c>
      <c r="F119" s="39">
        <f>IF(_xlfn.NORM.INV(S119,D119,'Regressão Grupo 2'!$B$7)&lt;=0,0,IF(_xlfn.NORM.INV(S119,D119,'Regressão Grupo 2'!$B$7)&gt;100%,100%,_xlfn.NORM.INV(S119,D119,'Regressão Grupo 2'!$B$7)))</f>
        <v>0.91703207910221618</v>
      </c>
      <c r="G119" s="41">
        <v>2.0144935026513648E-2</v>
      </c>
      <c r="H119" s="41">
        <v>1.3364448253318619E-2</v>
      </c>
      <c r="I119" s="40">
        <f t="shared" si="14"/>
        <v>0</v>
      </c>
      <c r="J119" s="40">
        <f t="shared" si="15"/>
        <v>245.1125553558951</v>
      </c>
      <c r="K119" s="36">
        <v>0.20320186640212395</v>
      </c>
      <c r="L119" s="42">
        <f t="shared" ref="L119:M134" si="23">L118</f>
        <v>0</v>
      </c>
      <c r="M119" s="42">
        <f t="shared" si="23"/>
        <v>20000</v>
      </c>
      <c r="N119" s="42">
        <f t="shared" si="16"/>
        <v>4064.0373280424792</v>
      </c>
      <c r="O119" s="36">
        <v>9.6233878050474591</v>
      </c>
      <c r="P119" s="42">
        <f t="shared" si="17"/>
        <v>5832.7772636763348</v>
      </c>
      <c r="Q119" s="42"/>
      <c r="R119">
        <v>0.94781334879604484</v>
      </c>
      <c r="S119">
        <v>0.60557878353221228</v>
      </c>
      <c r="T119" s="42"/>
      <c r="U119" s="42"/>
    </row>
    <row r="120" spans="1:21" x14ac:dyDescent="0.25">
      <c r="A120" s="40">
        <f t="shared" si="18"/>
        <v>0</v>
      </c>
      <c r="B120" s="40">
        <f t="shared" si="19"/>
        <v>50</v>
      </c>
      <c r="C120" s="41">
        <f t="shared" si="12"/>
        <v>1.0313000000000001</v>
      </c>
      <c r="D120" s="41">
        <f t="shared" si="13"/>
        <v>0.88000000000000012</v>
      </c>
      <c r="E120" s="39">
        <f>IF(_xlfn.NORM.INV(R120,C120,'Regressão Grupo 2'!$B$7)&lt;=0,0,IF(_xlfn.NORM.INV(R120,C120,'Regressão Grupo 2'!$B$7)&gt;100%,100%,_xlfn.NORM.INV(R120,C120,'Regressão Grupo 2'!$B$7)))</f>
        <v>0.95634834742503549</v>
      </c>
      <c r="F120" s="39">
        <f>IF(_xlfn.NORM.INV(S120,D120,'Regressão Grupo 2'!$B$7)&lt;=0,0,IF(_xlfn.NORM.INV(S120,D120,'Regressão Grupo 2'!$B$7)&gt;100%,100%,_xlfn.NORM.INV(S120,D120,'Regressão Grupo 2'!$B$7)))</f>
        <v>0.77045630774650464</v>
      </c>
      <c r="G120" s="41">
        <v>1.2204106094836921E-2</v>
      </c>
      <c r="H120" s="41">
        <v>9.8227886273860362E-3</v>
      </c>
      <c r="I120" s="40">
        <f t="shared" si="14"/>
        <v>0</v>
      </c>
      <c r="J120" s="40">
        <f t="shared" si="15"/>
        <v>151.36058915260404</v>
      </c>
      <c r="K120" s="36">
        <v>0.32718428988963499</v>
      </c>
      <c r="L120" s="42">
        <f t="shared" si="23"/>
        <v>0</v>
      </c>
      <c r="M120" s="42">
        <f t="shared" si="23"/>
        <v>20000</v>
      </c>
      <c r="N120" s="42">
        <f t="shared" si="16"/>
        <v>6543.6857977927002</v>
      </c>
      <c r="O120" s="36">
        <v>5.5277121298242289</v>
      </c>
      <c r="P120" s="42">
        <f t="shared" si="17"/>
        <v>187.66589520131129</v>
      </c>
      <c r="Q120" s="42"/>
      <c r="R120">
        <v>0.29389324625385294</v>
      </c>
      <c r="S120">
        <v>0.21411786248359629</v>
      </c>
      <c r="T120" s="42"/>
      <c r="U120" s="42"/>
    </row>
    <row r="121" spans="1:21" x14ac:dyDescent="0.25">
      <c r="A121" s="40">
        <f t="shared" si="18"/>
        <v>0</v>
      </c>
      <c r="B121" s="40">
        <f t="shared" si="19"/>
        <v>50</v>
      </c>
      <c r="C121" s="41">
        <f t="shared" si="12"/>
        <v>1.0313000000000001</v>
      </c>
      <c r="D121" s="41">
        <f t="shared" si="13"/>
        <v>0.88000000000000012</v>
      </c>
      <c r="E121" s="39">
        <f>IF(_xlfn.NORM.INV(R121,C121,'Regressão Grupo 2'!$B$7)&lt;=0,0,IF(_xlfn.NORM.INV(R121,C121,'Regressão Grupo 2'!$B$7)&gt;100%,100%,_xlfn.NORM.INV(R121,C121,'Regressão Grupo 2'!$B$7)))</f>
        <v>0.84338035244787979</v>
      </c>
      <c r="F121" s="39">
        <f>IF(_xlfn.NORM.INV(S121,D121,'Regressão Grupo 2'!$B$7)&lt;=0,0,IF(_xlfn.NORM.INV(S121,D121,'Regressão Grupo 2'!$B$7)&gt;100%,100%,_xlfn.NORM.INV(S121,D121,'Regressão Grupo 2'!$B$7)))</f>
        <v>0.8071713808527583</v>
      </c>
      <c r="G121" s="41">
        <v>5.8252792160501882E-3</v>
      </c>
      <c r="H121" s="41">
        <v>1.7192644216407711E-2</v>
      </c>
      <c r="I121" s="40">
        <f t="shared" si="14"/>
        <v>0</v>
      </c>
      <c r="J121" s="40">
        <f t="shared" si="15"/>
        <v>277.54820745336002</v>
      </c>
      <c r="K121" s="36">
        <v>0.31653163565193931</v>
      </c>
      <c r="L121" s="42">
        <f t="shared" si="23"/>
        <v>0</v>
      </c>
      <c r="M121" s="42">
        <f t="shared" si="23"/>
        <v>20000</v>
      </c>
      <c r="N121" s="42">
        <f t="shared" si="16"/>
        <v>6330.6327130387863</v>
      </c>
      <c r="O121" s="36">
        <v>5.1601278860723561</v>
      </c>
      <c r="P121" s="42">
        <f t="shared" si="17"/>
        <v>6114.5934146197351</v>
      </c>
      <c r="Q121" s="42"/>
      <c r="R121">
        <v>8.7069307535019985E-2</v>
      </c>
      <c r="S121">
        <v>0.29920346690267646</v>
      </c>
      <c r="T121" s="42"/>
      <c r="U121" s="42"/>
    </row>
    <row r="122" spans="1:21" x14ac:dyDescent="0.25">
      <c r="A122" s="40">
        <f t="shared" si="18"/>
        <v>0</v>
      </c>
      <c r="B122" s="40">
        <f t="shared" si="19"/>
        <v>50</v>
      </c>
      <c r="C122" s="41">
        <f t="shared" si="12"/>
        <v>1.0313000000000001</v>
      </c>
      <c r="D122" s="41">
        <f t="shared" si="13"/>
        <v>0.88000000000000012</v>
      </c>
      <c r="E122" s="39">
        <f>IF(_xlfn.NORM.INV(R122,C122,'Regressão Grupo 2'!$B$7)&lt;=0,0,IF(_xlfn.NORM.INV(R122,C122,'Regressão Grupo 2'!$B$7)&gt;100%,100%,_xlfn.NORM.INV(R122,C122,'Regressão Grupo 2'!$B$7)))</f>
        <v>1</v>
      </c>
      <c r="F122" s="39">
        <f>IF(_xlfn.NORM.INV(S122,D122,'Regressão Grupo 2'!$B$7)&lt;=0,0,IF(_xlfn.NORM.INV(S122,D122,'Regressão Grupo 2'!$B$7)&gt;100%,100%,_xlfn.NORM.INV(S122,D122,'Regressão Grupo 2'!$B$7)))</f>
        <v>0.70501358056040775</v>
      </c>
      <c r="G122" s="41">
        <v>1.2118395983053507E-2</v>
      </c>
      <c r="H122" s="41">
        <v>2.9249228834110083E-3</v>
      </c>
      <c r="I122" s="40">
        <f t="shared" si="14"/>
        <v>0</v>
      </c>
      <c r="J122" s="40">
        <f t="shared" si="15"/>
        <v>41.242207097933338</v>
      </c>
      <c r="K122" s="36">
        <v>0.30780232774316107</v>
      </c>
      <c r="L122" s="42">
        <f t="shared" si="23"/>
        <v>0</v>
      </c>
      <c r="M122" s="42">
        <f t="shared" si="23"/>
        <v>20000</v>
      </c>
      <c r="N122" s="42">
        <f t="shared" si="16"/>
        <v>6156.0465548632219</v>
      </c>
      <c r="O122" s="36">
        <v>7.4872532228703594</v>
      </c>
      <c r="P122" s="42">
        <f t="shared" si="17"/>
        <v>-4402.7270479788431</v>
      </c>
      <c r="Q122" s="42"/>
      <c r="R122">
        <v>0.47413556321909239</v>
      </c>
      <c r="S122">
        <v>0.10284737693411054</v>
      </c>
      <c r="T122" s="42"/>
      <c r="U122" s="42"/>
    </row>
    <row r="123" spans="1:21" x14ac:dyDescent="0.25">
      <c r="A123" s="40">
        <f t="shared" si="18"/>
        <v>0</v>
      </c>
      <c r="B123" s="40">
        <f t="shared" si="19"/>
        <v>50</v>
      </c>
      <c r="C123" s="41">
        <f t="shared" si="12"/>
        <v>1.0313000000000001</v>
      </c>
      <c r="D123" s="41">
        <f t="shared" si="13"/>
        <v>0.88000000000000012</v>
      </c>
      <c r="E123" s="39">
        <f>IF(_xlfn.NORM.INV(R123,C123,'Regressão Grupo 2'!$B$7)&lt;=0,0,IF(_xlfn.NORM.INV(R123,C123,'Regressão Grupo 2'!$B$7)&gt;100%,100%,_xlfn.NORM.INV(R123,C123,'Regressão Grupo 2'!$B$7)))</f>
        <v>1</v>
      </c>
      <c r="F123" s="39">
        <f>IF(_xlfn.NORM.INV(S123,D123,'Regressão Grupo 2'!$B$7)&lt;=0,0,IF(_xlfn.NORM.INV(S123,D123,'Regressão Grupo 2'!$B$7)&gt;100%,100%,_xlfn.NORM.INV(S123,D123,'Regressão Grupo 2'!$B$7)))</f>
        <v>0.98442114097136146</v>
      </c>
      <c r="G123" s="41">
        <v>1.5789010056791269E-2</v>
      </c>
      <c r="H123" s="41">
        <v>1.2913660448188657E-2</v>
      </c>
      <c r="I123" s="40">
        <f t="shared" si="14"/>
        <v>0</v>
      </c>
      <c r="J123" s="40">
        <f t="shared" si="15"/>
        <v>254.2496070504524</v>
      </c>
      <c r="K123" s="36">
        <v>0.30350096740184263</v>
      </c>
      <c r="L123" s="42">
        <f t="shared" si="23"/>
        <v>0</v>
      </c>
      <c r="M123" s="42">
        <f t="shared" si="23"/>
        <v>20000</v>
      </c>
      <c r="N123" s="42">
        <f t="shared" si="16"/>
        <v>6070.0193480368525</v>
      </c>
      <c r="O123" s="36">
        <v>5.034539694883847</v>
      </c>
      <c r="P123" s="42">
        <f t="shared" si="17"/>
        <v>5362.4312653816451</v>
      </c>
      <c r="Q123" s="42"/>
      <c r="R123">
        <v>0.49406414990691855</v>
      </c>
      <c r="S123">
        <v>0.77492599261452066</v>
      </c>
      <c r="T123" s="42"/>
      <c r="U123" s="42"/>
    </row>
    <row r="124" spans="1:21" x14ac:dyDescent="0.25">
      <c r="A124" s="40">
        <f t="shared" si="18"/>
        <v>0</v>
      </c>
      <c r="B124" s="40">
        <f t="shared" si="19"/>
        <v>50</v>
      </c>
      <c r="C124" s="41">
        <f t="shared" si="12"/>
        <v>1.0313000000000001</v>
      </c>
      <c r="D124" s="41">
        <f t="shared" si="13"/>
        <v>0.88000000000000012</v>
      </c>
      <c r="E124" s="39">
        <f>IF(_xlfn.NORM.INV(R124,C124,'Regressão Grupo 2'!$B$7)&lt;=0,0,IF(_xlfn.NORM.INV(R124,C124,'Regressão Grupo 2'!$B$7)&gt;100%,100%,_xlfn.NORM.INV(R124,C124,'Regressão Grupo 2'!$B$7)))</f>
        <v>0.91935097533202104</v>
      </c>
      <c r="F124" s="39">
        <f>IF(_xlfn.NORM.INV(S124,D124,'Regressão Grupo 2'!$B$7)&lt;=0,0,IF(_xlfn.NORM.INV(S124,D124,'Regressão Grupo 2'!$B$7)&gt;100%,100%,_xlfn.NORM.INV(S124,D124,'Regressão Grupo 2'!$B$7)))</f>
        <v>0.93550264474729239</v>
      </c>
      <c r="G124" s="41">
        <v>1.6480837618688755E-2</v>
      </c>
      <c r="H124" s="41">
        <v>1.8598253361924038E-2</v>
      </c>
      <c r="I124" s="40">
        <f t="shared" si="14"/>
        <v>0</v>
      </c>
      <c r="J124" s="40">
        <f t="shared" si="15"/>
        <v>347.97430415520319</v>
      </c>
      <c r="K124" s="36">
        <v>0.30906783290887113</v>
      </c>
      <c r="L124" s="42">
        <f t="shared" si="23"/>
        <v>0</v>
      </c>
      <c r="M124" s="42">
        <f t="shared" si="23"/>
        <v>20000</v>
      </c>
      <c r="N124" s="42">
        <f t="shared" si="16"/>
        <v>6181.356658177423</v>
      </c>
      <c r="O124" s="36">
        <v>5.1377798655600992</v>
      </c>
      <c r="P124" s="42">
        <f t="shared" si="17"/>
        <v>9429.5431759618477</v>
      </c>
      <c r="Q124" s="42"/>
      <c r="R124">
        <v>0.20908230842005676</v>
      </c>
      <c r="S124">
        <v>0.65593432416760766</v>
      </c>
      <c r="T124" s="42"/>
      <c r="U124" s="42"/>
    </row>
    <row r="125" spans="1:21" x14ac:dyDescent="0.25">
      <c r="A125" s="40">
        <f t="shared" si="18"/>
        <v>0</v>
      </c>
      <c r="B125" s="40">
        <f t="shared" si="19"/>
        <v>50</v>
      </c>
      <c r="C125" s="41">
        <f t="shared" si="12"/>
        <v>1.0313000000000001</v>
      </c>
      <c r="D125" s="41">
        <f t="shared" si="13"/>
        <v>0.88000000000000012</v>
      </c>
      <c r="E125" s="39">
        <f>IF(_xlfn.NORM.INV(R125,C125,'Regressão Grupo 2'!$B$7)&lt;=0,0,IF(_xlfn.NORM.INV(R125,C125,'Regressão Grupo 2'!$B$7)&gt;100%,100%,_xlfn.NORM.INV(R125,C125,'Regressão Grupo 2'!$B$7)))</f>
        <v>1</v>
      </c>
      <c r="F125" s="39">
        <f>IF(_xlfn.NORM.INV(S125,D125,'Regressão Grupo 2'!$B$7)&lt;=0,0,IF(_xlfn.NORM.INV(S125,D125,'Regressão Grupo 2'!$B$7)&gt;100%,100%,_xlfn.NORM.INV(S125,D125,'Regressão Grupo 2'!$B$7)))</f>
        <v>1</v>
      </c>
      <c r="G125" s="41">
        <v>2.2971499662808668E-2</v>
      </c>
      <c r="H125" s="41">
        <v>1.1275989394327396E-2</v>
      </c>
      <c r="I125" s="40">
        <f t="shared" si="14"/>
        <v>0</v>
      </c>
      <c r="J125" s="40">
        <f t="shared" si="15"/>
        <v>225.5197878865479</v>
      </c>
      <c r="K125" s="36">
        <v>0.21991215271944714</v>
      </c>
      <c r="L125" s="42">
        <f t="shared" si="23"/>
        <v>0</v>
      </c>
      <c r="M125" s="42">
        <f t="shared" si="23"/>
        <v>20000</v>
      </c>
      <c r="N125" s="42">
        <f t="shared" si="16"/>
        <v>4398.2430543889432</v>
      </c>
      <c r="O125" s="36">
        <v>3.435375156642098</v>
      </c>
      <c r="P125" s="42">
        <f t="shared" si="17"/>
        <v>6103.0012633018096</v>
      </c>
      <c r="Q125" s="42"/>
      <c r="R125">
        <v>0.82866908780175175</v>
      </c>
      <c r="S125">
        <v>0.98699911496322523</v>
      </c>
      <c r="T125" s="42"/>
      <c r="U125" s="42"/>
    </row>
    <row r="126" spans="1:21" x14ac:dyDescent="0.25">
      <c r="A126" s="40">
        <f t="shared" si="18"/>
        <v>0</v>
      </c>
      <c r="B126" s="40">
        <f t="shared" si="19"/>
        <v>50</v>
      </c>
      <c r="C126" s="41">
        <f t="shared" si="12"/>
        <v>1.0313000000000001</v>
      </c>
      <c r="D126" s="41">
        <f t="shared" si="13"/>
        <v>0.88000000000000012</v>
      </c>
      <c r="E126" s="39">
        <f>IF(_xlfn.NORM.INV(R126,C126,'Regressão Grupo 2'!$B$7)&lt;=0,0,IF(_xlfn.NORM.INV(R126,C126,'Regressão Grupo 2'!$B$7)&gt;100%,100%,_xlfn.NORM.INV(R126,C126,'Regressão Grupo 2'!$B$7)))</f>
        <v>0.97185321447956496</v>
      </c>
      <c r="F126" s="39">
        <f>IF(_xlfn.NORM.INV(S126,D126,'Regressão Grupo 2'!$B$7)&lt;=0,0,IF(_xlfn.NORM.INV(S126,D126,'Regressão Grupo 2'!$B$7)&gt;100%,100%,_xlfn.NORM.INV(S126,D126,'Regressão Grupo 2'!$B$7)))</f>
        <v>0.98466045347894282</v>
      </c>
      <c r="G126" s="41">
        <v>2.6318229050248877E-2</v>
      </c>
      <c r="H126" s="41">
        <v>1.9955566639225712E-2</v>
      </c>
      <c r="I126" s="40">
        <f t="shared" si="14"/>
        <v>0</v>
      </c>
      <c r="J126" s="40">
        <f t="shared" si="15"/>
        <v>392.98914592818505</v>
      </c>
      <c r="K126" s="36">
        <v>0.37575549506627837</v>
      </c>
      <c r="L126" s="42">
        <f t="shared" si="23"/>
        <v>0</v>
      </c>
      <c r="M126" s="42">
        <f t="shared" si="23"/>
        <v>20000</v>
      </c>
      <c r="N126" s="42">
        <f t="shared" si="16"/>
        <v>7515.1099013255671</v>
      </c>
      <c r="O126" s="36">
        <v>7.8183568459199453</v>
      </c>
      <c r="P126" s="42">
        <f t="shared" si="17"/>
        <v>9061.8180156438284</v>
      </c>
      <c r="Q126" s="42"/>
      <c r="R126">
        <v>0.33362834559160132</v>
      </c>
      <c r="S126">
        <v>0.77544480727561271</v>
      </c>
      <c r="T126" s="42"/>
      <c r="U126" s="42"/>
    </row>
    <row r="127" spans="1:21" x14ac:dyDescent="0.25">
      <c r="A127" s="40">
        <f t="shared" si="18"/>
        <v>0</v>
      </c>
      <c r="B127" s="40">
        <f t="shared" si="19"/>
        <v>50</v>
      </c>
      <c r="C127" s="41">
        <f t="shared" si="12"/>
        <v>1.0313000000000001</v>
      </c>
      <c r="D127" s="41">
        <f t="shared" si="13"/>
        <v>0.88000000000000012</v>
      </c>
      <c r="E127" s="39">
        <f>IF(_xlfn.NORM.INV(R127,C127,'Regressão Grupo 2'!$B$7)&lt;=0,0,IF(_xlfn.NORM.INV(R127,C127,'Regressão Grupo 2'!$B$7)&gt;100%,100%,_xlfn.NORM.INV(R127,C127,'Regressão Grupo 2'!$B$7)))</f>
        <v>1</v>
      </c>
      <c r="F127" s="39">
        <f>IF(_xlfn.NORM.INV(S127,D127,'Regressão Grupo 2'!$B$7)&lt;=0,0,IF(_xlfn.NORM.INV(S127,D127,'Regressão Grupo 2'!$B$7)&gt;100%,100%,_xlfn.NORM.INV(S127,D127,'Regressão Grupo 2'!$B$7)))</f>
        <v>1</v>
      </c>
      <c r="G127" s="41">
        <v>1.211747667568914E-2</v>
      </c>
      <c r="H127" s="41">
        <v>1.8403936645518985E-2</v>
      </c>
      <c r="I127" s="40">
        <f t="shared" si="14"/>
        <v>0</v>
      </c>
      <c r="J127" s="40">
        <f t="shared" si="15"/>
        <v>368.0787329103797</v>
      </c>
      <c r="K127" s="36">
        <v>0.41193566428609452</v>
      </c>
      <c r="L127" s="42">
        <f t="shared" si="23"/>
        <v>0</v>
      </c>
      <c r="M127" s="42">
        <f t="shared" si="23"/>
        <v>20000</v>
      </c>
      <c r="N127" s="42">
        <f t="shared" si="16"/>
        <v>8238.7132857218912</v>
      </c>
      <c r="O127" s="36">
        <v>6.1089956290553751</v>
      </c>
      <c r="P127" s="42">
        <f t="shared" si="17"/>
        <v>7916.6319892993433</v>
      </c>
      <c r="Q127" s="42"/>
      <c r="R127">
        <v>0.66444898831141086</v>
      </c>
      <c r="S127">
        <v>0.87524033326212347</v>
      </c>
      <c r="T127" s="42"/>
      <c r="U127" s="42"/>
    </row>
    <row r="128" spans="1:21" x14ac:dyDescent="0.25">
      <c r="A128" s="40">
        <f t="shared" si="18"/>
        <v>0</v>
      </c>
      <c r="B128" s="40">
        <f t="shared" si="19"/>
        <v>50</v>
      </c>
      <c r="C128" s="41">
        <f t="shared" si="12"/>
        <v>1.0313000000000001</v>
      </c>
      <c r="D128" s="41">
        <f t="shared" si="13"/>
        <v>0.88000000000000012</v>
      </c>
      <c r="E128" s="39">
        <f>IF(_xlfn.NORM.INV(R128,C128,'Regressão Grupo 2'!$B$7)&lt;=0,0,IF(_xlfn.NORM.INV(R128,C128,'Regressão Grupo 2'!$B$7)&gt;100%,100%,_xlfn.NORM.INV(R128,C128,'Regressão Grupo 2'!$B$7)))</f>
        <v>1</v>
      </c>
      <c r="F128" s="39">
        <f>IF(_xlfn.NORM.INV(S128,D128,'Regressão Grupo 2'!$B$7)&lt;=0,0,IF(_xlfn.NORM.INV(S128,D128,'Regressão Grupo 2'!$B$7)&gt;100%,100%,_xlfn.NORM.INV(S128,D128,'Regressão Grupo 2'!$B$7)))</f>
        <v>0.81198856786485452</v>
      </c>
      <c r="G128" s="41">
        <v>2.6845307271658479E-2</v>
      </c>
      <c r="H128" s="41">
        <v>1.6839812998786726E-2</v>
      </c>
      <c r="I128" s="40">
        <f t="shared" si="14"/>
        <v>0</v>
      </c>
      <c r="J128" s="40">
        <f t="shared" si="15"/>
        <v>273.4747127999359</v>
      </c>
      <c r="K128" s="36">
        <v>0.24121477008435777</v>
      </c>
      <c r="L128" s="42">
        <f t="shared" si="23"/>
        <v>0</v>
      </c>
      <c r="M128" s="42">
        <f t="shared" si="23"/>
        <v>20000</v>
      </c>
      <c r="N128" s="42">
        <f t="shared" si="16"/>
        <v>4824.2954016871554</v>
      </c>
      <c r="O128" s="36">
        <v>4.7420674811287915</v>
      </c>
      <c r="P128" s="42">
        <f t="shared" si="17"/>
        <v>7552.6046958300285</v>
      </c>
      <c r="Q128" s="42"/>
      <c r="R128">
        <v>0.54640339365825374</v>
      </c>
      <c r="S128">
        <v>0.31141087069307533</v>
      </c>
      <c r="T128" s="42"/>
      <c r="U128" s="42"/>
    </row>
    <row r="129" spans="1:21" x14ac:dyDescent="0.25">
      <c r="A129" s="40">
        <f t="shared" si="18"/>
        <v>0</v>
      </c>
      <c r="B129" s="40">
        <f t="shared" si="19"/>
        <v>50</v>
      </c>
      <c r="C129" s="41">
        <f t="shared" si="12"/>
        <v>1.0313000000000001</v>
      </c>
      <c r="D129" s="41">
        <f t="shared" si="13"/>
        <v>0.88000000000000012</v>
      </c>
      <c r="E129" s="39">
        <f>IF(_xlfn.NORM.INV(R129,C129,'Regressão Grupo 2'!$B$7)&lt;=0,0,IF(_xlfn.NORM.INV(R129,C129,'Regressão Grupo 2'!$B$7)&gt;100%,100%,_xlfn.NORM.INV(R129,C129,'Regressão Grupo 2'!$B$7)))</f>
        <v>0.86450826042553131</v>
      </c>
      <c r="F129" s="39">
        <f>IF(_xlfn.NORM.INV(S129,D129,'Regressão Grupo 2'!$B$7)&lt;=0,0,IF(_xlfn.NORM.INV(S129,D129,'Regressão Grupo 2'!$B$7)&gt;100%,100%,_xlfn.NORM.INV(S129,D129,'Regressão Grupo 2'!$B$7)))</f>
        <v>0.92029903112385081</v>
      </c>
      <c r="G129" s="41">
        <v>1.4465646629292603E-2</v>
      </c>
      <c r="H129" s="41">
        <v>1.6007348876316017E-2</v>
      </c>
      <c r="I129" s="40">
        <f t="shared" si="14"/>
        <v>0</v>
      </c>
      <c r="J129" s="40">
        <f t="shared" si="15"/>
        <v>294.63095323470185</v>
      </c>
      <c r="K129" s="36">
        <v>0.40192601552103846</v>
      </c>
      <c r="L129" s="42">
        <f t="shared" si="23"/>
        <v>0</v>
      </c>
      <c r="M129" s="42">
        <f t="shared" si="23"/>
        <v>20000</v>
      </c>
      <c r="N129" s="42">
        <f t="shared" si="16"/>
        <v>8038.5203104207694</v>
      </c>
      <c r="O129" s="36">
        <v>5.1263540184689464</v>
      </c>
      <c r="P129" s="42">
        <f t="shared" si="17"/>
        <v>5182.6447802342727</v>
      </c>
      <c r="Q129" s="42"/>
      <c r="R129">
        <v>0.11386455885494552</v>
      </c>
      <c r="S129">
        <v>0.61464278084658341</v>
      </c>
      <c r="T129" s="42"/>
      <c r="U129" s="42"/>
    </row>
    <row r="130" spans="1:21" x14ac:dyDescent="0.25">
      <c r="A130" s="40">
        <f t="shared" si="18"/>
        <v>0</v>
      </c>
      <c r="B130" s="40">
        <f t="shared" si="19"/>
        <v>50</v>
      </c>
      <c r="C130" s="41">
        <f t="shared" si="12"/>
        <v>1.0313000000000001</v>
      </c>
      <c r="D130" s="41">
        <f t="shared" si="13"/>
        <v>0.88000000000000012</v>
      </c>
      <c r="E130" s="39">
        <f>IF(_xlfn.NORM.INV(R130,C130,'Regressão Grupo 2'!$B$7)&lt;=0,0,IF(_xlfn.NORM.INV(R130,C130,'Regressão Grupo 2'!$B$7)&gt;100%,100%,_xlfn.NORM.INV(R130,C130,'Regressão Grupo 2'!$B$7)))</f>
        <v>0.95304324212936142</v>
      </c>
      <c r="F130" s="39">
        <f>IF(_xlfn.NORM.INV(S130,D130,'Regressão Grupo 2'!$B$7)&lt;=0,0,IF(_xlfn.NORM.INV(S130,D130,'Regressão Grupo 2'!$B$7)&gt;100%,100%,_xlfn.NORM.INV(S130,D130,'Regressão Grupo 2'!$B$7)))</f>
        <v>0.90039911659505356</v>
      </c>
      <c r="G130" s="41">
        <v>1.765504107092113E-2</v>
      </c>
      <c r="H130" s="41">
        <v>3.9086265963650217E-3</v>
      </c>
      <c r="I130" s="40">
        <f t="shared" si="14"/>
        <v>0</v>
      </c>
      <c r="J130" s="40">
        <f t="shared" si="15"/>
        <v>70.386478689339924</v>
      </c>
      <c r="K130" s="36">
        <v>0.26706161751105534</v>
      </c>
      <c r="L130" s="42">
        <f t="shared" si="23"/>
        <v>0</v>
      </c>
      <c r="M130" s="42">
        <f t="shared" si="23"/>
        <v>20000</v>
      </c>
      <c r="N130" s="42">
        <f t="shared" si="16"/>
        <v>5341.2323502211066</v>
      </c>
      <c r="O130" s="36">
        <v>5.732250992912693</v>
      </c>
      <c r="P130" s="42">
        <f t="shared" si="17"/>
        <v>-2225.3813781087069</v>
      </c>
      <c r="Q130" s="42"/>
      <c r="R130">
        <v>0.2857142857142857</v>
      </c>
      <c r="S130">
        <v>0.5586413159581286</v>
      </c>
      <c r="T130" s="42"/>
      <c r="U130" s="42"/>
    </row>
    <row r="131" spans="1:21" x14ac:dyDescent="0.25">
      <c r="A131" s="40">
        <f t="shared" si="18"/>
        <v>0</v>
      </c>
      <c r="B131" s="40">
        <f t="shared" si="19"/>
        <v>50</v>
      </c>
      <c r="C131" s="41">
        <f t="shared" si="12"/>
        <v>1.0313000000000001</v>
      </c>
      <c r="D131" s="41">
        <f t="shared" si="13"/>
        <v>0.88000000000000012</v>
      </c>
      <c r="E131" s="39">
        <f>IF(_xlfn.NORM.INV(R131,C131,'Regressão Grupo 2'!$B$7)&lt;=0,0,IF(_xlfn.NORM.INV(R131,C131,'Regressão Grupo 2'!$B$7)&gt;100%,100%,_xlfn.NORM.INV(R131,C131,'Regressão Grupo 2'!$B$7)))</f>
        <v>1</v>
      </c>
      <c r="F131" s="39">
        <f>IF(_xlfn.NORM.INV(S131,D131,'Regressão Grupo 2'!$B$7)&lt;=0,0,IF(_xlfn.NORM.INV(S131,D131,'Regressão Grupo 2'!$B$7)&gt;100%,100%,_xlfn.NORM.INV(S131,D131,'Regressão Grupo 2'!$B$7)))</f>
        <v>0.82136433538645715</v>
      </c>
      <c r="G131" s="41">
        <v>1.2021422397630396E-2</v>
      </c>
      <c r="H131" s="41">
        <v>1.8935205339457136E-2</v>
      </c>
      <c r="I131" s="40">
        <f t="shared" si="14"/>
        <v>0</v>
      </c>
      <c r="J131" s="40">
        <f t="shared" si="15"/>
        <v>311.05404698098607</v>
      </c>
      <c r="K131" s="36">
        <v>0.38846187654844977</v>
      </c>
      <c r="L131" s="42">
        <f t="shared" si="23"/>
        <v>0</v>
      </c>
      <c r="M131" s="42">
        <f t="shared" si="23"/>
        <v>20000</v>
      </c>
      <c r="N131" s="42">
        <f t="shared" si="16"/>
        <v>7769.2375309689951</v>
      </c>
      <c r="O131" s="36">
        <v>4.7352930108326916</v>
      </c>
      <c r="P131" s="42">
        <f t="shared" si="17"/>
        <v>6310.5327634200212</v>
      </c>
      <c r="Q131" s="42"/>
      <c r="R131">
        <v>0.96304208502456745</v>
      </c>
      <c r="S131">
        <v>0.33576464125492111</v>
      </c>
      <c r="T131" s="42"/>
      <c r="U131" s="42"/>
    </row>
    <row r="132" spans="1:21" x14ac:dyDescent="0.25">
      <c r="A132" s="40">
        <f t="shared" si="18"/>
        <v>0</v>
      </c>
      <c r="B132" s="40">
        <f t="shared" si="19"/>
        <v>50</v>
      </c>
      <c r="C132" s="41">
        <f t="shared" si="12"/>
        <v>1.0313000000000001</v>
      </c>
      <c r="D132" s="41">
        <f t="shared" si="13"/>
        <v>0.88000000000000012</v>
      </c>
      <c r="E132" s="39">
        <f>IF(_xlfn.NORM.INV(R132,C132,'Regressão Grupo 2'!$B$7)&lt;=0,0,IF(_xlfn.NORM.INV(R132,C132,'Regressão Grupo 2'!$B$7)&gt;100%,100%,_xlfn.NORM.INV(R132,C132,'Regressão Grupo 2'!$B$7)))</f>
        <v>0.91178331030422266</v>
      </c>
      <c r="F132" s="39">
        <f>IF(_xlfn.NORM.INV(S132,D132,'Regressão Grupo 2'!$B$7)&lt;=0,0,IF(_xlfn.NORM.INV(S132,D132,'Regressão Grupo 2'!$B$7)&gt;100%,100%,_xlfn.NORM.INV(S132,D132,'Regressão Grupo 2'!$B$7)))</f>
        <v>1</v>
      </c>
      <c r="G132" s="41">
        <v>1.6847882204510722E-2</v>
      </c>
      <c r="H132" s="41">
        <v>2.5330522852766383E-2</v>
      </c>
      <c r="I132" s="40">
        <f t="shared" si="14"/>
        <v>0</v>
      </c>
      <c r="J132" s="40">
        <f t="shared" si="15"/>
        <v>506.61045705532769</v>
      </c>
      <c r="K132" s="36">
        <v>0.29235387284316922</v>
      </c>
      <c r="L132" s="42">
        <f t="shared" si="23"/>
        <v>0</v>
      </c>
      <c r="M132" s="42">
        <f t="shared" si="23"/>
        <v>20000</v>
      </c>
      <c r="N132" s="42">
        <f t="shared" si="16"/>
        <v>5847.0774568633842</v>
      </c>
      <c r="O132" s="36">
        <v>3.7990659376372968</v>
      </c>
      <c r="P132" s="42">
        <f t="shared" si="17"/>
        <v>17558.798864853241</v>
      </c>
      <c r="Q132" s="42"/>
      <c r="R132">
        <v>0.19370097964415417</v>
      </c>
      <c r="S132">
        <v>0.98965422528763691</v>
      </c>
      <c r="T132" s="42"/>
      <c r="U132" s="42"/>
    </row>
    <row r="133" spans="1:21" x14ac:dyDescent="0.25">
      <c r="A133" s="40">
        <f t="shared" si="18"/>
        <v>0</v>
      </c>
      <c r="B133" s="40">
        <f t="shared" si="19"/>
        <v>50</v>
      </c>
      <c r="C133" s="41">
        <f t="shared" si="12"/>
        <v>1.0313000000000001</v>
      </c>
      <c r="D133" s="41">
        <f t="shared" si="13"/>
        <v>0.88000000000000012</v>
      </c>
      <c r="E133" s="39">
        <f>IF(_xlfn.NORM.INV(R133,C133,'Regressão Grupo 2'!$B$7)&lt;=0,0,IF(_xlfn.NORM.INV(R133,C133,'Regressão Grupo 2'!$B$7)&gt;100%,100%,_xlfn.NORM.INV(R133,C133,'Regressão Grupo 2'!$B$7)))</f>
        <v>0.85211034385192352</v>
      </c>
      <c r="F133" s="39">
        <f>IF(_xlfn.NORM.INV(S133,D133,'Regressão Grupo 2'!$B$7)&lt;=0,0,IF(_xlfn.NORM.INV(S133,D133,'Regressão Grupo 2'!$B$7)&gt;100%,100%,_xlfn.NORM.INV(S133,D133,'Regressão Grupo 2'!$B$7)))</f>
        <v>1</v>
      </c>
      <c r="G133" s="41">
        <v>1.1614893180694258E-2</v>
      </c>
      <c r="H133" s="41">
        <v>1.9672335279199041E-2</v>
      </c>
      <c r="I133" s="40">
        <f t="shared" si="14"/>
        <v>0</v>
      </c>
      <c r="J133" s="40">
        <f t="shared" si="15"/>
        <v>393.44670558398082</v>
      </c>
      <c r="K133" s="36">
        <v>0.21001825007852923</v>
      </c>
      <c r="L133" s="42">
        <f t="shared" si="23"/>
        <v>0</v>
      </c>
      <c r="M133" s="42">
        <f t="shared" si="23"/>
        <v>20000</v>
      </c>
      <c r="N133" s="42">
        <f t="shared" si="16"/>
        <v>4200.3650015705844</v>
      </c>
      <c r="O133" s="36">
        <v>8.5524104668352443</v>
      </c>
      <c r="P133" s="42">
        <f t="shared" si="17"/>
        <v>12107.052554650174</v>
      </c>
      <c r="Q133" s="42"/>
      <c r="R133">
        <v>9.7506637775811034E-2</v>
      </c>
      <c r="S133">
        <v>0.9719229712820826</v>
      </c>
      <c r="T133" s="42"/>
      <c r="U133" s="42"/>
    </row>
    <row r="134" spans="1:21" x14ac:dyDescent="0.25">
      <c r="A134" s="40">
        <f t="shared" si="18"/>
        <v>0</v>
      </c>
      <c r="B134" s="40">
        <f t="shared" si="19"/>
        <v>50</v>
      </c>
      <c r="C134" s="41">
        <f t="shared" ref="C134:C197" si="24">-0.0071*A134 + 1.0313</f>
        <v>1.0313000000000001</v>
      </c>
      <c r="D134" s="41">
        <f t="shared" ref="D134:D197" si="25">-0.0059*B134+1.175</f>
        <v>0.88000000000000012</v>
      </c>
      <c r="E134" s="39">
        <f>IF(_xlfn.NORM.INV(R134,C134,'Regressão Grupo 2'!$B$7)&lt;=0,0,IF(_xlfn.NORM.INV(R134,C134,'Regressão Grupo 2'!$B$7)&gt;100%,100%,_xlfn.NORM.INV(R134,C134,'Regressão Grupo 2'!$B$7)))</f>
        <v>0.91464696581525951</v>
      </c>
      <c r="F134" s="39">
        <f>IF(_xlfn.NORM.INV(S134,D134,'Regressão Grupo 2'!$B$7)&lt;=0,0,IF(_xlfn.NORM.INV(S134,D134,'Regressão Grupo 2'!$B$7)&gt;100%,100%,_xlfn.NORM.INV(S134,D134,'Regressão Grupo 2'!$B$7)))</f>
        <v>0.72443307904329313</v>
      </c>
      <c r="G134" s="41">
        <v>2.0191628589666222E-2</v>
      </c>
      <c r="H134" s="41">
        <v>2.0835886104171759E-2</v>
      </c>
      <c r="I134" s="40">
        <f t="shared" ref="I134:I197" si="26">IF(E134*G134*L134&gt;0,E134*G134*L134,0)</f>
        <v>0</v>
      </c>
      <c r="J134" s="40">
        <f t="shared" ref="J134:J197" si="27">IF(F134*H134*M134&gt;0,F134*H134*M134,0)</f>
        <v>301.88410250081029</v>
      </c>
      <c r="K134" s="36">
        <v>0.28119650741983815</v>
      </c>
      <c r="L134" s="42">
        <f t="shared" si="23"/>
        <v>0</v>
      </c>
      <c r="M134" s="42">
        <f t="shared" si="23"/>
        <v>20000</v>
      </c>
      <c r="N134" s="42">
        <f t="shared" ref="N134:N197" si="28">(L134+M134)*K134</f>
        <v>5623.9301483967629</v>
      </c>
      <c r="O134" s="36">
        <v>3.7804094138140183</v>
      </c>
      <c r="P134" s="42">
        <f t="shared" ref="P134:P197" si="29">SUMPRODUCT(A134:B134,I134:J134)-SUM(I134:J134)*O134-N134</f>
        <v>8329.029473668892</v>
      </c>
      <c r="Q134" s="42"/>
      <c r="R134">
        <v>0.19943845942564165</v>
      </c>
      <c r="S134">
        <v>0.130283516953032</v>
      </c>
      <c r="T134" s="42"/>
      <c r="U134" s="42"/>
    </row>
    <row r="135" spans="1:21" x14ac:dyDescent="0.25">
      <c r="A135" s="40">
        <f t="shared" ref="A135:A198" si="30">A134</f>
        <v>0</v>
      </c>
      <c r="B135" s="40">
        <f t="shared" ref="B135:B198" si="31">B134</f>
        <v>50</v>
      </c>
      <c r="C135" s="41">
        <f t="shared" si="24"/>
        <v>1.0313000000000001</v>
      </c>
      <c r="D135" s="41">
        <f t="shared" si="25"/>
        <v>0.88000000000000012</v>
      </c>
      <c r="E135" s="39">
        <f>IF(_xlfn.NORM.INV(R135,C135,'Regressão Grupo 2'!$B$7)&lt;=0,0,IF(_xlfn.NORM.INV(R135,C135,'Regressão Grupo 2'!$B$7)&gt;100%,100%,_xlfn.NORM.INV(R135,C135,'Regressão Grupo 2'!$B$7)))</f>
        <v>1</v>
      </c>
      <c r="F135" s="39">
        <f>IF(_xlfn.NORM.INV(S135,D135,'Regressão Grupo 2'!$B$7)&lt;=0,0,IF(_xlfn.NORM.INV(S135,D135,'Regressão Grupo 2'!$B$7)&gt;100%,100%,_xlfn.NORM.INV(S135,D135,'Regressão Grupo 2'!$B$7)))</f>
        <v>0.84126564051715014</v>
      </c>
      <c r="G135" s="41">
        <v>7.2575259444679387E-3</v>
      </c>
      <c r="H135" s="41">
        <v>2.1658162839893465E-2</v>
      </c>
      <c r="I135" s="40">
        <f t="shared" si="26"/>
        <v>0</v>
      </c>
      <c r="J135" s="40">
        <f t="shared" si="27"/>
        <v>364.40536467855429</v>
      </c>
      <c r="K135" s="36">
        <v>0.17405483415421905</v>
      </c>
      <c r="L135" s="42">
        <f t="shared" ref="L135:M150" si="32">L134</f>
        <v>0</v>
      </c>
      <c r="M135" s="42">
        <f t="shared" si="32"/>
        <v>20000</v>
      </c>
      <c r="N135" s="42">
        <f t="shared" si="28"/>
        <v>3481.0966830843809</v>
      </c>
      <c r="O135" s="36">
        <v>6.6924196606787083</v>
      </c>
      <c r="P135" s="42">
        <f t="shared" si="29"/>
        <v>12300.417923811785</v>
      </c>
      <c r="Q135" s="42"/>
      <c r="R135">
        <v>0.5008392590105899</v>
      </c>
      <c r="S135">
        <v>0.38969084749900817</v>
      </c>
      <c r="T135" s="42"/>
      <c r="U135" s="42"/>
    </row>
    <row r="136" spans="1:21" x14ac:dyDescent="0.25">
      <c r="A136" s="40">
        <f t="shared" si="30"/>
        <v>0</v>
      </c>
      <c r="B136" s="40">
        <f t="shared" si="31"/>
        <v>50</v>
      </c>
      <c r="C136" s="41">
        <f t="shared" si="24"/>
        <v>1.0313000000000001</v>
      </c>
      <c r="D136" s="41">
        <f t="shared" si="25"/>
        <v>0.88000000000000012</v>
      </c>
      <c r="E136" s="39">
        <f>IF(_xlfn.NORM.INV(R136,C136,'Regressão Grupo 2'!$B$7)&lt;=0,0,IF(_xlfn.NORM.INV(R136,C136,'Regressão Grupo 2'!$B$7)&gt;100%,100%,_xlfn.NORM.INV(R136,C136,'Regressão Grupo 2'!$B$7)))</f>
        <v>1</v>
      </c>
      <c r="F136" s="39">
        <f>IF(_xlfn.NORM.INV(S136,D136,'Regressão Grupo 2'!$B$7)&lt;=0,0,IF(_xlfn.NORM.INV(S136,D136,'Regressão Grupo 2'!$B$7)&gt;100%,100%,_xlfn.NORM.INV(S136,D136,'Regressão Grupo 2'!$B$7)))</f>
        <v>1</v>
      </c>
      <c r="G136" s="41">
        <v>1.7088664858892457E-2</v>
      </c>
      <c r="H136" s="41">
        <v>1.2917683725410776E-2</v>
      </c>
      <c r="I136" s="40">
        <f t="shared" si="26"/>
        <v>0</v>
      </c>
      <c r="J136" s="40">
        <f t="shared" si="27"/>
        <v>258.35367450821553</v>
      </c>
      <c r="K136" s="36">
        <v>0.38281361898320698</v>
      </c>
      <c r="L136" s="42">
        <f t="shared" si="32"/>
        <v>0</v>
      </c>
      <c r="M136" s="42">
        <f t="shared" si="32"/>
        <v>20000</v>
      </c>
      <c r="N136" s="42">
        <f t="shared" si="28"/>
        <v>7656.2723796641394</v>
      </c>
      <c r="O136" s="36">
        <v>3.3265971876805596</v>
      </c>
      <c r="P136" s="42">
        <f t="shared" si="29"/>
        <v>4401.9727387006687</v>
      </c>
      <c r="Q136" s="42"/>
      <c r="R136">
        <v>0.75237281411175883</v>
      </c>
      <c r="S136">
        <v>0.98425244911038545</v>
      </c>
      <c r="T136" s="42"/>
      <c r="U136" s="42"/>
    </row>
    <row r="137" spans="1:21" x14ac:dyDescent="0.25">
      <c r="A137" s="40">
        <f t="shared" si="30"/>
        <v>0</v>
      </c>
      <c r="B137" s="40">
        <f t="shared" si="31"/>
        <v>50</v>
      </c>
      <c r="C137" s="41">
        <f t="shared" si="24"/>
        <v>1.0313000000000001</v>
      </c>
      <c r="D137" s="41">
        <f t="shared" si="25"/>
        <v>0.88000000000000012</v>
      </c>
      <c r="E137" s="39">
        <f>IF(_xlfn.NORM.INV(R137,C137,'Regressão Grupo 2'!$B$7)&lt;=0,0,IF(_xlfn.NORM.INV(R137,C137,'Regressão Grupo 2'!$B$7)&gt;100%,100%,_xlfn.NORM.INV(R137,C137,'Regressão Grupo 2'!$B$7)))</f>
        <v>1</v>
      </c>
      <c r="F137" s="39">
        <f>IF(_xlfn.NORM.INV(S137,D137,'Regressão Grupo 2'!$B$7)&lt;=0,0,IF(_xlfn.NORM.INV(S137,D137,'Regressão Grupo 2'!$B$7)&gt;100%,100%,_xlfn.NORM.INV(S137,D137,'Regressão Grupo 2'!$B$7)))</f>
        <v>0.86576352915107024</v>
      </c>
      <c r="G137" s="41">
        <v>2.2791048631353499E-2</v>
      </c>
      <c r="H137" s="41">
        <v>1.399812842529353E-2</v>
      </c>
      <c r="I137" s="40">
        <f t="shared" si="26"/>
        <v>0</v>
      </c>
      <c r="J137" s="40">
        <f t="shared" si="27"/>
        <v>242.3813813398408</v>
      </c>
      <c r="K137" s="36">
        <v>0.17942215367429099</v>
      </c>
      <c r="L137" s="42">
        <f t="shared" si="32"/>
        <v>0</v>
      </c>
      <c r="M137" s="42">
        <f t="shared" si="32"/>
        <v>20000</v>
      </c>
      <c r="N137" s="42">
        <f t="shared" si="28"/>
        <v>3588.4430734858197</v>
      </c>
      <c r="O137" s="36">
        <v>5.8015698143173777</v>
      </c>
      <c r="P137" s="42">
        <f t="shared" si="29"/>
        <v>7124.4334879724502</v>
      </c>
      <c r="Q137" s="42"/>
      <c r="R137">
        <v>0.60582293160802025</v>
      </c>
      <c r="S137">
        <v>0.45899838251899777</v>
      </c>
      <c r="T137" s="42"/>
      <c r="U137" s="42"/>
    </row>
    <row r="138" spans="1:21" x14ac:dyDescent="0.25">
      <c r="A138" s="40">
        <f t="shared" si="30"/>
        <v>0</v>
      </c>
      <c r="B138" s="40">
        <f t="shared" si="31"/>
        <v>50</v>
      </c>
      <c r="C138" s="41">
        <f t="shared" si="24"/>
        <v>1.0313000000000001</v>
      </c>
      <c r="D138" s="41">
        <f t="shared" si="25"/>
        <v>0.88000000000000012</v>
      </c>
      <c r="E138" s="39">
        <f>IF(_xlfn.NORM.INV(R138,C138,'Regressão Grupo 2'!$B$7)&lt;=0,0,IF(_xlfn.NORM.INV(R138,C138,'Regressão Grupo 2'!$B$7)&gt;100%,100%,_xlfn.NORM.INV(R138,C138,'Regressão Grupo 2'!$B$7)))</f>
        <v>0.93253204293284231</v>
      </c>
      <c r="F138" s="39">
        <f>IF(_xlfn.NORM.INV(S138,D138,'Regressão Grupo 2'!$B$7)&lt;=0,0,IF(_xlfn.NORM.INV(S138,D138,'Regressão Grupo 2'!$B$7)&gt;100%,100%,_xlfn.NORM.INV(S138,D138,'Regressão Grupo 2'!$B$7)))</f>
        <v>1</v>
      </c>
      <c r="G138" s="41">
        <v>1.6490845698386481E-2</v>
      </c>
      <c r="H138" s="41">
        <v>7.4132334946123268E-3</v>
      </c>
      <c r="I138" s="40">
        <f t="shared" si="26"/>
        <v>0</v>
      </c>
      <c r="J138" s="40">
        <f t="shared" si="27"/>
        <v>148.26466989224653</v>
      </c>
      <c r="K138" s="36">
        <v>0.39723972893512699</v>
      </c>
      <c r="L138" s="42">
        <f t="shared" si="32"/>
        <v>0</v>
      </c>
      <c r="M138" s="42">
        <f t="shared" si="32"/>
        <v>20000</v>
      </c>
      <c r="N138" s="42">
        <f t="shared" si="28"/>
        <v>7944.7945787025401</v>
      </c>
      <c r="O138" s="36">
        <v>8.0652053791789537</v>
      </c>
      <c r="P138" s="42">
        <f t="shared" si="29"/>
        <v>-1727.3460972473522</v>
      </c>
      <c r="Q138" s="42"/>
      <c r="R138">
        <v>0.23752555925168614</v>
      </c>
      <c r="S138">
        <v>0.91250343333231609</v>
      </c>
      <c r="T138" s="42"/>
      <c r="U138" s="42"/>
    </row>
    <row r="139" spans="1:21" x14ac:dyDescent="0.25">
      <c r="A139" s="40">
        <f t="shared" si="30"/>
        <v>0</v>
      </c>
      <c r="B139" s="40">
        <f t="shared" si="31"/>
        <v>50</v>
      </c>
      <c r="C139" s="41">
        <f t="shared" si="24"/>
        <v>1.0313000000000001</v>
      </c>
      <c r="D139" s="41">
        <f t="shared" si="25"/>
        <v>0.88000000000000012</v>
      </c>
      <c r="E139" s="39">
        <f>IF(_xlfn.NORM.INV(R139,C139,'Regressão Grupo 2'!$B$7)&lt;=0,0,IF(_xlfn.NORM.INV(R139,C139,'Regressão Grupo 2'!$B$7)&gt;100%,100%,_xlfn.NORM.INV(R139,C139,'Regressão Grupo 2'!$B$7)))</f>
        <v>0.95119881037638421</v>
      </c>
      <c r="F139" s="39">
        <f>IF(_xlfn.NORM.INV(S139,D139,'Regressão Grupo 2'!$B$7)&lt;=0,0,IF(_xlfn.NORM.INV(S139,D139,'Regressão Grupo 2'!$B$7)&gt;100%,100%,_xlfn.NORM.INV(S139,D139,'Regressão Grupo 2'!$B$7)))</f>
        <v>0.77254303737723928</v>
      </c>
      <c r="G139" s="41">
        <v>2.4857315221053212E-2</v>
      </c>
      <c r="H139" s="41">
        <v>1.7373290808060354E-2</v>
      </c>
      <c r="I139" s="40">
        <f t="shared" si="26"/>
        <v>0</v>
      </c>
      <c r="J139" s="40">
        <f t="shared" si="27"/>
        <v>268.43229700194036</v>
      </c>
      <c r="K139" s="36">
        <v>0.34317582912095657</v>
      </c>
      <c r="L139" s="42">
        <f t="shared" si="32"/>
        <v>0</v>
      </c>
      <c r="M139" s="42">
        <f t="shared" si="32"/>
        <v>20000</v>
      </c>
      <c r="N139" s="42">
        <f t="shared" si="28"/>
        <v>6863.5165824191317</v>
      </c>
      <c r="O139" s="36">
        <v>4.0984032435685158</v>
      </c>
      <c r="P139" s="42">
        <f t="shared" si="29"/>
        <v>5457.9544709665861</v>
      </c>
      <c r="Q139" s="42"/>
      <c r="R139">
        <v>0.28119754631183813</v>
      </c>
      <c r="S139">
        <v>0.2185430463576159</v>
      </c>
      <c r="T139" s="42"/>
      <c r="U139" s="42"/>
    </row>
    <row r="140" spans="1:21" x14ac:dyDescent="0.25">
      <c r="A140" s="40">
        <f t="shared" si="30"/>
        <v>0</v>
      </c>
      <c r="B140" s="40">
        <f t="shared" si="31"/>
        <v>50</v>
      </c>
      <c r="C140" s="41">
        <f t="shared" si="24"/>
        <v>1.0313000000000001</v>
      </c>
      <c r="D140" s="41">
        <f t="shared" si="25"/>
        <v>0.88000000000000012</v>
      </c>
      <c r="E140" s="39">
        <f>IF(_xlfn.NORM.INV(R140,C140,'Regressão Grupo 2'!$B$7)&lt;=0,0,IF(_xlfn.NORM.INV(R140,C140,'Regressão Grupo 2'!$B$7)&gt;100%,100%,_xlfn.NORM.INV(R140,C140,'Regressão Grupo 2'!$B$7)))</f>
        <v>0.85692440082063326</v>
      </c>
      <c r="F140" s="39">
        <f>IF(_xlfn.NORM.INV(S140,D140,'Regressão Grupo 2'!$B$7)&lt;=0,0,IF(_xlfn.NORM.INV(S140,D140,'Regressão Grupo 2'!$B$7)&gt;100%,100%,_xlfn.NORM.INV(S140,D140,'Regressão Grupo 2'!$B$7)))</f>
        <v>0.83561022418274034</v>
      </c>
      <c r="G140" s="41">
        <v>1.8386821603092265E-2</v>
      </c>
      <c r="H140" s="41">
        <v>1.2423205034558855E-2</v>
      </c>
      <c r="I140" s="40">
        <f t="shared" si="26"/>
        <v>0</v>
      </c>
      <c r="J140" s="40">
        <f t="shared" si="27"/>
        <v>207.61914287991749</v>
      </c>
      <c r="K140" s="36">
        <v>0.29364627399637266</v>
      </c>
      <c r="L140" s="42">
        <f t="shared" si="32"/>
        <v>0</v>
      </c>
      <c r="M140" s="42">
        <f t="shared" si="32"/>
        <v>20000</v>
      </c>
      <c r="N140" s="42">
        <f t="shared" si="28"/>
        <v>5872.9254799274531</v>
      </c>
      <c r="O140" s="36">
        <v>6.7928274704367109</v>
      </c>
      <c r="P140" s="42">
        <f t="shared" si="29"/>
        <v>3097.7106469251939</v>
      </c>
      <c r="Q140" s="42"/>
      <c r="R140">
        <v>0.10364085818048646</v>
      </c>
      <c r="S140">
        <v>0.37409588915677361</v>
      </c>
      <c r="T140" s="42"/>
      <c r="U140" s="42"/>
    </row>
    <row r="141" spans="1:21" x14ac:dyDescent="0.25">
      <c r="A141" s="40">
        <f t="shared" si="30"/>
        <v>0</v>
      </c>
      <c r="B141" s="40">
        <f t="shared" si="31"/>
        <v>50</v>
      </c>
      <c r="C141" s="41">
        <f t="shared" si="24"/>
        <v>1.0313000000000001</v>
      </c>
      <c r="D141" s="41">
        <f t="shared" si="25"/>
        <v>0.88000000000000012</v>
      </c>
      <c r="E141" s="39">
        <f>IF(_xlfn.NORM.INV(R141,C141,'Regressão Grupo 2'!$B$7)&lt;=0,0,IF(_xlfn.NORM.INV(R141,C141,'Regressão Grupo 2'!$B$7)&gt;100%,100%,_xlfn.NORM.INV(R141,C141,'Regressão Grupo 2'!$B$7)))</f>
        <v>0.93101071038843164</v>
      </c>
      <c r="F141" s="39">
        <f>IF(_xlfn.NORM.INV(S141,D141,'Regressão Grupo 2'!$B$7)&lt;=0,0,IF(_xlfn.NORM.INV(S141,D141,'Regressão Grupo 2'!$B$7)&gt;100%,100%,_xlfn.NORM.INV(S141,D141,'Regressão Grupo 2'!$B$7)))</f>
        <v>0.99324580870659729</v>
      </c>
      <c r="G141" s="41">
        <v>9.2002333549261253E-3</v>
      </c>
      <c r="H141" s="41">
        <v>3.8522605650288589E-3</v>
      </c>
      <c r="I141" s="40">
        <f t="shared" si="26"/>
        <v>0</v>
      </c>
      <c r="J141" s="40">
        <f t="shared" si="27"/>
        <v>76.524833205212445</v>
      </c>
      <c r="K141" s="36">
        <v>0.32820497466107706</v>
      </c>
      <c r="L141" s="42">
        <f t="shared" si="32"/>
        <v>0</v>
      </c>
      <c r="M141" s="42">
        <f t="shared" si="32"/>
        <v>20000</v>
      </c>
      <c r="N141" s="42">
        <f t="shared" si="28"/>
        <v>6564.0994932215417</v>
      </c>
      <c r="O141" s="36">
        <v>8.2859105561165798</v>
      </c>
      <c r="P141" s="42">
        <f t="shared" si="29"/>
        <v>-3371.9357562210498</v>
      </c>
      <c r="Q141" s="42"/>
      <c r="R141">
        <v>0.23413800469985047</v>
      </c>
      <c r="S141">
        <v>0.79360332041383097</v>
      </c>
      <c r="T141" s="42"/>
      <c r="U141" s="42"/>
    </row>
    <row r="142" spans="1:21" x14ac:dyDescent="0.25">
      <c r="A142" s="40">
        <f t="shared" si="30"/>
        <v>0</v>
      </c>
      <c r="B142" s="40">
        <f t="shared" si="31"/>
        <v>50</v>
      </c>
      <c r="C142" s="41">
        <f t="shared" si="24"/>
        <v>1.0313000000000001</v>
      </c>
      <c r="D142" s="41">
        <f t="shared" si="25"/>
        <v>0.88000000000000012</v>
      </c>
      <c r="E142" s="39">
        <f>IF(_xlfn.NORM.INV(R142,C142,'Regressão Grupo 2'!$B$7)&lt;=0,0,IF(_xlfn.NORM.INV(R142,C142,'Regressão Grupo 2'!$B$7)&gt;100%,100%,_xlfn.NORM.INV(R142,C142,'Regressão Grupo 2'!$B$7)))</f>
        <v>1</v>
      </c>
      <c r="F142" s="39">
        <f>IF(_xlfn.NORM.INV(S142,D142,'Regressão Grupo 2'!$B$7)&lt;=0,0,IF(_xlfn.NORM.INV(S142,D142,'Regressão Grupo 2'!$B$7)&gt;100%,100%,_xlfn.NORM.INV(S142,D142,'Regressão Grupo 2'!$B$7)))</f>
        <v>0.85730955020607869</v>
      </c>
      <c r="G142" s="41">
        <v>1.7560590008901294E-2</v>
      </c>
      <c r="H142" s="41">
        <v>1.9212457510628809E-2</v>
      </c>
      <c r="I142" s="40">
        <f t="shared" si="26"/>
        <v>0</v>
      </c>
      <c r="J142" s="40">
        <f t="shared" si="27"/>
        <v>329.42046613581169</v>
      </c>
      <c r="K142" s="36">
        <v>0.22951431660699431</v>
      </c>
      <c r="L142" s="42">
        <f t="shared" si="32"/>
        <v>0</v>
      </c>
      <c r="M142" s="42">
        <f t="shared" si="32"/>
        <v>20000</v>
      </c>
      <c r="N142" s="42">
        <f t="shared" si="28"/>
        <v>4590.2863321398863</v>
      </c>
      <c r="O142" s="36">
        <v>6.9465429596448844</v>
      </c>
      <c r="P142" s="42">
        <f t="shared" si="29"/>
        <v>9592.4035548520405</v>
      </c>
      <c r="Q142" s="42"/>
      <c r="R142">
        <v>0.73519089327677234</v>
      </c>
      <c r="S142">
        <v>0.43482772301400802</v>
      </c>
      <c r="T142" s="42"/>
      <c r="U142" s="42"/>
    </row>
    <row r="143" spans="1:21" x14ac:dyDescent="0.25">
      <c r="A143" s="40">
        <f t="shared" si="30"/>
        <v>0</v>
      </c>
      <c r="B143" s="40">
        <f t="shared" si="31"/>
        <v>50</v>
      </c>
      <c r="C143" s="41">
        <f t="shared" si="24"/>
        <v>1.0313000000000001</v>
      </c>
      <c r="D143" s="41">
        <f t="shared" si="25"/>
        <v>0.88000000000000012</v>
      </c>
      <c r="E143" s="39">
        <f>IF(_xlfn.NORM.INV(R143,C143,'Regressão Grupo 2'!$B$7)&lt;=0,0,IF(_xlfn.NORM.INV(R143,C143,'Regressão Grupo 2'!$B$7)&gt;100%,100%,_xlfn.NORM.INV(R143,C143,'Regressão Grupo 2'!$B$7)))</f>
        <v>0.8615583759093246</v>
      </c>
      <c r="F143" s="39">
        <f>IF(_xlfn.NORM.INV(S143,D143,'Regressão Grupo 2'!$B$7)&lt;=0,0,IF(_xlfn.NORM.INV(S143,D143,'Regressão Grupo 2'!$B$7)&gt;100%,100%,_xlfn.NORM.INV(S143,D143,'Regressão Grupo 2'!$B$7)))</f>
        <v>0.77401058022466707</v>
      </c>
      <c r="G143" s="41">
        <v>9.5627916328988108E-3</v>
      </c>
      <c r="H143" s="41">
        <v>1.5228348933999566E-2</v>
      </c>
      <c r="I143" s="40">
        <f t="shared" si="26"/>
        <v>0</v>
      </c>
      <c r="J143" s="40">
        <f t="shared" si="27"/>
        <v>235.73806388537389</v>
      </c>
      <c r="K143" s="36">
        <v>0.39037634640066587</v>
      </c>
      <c r="L143" s="42">
        <f t="shared" si="32"/>
        <v>0</v>
      </c>
      <c r="M143" s="42">
        <f t="shared" si="32"/>
        <v>20000</v>
      </c>
      <c r="N143" s="42">
        <f t="shared" si="28"/>
        <v>7807.526928013317</v>
      </c>
      <c r="O143" s="36">
        <v>5.3357020775622965</v>
      </c>
      <c r="P143" s="42">
        <f t="shared" si="29"/>
        <v>2721.5481890216752</v>
      </c>
      <c r="Q143" s="42"/>
      <c r="R143">
        <v>0.1098055970946379</v>
      </c>
      <c r="S143">
        <v>0.2216864528336436</v>
      </c>
      <c r="T143" s="42"/>
      <c r="U143" s="42"/>
    </row>
    <row r="144" spans="1:21" x14ac:dyDescent="0.25">
      <c r="A144" s="40">
        <f t="shared" si="30"/>
        <v>0</v>
      </c>
      <c r="B144" s="40">
        <f t="shared" si="31"/>
        <v>50</v>
      </c>
      <c r="C144" s="41">
        <f t="shared" si="24"/>
        <v>1.0313000000000001</v>
      </c>
      <c r="D144" s="41">
        <f t="shared" si="25"/>
        <v>0.88000000000000012</v>
      </c>
      <c r="E144" s="39">
        <f>IF(_xlfn.NORM.INV(R144,C144,'Regressão Grupo 2'!$B$7)&lt;=0,0,IF(_xlfn.NORM.INV(R144,C144,'Regressão Grupo 2'!$B$7)&gt;100%,100%,_xlfn.NORM.INV(R144,C144,'Regressão Grupo 2'!$B$7)))</f>
        <v>1</v>
      </c>
      <c r="F144" s="39">
        <f>IF(_xlfn.NORM.INV(S144,D144,'Regressão Grupo 2'!$B$7)&lt;=0,0,IF(_xlfn.NORM.INV(S144,D144,'Regressão Grupo 2'!$B$7)&gt;100%,100%,_xlfn.NORM.INV(S144,D144,'Regressão Grupo 2'!$B$7)))</f>
        <v>0.86232396798338395</v>
      </c>
      <c r="G144" s="41">
        <v>2.2351043048609232E-2</v>
      </c>
      <c r="H144" s="41">
        <v>1.5824762919308823E-2</v>
      </c>
      <c r="I144" s="40">
        <f t="shared" si="26"/>
        <v>0</v>
      </c>
      <c r="J144" s="40">
        <f t="shared" si="27"/>
        <v>272.92144705949403</v>
      </c>
      <c r="K144" s="36">
        <v>0.38086263692349592</v>
      </c>
      <c r="L144" s="42">
        <f t="shared" si="32"/>
        <v>0</v>
      </c>
      <c r="M144" s="42">
        <f t="shared" si="32"/>
        <v>20000</v>
      </c>
      <c r="N144" s="42">
        <f t="shared" si="28"/>
        <v>7617.2527384699188</v>
      </c>
      <c r="O144" s="36">
        <v>7.8520506108400756</v>
      </c>
      <c r="P144" s="42">
        <f t="shared" si="29"/>
        <v>3885.8265994099256</v>
      </c>
      <c r="Q144" s="42"/>
      <c r="R144">
        <v>0.60008545182653283</v>
      </c>
      <c r="S144">
        <v>0.44914090395825068</v>
      </c>
      <c r="T144" s="42"/>
      <c r="U144" s="42"/>
    </row>
    <row r="145" spans="1:21" x14ac:dyDescent="0.25">
      <c r="A145" s="40">
        <f t="shared" si="30"/>
        <v>0</v>
      </c>
      <c r="B145" s="40">
        <f t="shared" si="31"/>
        <v>50</v>
      </c>
      <c r="C145" s="41">
        <f t="shared" si="24"/>
        <v>1.0313000000000001</v>
      </c>
      <c r="D145" s="41">
        <f t="shared" si="25"/>
        <v>0.88000000000000012</v>
      </c>
      <c r="E145" s="39">
        <f>IF(_xlfn.NORM.INV(R145,C145,'Regressão Grupo 2'!$B$7)&lt;=0,0,IF(_xlfn.NORM.INV(R145,C145,'Regressão Grupo 2'!$B$7)&gt;100%,100%,_xlfn.NORM.INV(R145,C145,'Regressão Grupo 2'!$B$7)))</f>
        <v>0.82696099411445623</v>
      </c>
      <c r="F145" s="39">
        <f>IF(_xlfn.NORM.INV(S145,D145,'Regressão Grupo 2'!$B$7)&lt;=0,0,IF(_xlfn.NORM.INV(S145,D145,'Regressão Grupo 2'!$B$7)&gt;100%,100%,_xlfn.NORM.INV(S145,D145,'Regressão Grupo 2'!$B$7)))</f>
        <v>1</v>
      </c>
      <c r="G145" s="41">
        <v>1.9810681762055575E-2</v>
      </c>
      <c r="H145" s="41">
        <v>1.750948512655277E-2</v>
      </c>
      <c r="I145" s="40">
        <f t="shared" si="26"/>
        <v>0</v>
      </c>
      <c r="J145" s="40">
        <f t="shared" si="27"/>
        <v>350.18970253105539</v>
      </c>
      <c r="K145" s="36">
        <v>0.25711653941097967</v>
      </c>
      <c r="L145" s="42">
        <f t="shared" si="32"/>
        <v>0</v>
      </c>
      <c r="M145" s="42">
        <f t="shared" si="32"/>
        <v>20000</v>
      </c>
      <c r="N145" s="42">
        <f t="shared" si="28"/>
        <v>5142.3307882195932</v>
      </c>
      <c r="O145" s="36">
        <v>3.9222708968873379</v>
      </c>
      <c r="P145" s="42">
        <f t="shared" si="29"/>
        <v>10993.615459705983</v>
      </c>
      <c r="Q145" s="42"/>
      <c r="R145">
        <v>6.9734794152653587E-2</v>
      </c>
      <c r="S145">
        <v>0.84295175023651847</v>
      </c>
      <c r="T145" s="42"/>
      <c r="U145" s="42"/>
    </row>
    <row r="146" spans="1:21" x14ac:dyDescent="0.25">
      <c r="A146" s="40">
        <f t="shared" si="30"/>
        <v>0</v>
      </c>
      <c r="B146" s="40">
        <f t="shared" si="31"/>
        <v>50</v>
      </c>
      <c r="C146" s="41">
        <f t="shared" si="24"/>
        <v>1.0313000000000001</v>
      </c>
      <c r="D146" s="41">
        <f t="shared" si="25"/>
        <v>0.88000000000000012</v>
      </c>
      <c r="E146" s="39">
        <f>IF(_xlfn.NORM.INV(R146,C146,'Regressão Grupo 2'!$B$7)&lt;=0,0,IF(_xlfn.NORM.INV(R146,C146,'Regressão Grupo 2'!$B$7)&gt;100%,100%,_xlfn.NORM.INV(R146,C146,'Regressão Grupo 2'!$B$7)))</f>
        <v>1</v>
      </c>
      <c r="F146" s="39">
        <f>IF(_xlfn.NORM.INV(S146,D146,'Regressão Grupo 2'!$B$7)&lt;=0,0,IF(_xlfn.NORM.INV(S146,D146,'Regressão Grupo 2'!$B$7)&gt;100%,100%,_xlfn.NORM.INV(S146,D146,'Regressão Grupo 2'!$B$7)))</f>
        <v>1</v>
      </c>
      <c r="G146" s="41">
        <v>1.5640341665653135E-2</v>
      </c>
      <c r="H146" s="41">
        <v>2.3896602051915666E-2</v>
      </c>
      <c r="I146" s="40">
        <f t="shared" si="26"/>
        <v>0</v>
      </c>
      <c r="J146" s="40">
        <f t="shared" si="27"/>
        <v>477.93204103831329</v>
      </c>
      <c r="K146" s="36">
        <v>0.36007443908400349</v>
      </c>
      <c r="L146" s="42">
        <f t="shared" si="32"/>
        <v>0</v>
      </c>
      <c r="M146" s="42">
        <f t="shared" si="32"/>
        <v>20000</v>
      </c>
      <c r="N146" s="42">
        <f t="shared" si="28"/>
        <v>7201.4887816800701</v>
      </c>
      <c r="O146" s="36">
        <v>7.0233975995160094</v>
      </c>
      <c r="P146" s="42">
        <f t="shared" si="29"/>
        <v>13338.406520475317</v>
      </c>
      <c r="Q146" s="42"/>
      <c r="R146">
        <v>0.70393993957335121</v>
      </c>
      <c r="S146">
        <v>0.82277901547288435</v>
      </c>
      <c r="T146" s="42"/>
      <c r="U146" s="42"/>
    </row>
    <row r="147" spans="1:21" x14ac:dyDescent="0.25">
      <c r="A147" s="40">
        <f t="shared" si="30"/>
        <v>0</v>
      </c>
      <c r="B147" s="40">
        <f t="shared" si="31"/>
        <v>50</v>
      </c>
      <c r="C147" s="41">
        <f t="shared" si="24"/>
        <v>1.0313000000000001</v>
      </c>
      <c r="D147" s="41">
        <f t="shared" si="25"/>
        <v>0.88000000000000012</v>
      </c>
      <c r="E147" s="39">
        <f>IF(_xlfn.NORM.INV(R147,C147,'Regressão Grupo 2'!$B$7)&lt;=0,0,IF(_xlfn.NORM.INV(R147,C147,'Regressão Grupo 2'!$B$7)&gt;100%,100%,_xlfn.NORM.INV(R147,C147,'Regressão Grupo 2'!$B$7)))</f>
        <v>0.87541397351859029</v>
      </c>
      <c r="F147" s="39">
        <f>IF(_xlfn.NORM.INV(S147,D147,'Regressão Grupo 2'!$B$7)&lt;=0,0,IF(_xlfn.NORM.INV(S147,D147,'Regressão Grupo 2'!$B$7)&gt;100%,100%,_xlfn.NORM.INV(S147,D147,'Regressão Grupo 2'!$B$7)))</f>
        <v>0.84887831521076684</v>
      </c>
      <c r="G147" s="41">
        <v>1.6182186874903241E-2</v>
      </c>
      <c r="H147" s="41">
        <v>1.3045216986100576E-2</v>
      </c>
      <c r="I147" s="40">
        <f t="shared" si="26"/>
        <v>0</v>
      </c>
      <c r="J147" s="40">
        <f t="shared" si="27"/>
        <v>221.47603633439869</v>
      </c>
      <c r="K147" s="36">
        <v>0.15812142802102025</v>
      </c>
      <c r="L147" s="42">
        <f t="shared" si="32"/>
        <v>0</v>
      </c>
      <c r="M147" s="42">
        <f t="shared" si="32"/>
        <v>20000</v>
      </c>
      <c r="N147" s="42">
        <f t="shared" si="28"/>
        <v>3162.4285604204051</v>
      </c>
      <c r="O147" s="36">
        <v>8.6392380704590366</v>
      </c>
      <c r="P147" s="42">
        <f t="shared" si="29"/>
        <v>5997.9890515050229</v>
      </c>
      <c r="Q147" s="42"/>
      <c r="R147">
        <v>0.12979522080141606</v>
      </c>
      <c r="S147">
        <v>0.41096224860377817</v>
      </c>
      <c r="T147" s="42"/>
      <c r="U147" s="42"/>
    </row>
    <row r="148" spans="1:21" x14ac:dyDescent="0.25">
      <c r="A148" s="40">
        <f t="shared" si="30"/>
        <v>0</v>
      </c>
      <c r="B148" s="40">
        <f t="shared" si="31"/>
        <v>50</v>
      </c>
      <c r="C148" s="41">
        <f t="shared" si="24"/>
        <v>1.0313000000000001</v>
      </c>
      <c r="D148" s="41">
        <f t="shared" si="25"/>
        <v>0.88000000000000012</v>
      </c>
      <c r="E148" s="39">
        <f>IF(_xlfn.NORM.INV(R148,C148,'Regressão Grupo 2'!$B$7)&lt;=0,0,IF(_xlfn.NORM.INV(R148,C148,'Regressão Grupo 2'!$B$7)&gt;100%,100%,_xlfn.NORM.INV(R148,C148,'Regressão Grupo 2'!$B$7)))</f>
        <v>1</v>
      </c>
      <c r="F148" s="39">
        <f>IF(_xlfn.NORM.INV(S148,D148,'Regressão Grupo 2'!$B$7)&lt;=0,0,IF(_xlfn.NORM.INV(S148,D148,'Regressão Grupo 2'!$B$7)&gt;100%,100%,_xlfn.NORM.INV(S148,D148,'Regressão Grupo 2'!$B$7)))</f>
        <v>0.7915295618928434</v>
      </c>
      <c r="G148" s="41">
        <v>2.1154424646802995E-2</v>
      </c>
      <c r="H148" s="41">
        <v>9.6865739687426438E-3</v>
      </c>
      <c r="I148" s="40">
        <f t="shared" si="26"/>
        <v>0</v>
      </c>
      <c r="J148" s="40">
        <f t="shared" si="27"/>
        <v>153.34419299442973</v>
      </c>
      <c r="K148" s="36">
        <v>0.35549621843052542</v>
      </c>
      <c r="L148" s="42">
        <f t="shared" si="32"/>
        <v>0</v>
      </c>
      <c r="M148" s="42">
        <f t="shared" si="32"/>
        <v>20000</v>
      </c>
      <c r="N148" s="42">
        <f t="shared" si="28"/>
        <v>7109.9243686105083</v>
      </c>
      <c r="O148" s="36">
        <v>6.6348609883529006</v>
      </c>
      <c r="P148" s="42">
        <f t="shared" si="29"/>
        <v>-460.13212277822095</v>
      </c>
      <c r="Q148" s="42"/>
      <c r="R148">
        <v>0.88204596087527087</v>
      </c>
      <c r="S148">
        <v>0.26114688558610799</v>
      </c>
      <c r="T148" s="42"/>
      <c r="U148" s="42"/>
    </row>
    <row r="149" spans="1:21" x14ac:dyDescent="0.25">
      <c r="A149" s="40">
        <f t="shared" si="30"/>
        <v>0</v>
      </c>
      <c r="B149" s="40">
        <f t="shared" si="31"/>
        <v>50</v>
      </c>
      <c r="C149" s="41">
        <f t="shared" si="24"/>
        <v>1.0313000000000001</v>
      </c>
      <c r="D149" s="41">
        <f t="shared" si="25"/>
        <v>0.88000000000000012</v>
      </c>
      <c r="E149" s="39">
        <f>IF(_xlfn.NORM.INV(R149,C149,'Regressão Grupo 2'!$B$7)&lt;=0,0,IF(_xlfn.NORM.INV(R149,C149,'Regressão Grupo 2'!$B$7)&gt;100%,100%,_xlfn.NORM.INV(R149,C149,'Regressão Grupo 2'!$B$7)))</f>
        <v>0.78805508485201892</v>
      </c>
      <c r="F149" s="39">
        <f>IF(_xlfn.NORM.INV(S149,D149,'Regressão Grupo 2'!$B$7)&lt;=0,0,IF(_xlfn.NORM.INV(S149,D149,'Regressão Grupo 2'!$B$7)&gt;100%,100%,_xlfn.NORM.INV(S149,D149,'Regressão Grupo 2'!$B$7)))</f>
        <v>0.90820994369145358</v>
      </c>
      <c r="G149" s="41">
        <v>1.833894477566592E-2</v>
      </c>
      <c r="H149" s="41">
        <v>1.1845514935966505E-2</v>
      </c>
      <c r="I149" s="40">
        <f t="shared" si="26"/>
        <v>0</v>
      </c>
      <c r="J149" s="40">
        <f t="shared" si="27"/>
        <v>215.16428905980825</v>
      </c>
      <c r="K149" s="36">
        <v>0.16872381231753347</v>
      </c>
      <c r="L149" s="42">
        <f t="shared" si="32"/>
        <v>0</v>
      </c>
      <c r="M149" s="42">
        <f t="shared" si="32"/>
        <v>20000</v>
      </c>
      <c r="N149" s="42">
        <f t="shared" si="28"/>
        <v>3374.4762463506695</v>
      </c>
      <c r="O149" s="36">
        <v>4.7551552719939156</v>
      </c>
      <c r="P149" s="42">
        <f t="shared" si="29"/>
        <v>6360.5986031721723</v>
      </c>
      <c r="Q149" s="42"/>
      <c r="R149">
        <v>3.9277321695608387E-2</v>
      </c>
      <c r="S149">
        <v>0.5808282723471786</v>
      </c>
      <c r="T149" s="42"/>
      <c r="U149" s="42"/>
    </row>
    <row r="150" spans="1:21" x14ac:dyDescent="0.25">
      <c r="A150" s="40">
        <f t="shared" si="30"/>
        <v>0</v>
      </c>
      <c r="B150" s="40">
        <f t="shared" si="31"/>
        <v>50</v>
      </c>
      <c r="C150" s="41">
        <f t="shared" si="24"/>
        <v>1.0313000000000001</v>
      </c>
      <c r="D150" s="41">
        <f t="shared" si="25"/>
        <v>0.88000000000000012</v>
      </c>
      <c r="E150" s="39">
        <f>IF(_xlfn.NORM.INV(R150,C150,'Regressão Grupo 2'!$B$7)&lt;=0,0,IF(_xlfn.NORM.INV(R150,C150,'Regressão Grupo 2'!$B$7)&gt;100%,100%,_xlfn.NORM.INV(R150,C150,'Regressão Grupo 2'!$B$7)))</f>
        <v>1</v>
      </c>
      <c r="F150" s="39">
        <f>IF(_xlfn.NORM.INV(S150,D150,'Regressão Grupo 2'!$B$7)&lt;=0,0,IF(_xlfn.NORM.INV(S150,D150,'Regressão Grupo 2'!$B$7)&gt;100%,100%,_xlfn.NORM.INV(S150,D150,'Regressão Grupo 2'!$B$7)))</f>
        <v>0.8488349168583309</v>
      </c>
      <c r="G150" s="41">
        <v>1.29310998980742E-2</v>
      </c>
      <c r="H150" s="41">
        <v>1.9137817799765571E-2</v>
      </c>
      <c r="I150" s="40">
        <f t="shared" si="26"/>
        <v>0</v>
      </c>
      <c r="J150" s="40">
        <f t="shared" si="27"/>
        <v>324.89695961827789</v>
      </c>
      <c r="K150" s="36">
        <v>0.29156271008826928</v>
      </c>
      <c r="L150" s="42">
        <f t="shared" si="32"/>
        <v>0</v>
      </c>
      <c r="M150" s="42">
        <f t="shared" si="32"/>
        <v>20000</v>
      </c>
      <c r="N150" s="42">
        <f t="shared" si="28"/>
        <v>5831.2542017653859</v>
      </c>
      <c r="O150" s="36">
        <v>4.4751294318947856</v>
      </c>
      <c r="P150" s="42">
        <f t="shared" si="29"/>
        <v>8959.6378328276223</v>
      </c>
      <c r="Q150" s="42"/>
      <c r="R150">
        <v>0.96069215979491562</v>
      </c>
      <c r="S150">
        <v>0.41084017456587418</v>
      </c>
      <c r="T150" s="42"/>
      <c r="U150" s="42"/>
    </row>
    <row r="151" spans="1:21" x14ac:dyDescent="0.25">
      <c r="A151" s="40">
        <f t="shared" si="30"/>
        <v>0</v>
      </c>
      <c r="B151" s="40">
        <f t="shared" si="31"/>
        <v>50</v>
      </c>
      <c r="C151" s="41">
        <f t="shared" si="24"/>
        <v>1.0313000000000001</v>
      </c>
      <c r="D151" s="41">
        <f t="shared" si="25"/>
        <v>0.88000000000000012</v>
      </c>
      <c r="E151" s="39">
        <f>IF(_xlfn.NORM.INV(R151,C151,'Regressão Grupo 2'!$B$7)&lt;=0,0,IF(_xlfn.NORM.INV(R151,C151,'Regressão Grupo 2'!$B$7)&gt;100%,100%,_xlfn.NORM.INV(R151,C151,'Regressão Grupo 2'!$B$7)))</f>
        <v>1</v>
      </c>
      <c r="F151" s="39">
        <f>IF(_xlfn.NORM.INV(S151,D151,'Regressão Grupo 2'!$B$7)&lt;=0,0,IF(_xlfn.NORM.INV(S151,D151,'Regressão Grupo 2'!$B$7)&gt;100%,100%,_xlfn.NORM.INV(S151,D151,'Regressão Grupo 2'!$B$7)))</f>
        <v>1</v>
      </c>
      <c r="G151" s="41">
        <v>2.0134880916987445E-2</v>
      </c>
      <c r="H151" s="41">
        <v>2.0327355792878282E-2</v>
      </c>
      <c r="I151" s="40">
        <f t="shared" si="26"/>
        <v>0</v>
      </c>
      <c r="J151" s="40">
        <f t="shared" si="27"/>
        <v>406.54711585756564</v>
      </c>
      <c r="K151" s="36">
        <v>0.2362266009475576</v>
      </c>
      <c r="L151" s="42">
        <f t="shared" ref="L151:M166" si="33">L150</f>
        <v>0</v>
      </c>
      <c r="M151" s="42">
        <f t="shared" si="33"/>
        <v>20000</v>
      </c>
      <c r="N151" s="42">
        <f t="shared" si="28"/>
        <v>4724.5320189511522</v>
      </c>
      <c r="O151" s="36">
        <v>5.8029705389409028</v>
      </c>
      <c r="P151" s="42">
        <f t="shared" si="29"/>
        <v>13243.642837914285</v>
      </c>
      <c r="Q151" s="42"/>
      <c r="R151">
        <v>0.9821161534470656</v>
      </c>
      <c r="S151">
        <v>0.93017365031891841</v>
      </c>
      <c r="T151" s="42"/>
      <c r="U151" s="42"/>
    </row>
    <row r="152" spans="1:21" x14ac:dyDescent="0.25">
      <c r="A152" s="40">
        <f t="shared" si="30"/>
        <v>0</v>
      </c>
      <c r="B152" s="40">
        <f t="shared" si="31"/>
        <v>50</v>
      </c>
      <c r="C152" s="41">
        <f t="shared" si="24"/>
        <v>1.0313000000000001</v>
      </c>
      <c r="D152" s="41">
        <f t="shared" si="25"/>
        <v>0.88000000000000012</v>
      </c>
      <c r="E152" s="39">
        <f>IF(_xlfn.NORM.INV(R152,C152,'Regressão Grupo 2'!$B$7)&lt;=0,0,IF(_xlfn.NORM.INV(R152,C152,'Regressão Grupo 2'!$B$7)&gt;100%,100%,_xlfn.NORM.INV(R152,C152,'Regressão Grupo 2'!$B$7)))</f>
        <v>0.96617483904612877</v>
      </c>
      <c r="F152" s="39">
        <f>IF(_xlfn.NORM.INV(S152,D152,'Regressão Grupo 2'!$B$7)&lt;=0,0,IF(_xlfn.NORM.INV(S152,D152,'Regressão Grupo 2'!$B$7)&gt;100%,100%,_xlfn.NORM.INV(S152,D152,'Regressão Grupo 2'!$B$7)))</f>
        <v>0.807292869391525</v>
      </c>
      <c r="G152" s="41">
        <v>8.7273099164278771E-3</v>
      </c>
      <c r="H152" s="41">
        <v>1.5836017866264762E-2</v>
      </c>
      <c r="I152" s="40">
        <f t="shared" si="26"/>
        <v>0</v>
      </c>
      <c r="J152" s="40">
        <f t="shared" si="27"/>
        <v>255.68608605984673</v>
      </c>
      <c r="K152" s="36">
        <v>0.1587867508240482</v>
      </c>
      <c r="L152" s="42">
        <f t="shared" si="33"/>
        <v>0</v>
      </c>
      <c r="M152" s="42">
        <f t="shared" si="33"/>
        <v>20000</v>
      </c>
      <c r="N152" s="42">
        <f t="shared" si="28"/>
        <v>3175.7350164809641</v>
      </c>
      <c r="O152" s="36">
        <v>7.3936125498872833</v>
      </c>
      <c r="P152" s="42">
        <f t="shared" si="29"/>
        <v>7718.1254317877292</v>
      </c>
      <c r="Q152" s="42"/>
      <c r="R152">
        <v>0.31882686849574265</v>
      </c>
      <c r="S152">
        <v>0.29950865199743643</v>
      </c>
      <c r="T152" s="42"/>
      <c r="U152" s="42"/>
    </row>
    <row r="153" spans="1:21" x14ac:dyDescent="0.25">
      <c r="A153" s="40">
        <f t="shared" si="30"/>
        <v>0</v>
      </c>
      <c r="B153" s="40">
        <f t="shared" si="31"/>
        <v>50</v>
      </c>
      <c r="C153" s="41">
        <f t="shared" si="24"/>
        <v>1.0313000000000001</v>
      </c>
      <c r="D153" s="41">
        <f t="shared" si="25"/>
        <v>0.88000000000000012</v>
      </c>
      <c r="E153" s="39">
        <f>IF(_xlfn.NORM.INV(R153,C153,'Regressão Grupo 2'!$B$7)&lt;=0,0,IF(_xlfn.NORM.INV(R153,C153,'Regressão Grupo 2'!$B$7)&gt;100%,100%,_xlfn.NORM.INV(R153,C153,'Regressão Grupo 2'!$B$7)))</f>
        <v>1</v>
      </c>
      <c r="F153" s="39">
        <f>IF(_xlfn.NORM.INV(S153,D153,'Regressão Grupo 2'!$B$7)&lt;=0,0,IF(_xlfn.NORM.INV(S153,D153,'Regressão Grupo 2'!$B$7)&gt;100%,100%,_xlfn.NORM.INV(S153,D153,'Regressão Grupo 2'!$B$7)))</f>
        <v>0.74788911970530592</v>
      </c>
      <c r="G153" s="41">
        <v>2.445735824291341E-2</v>
      </c>
      <c r="H153" s="41">
        <v>2.0565720103320854E-2</v>
      </c>
      <c r="I153" s="40">
        <f t="shared" si="26"/>
        <v>0</v>
      </c>
      <c r="J153" s="40">
        <f t="shared" si="27"/>
        <v>307.61756608356694</v>
      </c>
      <c r="K153" s="36">
        <v>0.36707466879199502</v>
      </c>
      <c r="L153" s="42">
        <f t="shared" si="33"/>
        <v>0</v>
      </c>
      <c r="M153" s="42">
        <f t="shared" si="33"/>
        <v>20000</v>
      </c>
      <c r="N153" s="42">
        <f t="shared" si="28"/>
        <v>7341.4933758399002</v>
      </c>
      <c r="O153" s="36">
        <v>6.1397411500140047</v>
      </c>
      <c r="P153" s="42">
        <f t="shared" si="29"/>
        <v>6150.692699388017</v>
      </c>
      <c r="Q153" s="42"/>
      <c r="R153">
        <v>0.88167973876155892</v>
      </c>
      <c r="S153">
        <v>0.1696829126865444</v>
      </c>
      <c r="T153" s="42"/>
      <c r="U153" s="42"/>
    </row>
    <row r="154" spans="1:21" x14ac:dyDescent="0.25">
      <c r="A154" s="40">
        <f t="shared" si="30"/>
        <v>0</v>
      </c>
      <c r="B154" s="40">
        <f t="shared" si="31"/>
        <v>50</v>
      </c>
      <c r="C154" s="41">
        <f t="shared" si="24"/>
        <v>1.0313000000000001</v>
      </c>
      <c r="D154" s="41">
        <f t="shared" si="25"/>
        <v>0.88000000000000012</v>
      </c>
      <c r="E154" s="39">
        <f>IF(_xlfn.NORM.INV(R154,C154,'Regressão Grupo 2'!$B$7)&lt;=0,0,IF(_xlfn.NORM.INV(R154,C154,'Regressão Grupo 2'!$B$7)&gt;100%,100%,_xlfn.NORM.INV(R154,C154,'Regressão Grupo 2'!$B$7)))</f>
        <v>1</v>
      </c>
      <c r="F154" s="39">
        <f>IF(_xlfn.NORM.INV(S154,D154,'Regressão Grupo 2'!$B$7)&lt;=0,0,IF(_xlfn.NORM.INV(S154,D154,'Regressão Grupo 2'!$B$7)&gt;100%,100%,_xlfn.NORM.INV(S154,D154,'Regressão Grupo 2'!$B$7)))</f>
        <v>0.87342337937114778</v>
      </c>
      <c r="G154" s="41">
        <v>9.5824520424574056E-3</v>
      </c>
      <c r="H154" s="41">
        <v>2.3589471524461236E-2</v>
      </c>
      <c r="I154" s="40">
        <f t="shared" si="26"/>
        <v>0</v>
      </c>
      <c r="J154" s="40">
        <f t="shared" si="27"/>
        <v>412.07191872948789</v>
      </c>
      <c r="K154" s="36">
        <v>0.40452904037310572</v>
      </c>
      <c r="L154" s="42">
        <f t="shared" si="33"/>
        <v>0</v>
      </c>
      <c r="M154" s="42">
        <f t="shared" si="33"/>
        <v>20000</v>
      </c>
      <c r="N154" s="42">
        <f t="shared" si="28"/>
        <v>8090.5808074621145</v>
      </c>
      <c r="O154" s="36">
        <v>4.6460817037735618</v>
      </c>
      <c r="P154" s="42">
        <f t="shared" si="29"/>
        <v>10598.495326764338</v>
      </c>
      <c r="Q154" s="42"/>
      <c r="R154">
        <v>0.88146610919522694</v>
      </c>
      <c r="S154">
        <v>0.48103274636066773</v>
      </c>
      <c r="T154" s="42"/>
      <c r="U154" s="42"/>
    </row>
    <row r="155" spans="1:21" x14ac:dyDescent="0.25">
      <c r="A155" s="40">
        <f t="shared" si="30"/>
        <v>0</v>
      </c>
      <c r="B155" s="40">
        <f t="shared" si="31"/>
        <v>50</v>
      </c>
      <c r="C155" s="41">
        <f t="shared" si="24"/>
        <v>1.0313000000000001</v>
      </c>
      <c r="D155" s="41">
        <f t="shared" si="25"/>
        <v>0.88000000000000012</v>
      </c>
      <c r="E155" s="39">
        <f>IF(_xlfn.NORM.INV(R155,C155,'Regressão Grupo 2'!$B$7)&lt;=0,0,IF(_xlfn.NORM.INV(R155,C155,'Regressão Grupo 2'!$B$7)&gt;100%,100%,_xlfn.NORM.INV(R155,C155,'Regressão Grupo 2'!$B$7)))</f>
        <v>1</v>
      </c>
      <c r="F155" s="39">
        <f>IF(_xlfn.NORM.INV(S155,D155,'Regressão Grupo 2'!$B$7)&lt;=0,0,IF(_xlfn.NORM.INV(S155,D155,'Regressão Grupo 2'!$B$7)&gt;100%,100%,_xlfn.NORM.INV(S155,D155,'Regressão Grupo 2'!$B$7)))</f>
        <v>0.95233087200346023</v>
      </c>
      <c r="G155" s="41">
        <v>2.3401540097115002E-2</v>
      </c>
      <c r="H155" s="41">
        <v>2.1528419868988256E-2</v>
      </c>
      <c r="I155" s="40">
        <f t="shared" si="26"/>
        <v>0</v>
      </c>
      <c r="J155" s="40">
        <f t="shared" si="27"/>
        <v>410.04357733380408</v>
      </c>
      <c r="K155" s="36">
        <v>0.20526392509783187</v>
      </c>
      <c r="L155" s="42">
        <f t="shared" si="33"/>
        <v>0</v>
      </c>
      <c r="M155" s="42">
        <f t="shared" si="33"/>
        <v>20000</v>
      </c>
      <c r="N155" s="42">
        <f t="shared" si="28"/>
        <v>4105.2785019566372</v>
      </c>
      <c r="O155" s="36">
        <v>6.2887844338565877</v>
      </c>
      <c r="P155" s="42">
        <f t="shared" si="29"/>
        <v>13818.224698393871</v>
      </c>
      <c r="Q155" s="42"/>
      <c r="R155">
        <v>0.59041108432264167</v>
      </c>
      <c r="S155">
        <v>0.69954527420880763</v>
      </c>
      <c r="T155" s="42"/>
      <c r="U155" s="42"/>
    </row>
    <row r="156" spans="1:21" x14ac:dyDescent="0.25">
      <c r="A156" s="40">
        <f t="shared" si="30"/>
        <v>0</v>
      </c>
      <c r="B156" s="40">
        <f t="shared" si="31"/>
        <v>50</v>
      </c>
      <c r="C156" s="41">
        <f t="shared" si="24"/>
        <v>1.0313000000000001</v>
      </c>
      <c r="D156" s="41">
        <f t="shared" si="25"/>
        <v>0.88000000000000012</v>
      </c>
      <c r="E156" s="39">
        <f>IF(_xlfn.NORM.INV(R156,C156,'Regressão Grupo 2'!$B$7)&lt;=0,0,IF(_xlfn.NORM.INV(R156,C156,'Regressão Grupo 2'!$B$7)&gt;100%,100%,_xlfn.NORM.INV(R156,C156,'Regressão Grupo 2'!$B$7)))</f>
        <v>0.83273820801190901</v>
      </c>
      <c r="F156" s="39">
        <f>IF(_xlfn.NORM.INV(S156,D156,'Regressão Grupo 2'!$B$7)&lt;=0,0,IF(_xlfn.NORM.INV(S156,D156,'Regressão Grupo 2'!$B$7)&gt;100%,100%,_xlfn.NORM.INV(S156,D156,'Regressão Grupo 2'!$B$7)))</f>
        <v>0.80429988873821867</v>
      </c>
      <c r="G156" s="41">
        <v>1.0315449032904858E-2</v>
      </c>
      <c r="H156" s="41">
        <v>1.4095849229738069E-2</v>
      </c>
      <c r="I156" s="40">
        <f t="shared" si="26"/>
        <v>0</v>
      </c>
      <c r="J156" s="40">
        <f t="shared" si="27"/>
        <v>226.74579934298069</v>
      </c>
      <c r="K156" s="36">
        <v>0.15928422111823848</v>
      </c>
      <c r="L156" s="42">
        <f t="shared" si="33"/>
        <v>0</v>
      </c>
      <c r="M156" s="42">
        <f t="shared" si="33"/>
        <v>20000</v>
      </c>
      <c r="N156" s="42">
        <f t="shared" si="28"/>
        <v>3185.6844223647695</v>
      </c>
      <c r="O156" s="36">
        <v>6.461730606112976</v>
      </c>
      <c r="P156" s="42">
        <f t="shared" si="29"/>
        <v>6686.4352733621745</v>
      </c>
      <c r="Q156" s="42"/>
      <c r="R156">
        <v>7.5502792443617059E-2</v>
      </c>
      <c r="S156">
        <v>0.29203161717581716</v>
      </c>
      <c r="T156" s="42"/>
      <c r="U156" s="42"/>
    </row>
    <row r="157" spans="1:21" x14ac:dyDescent="0.25">
      <c r="A157" s="40">
        <f t="shared" si="30"/>
        <v>0</v>
      </c>
      <c r="B157" s="40">
        <f t="shared" si="31"/>
        <v>50</v>
      </c>
      <c r="C157" s="41">
        <f t="shared" si="24"/>
        <v>1.0313000000000001</v>
      </c>
      <c r="D157" s="41">
        <f t="shared" si="25"/>
        <v>0.88000000000000012</v>
      </c>
      <c r="E157" s="39">
        <f>IF(_xlfn.NORM.INV(R157,C157,'Regressão Grupo 2'!$B$7)&lt;=0,0,IF(_xlfn.NORM.INV(R157,C157,'Regressão Grupo 2'!$B$7)&gt;100%,100%,_xlfn.NORM.INV(R157,C157,'Regressão Grupo 2'!$B$7)))</f>
        <v>1</v>
      </c>
      <c r="F157" s="39">
        <f>IF(_xlfn.NORM.INV(S157,D157,'Regressão Grupo 2'!$B$7)&lt;=0,0,IF(_xlfn.NORM.INV(S157,D157,'Regressão Grupo 2'!$B$7)&gt;100%,100%,_xlfn.NORM.INV(S157,D157,'Regressão Grupo 2'!$B$7)))</f>
        <v>0.74669879920043447</v>
      </c>
      <c r="G157" s="41">
        <v>1.6412772925519785E-2</v>
      </c>
      <c r="H157" s="41">
        <v>1.9663043499302355E-2</v>
      </c>
      <c r="I157" s="40">
        <f t="shared" si="26"/>
        <v>0</v>
      </c>
      <c r="J157" s="40">
        <f t="shared" si="27"/>
        <v>293.6474193910995</v>
      </c>
      <c r="K157" s="36">
        <v>0.27097806459690443</v>
      </c>
      <c r="L157" s="42">
        <f t="shared" si="33"/>
        <v>0</v>
      </c>
      <c r="M157" s="42">
        <f t="shared" si="33"/>
        <v>20000</v>
      </c>
      <c r="N157" s="42">
        <f t="shared" si="28"/>
        <v>5419.5612919380883</v>
      </c>
      <c r="O157" s="36">
        <v>4.7124458755859244</v>
      </c>
      <c r="P157" s="42">
        <f t="shared" si="29"/>
        <v>7879.0121072308493</v>
      </c>
      <c r="Q157" s="42"/>
      <c r="R157">
        <v>0.74544511246070744</v>
      </c>
      <c r="S157">
        <v>0.1675160985137486</v>
      </c>
      <c r="T157" s="42"/>
      <c r="U157" s="42"/>
    </row>
    <row r="158" spans="1:21" x14ac:dyDescent="0.25">
      <c r="A158" s="40">
        <f t="shared" si="30"/>
        <v>0</v>
      </c>
      <c r="B158" s="40">
        <f t="shared" si="31"/>
        <v>50</v>
      </c>
      <c r="C158" s="41">
        <f t="shared" si="24"/>
        <v>1.0313000000000001</v>
      </c>
      <c r="D158" s="41">
        <f t="shared" si="25"/>
        <v>0.88000000000000012</v>
      </c>
      <c r="E158" s="39">
        <f>IF(_xlfn.NORM.INV(R158,C158,'Regressão Grupo 2'!$B$7)&lt;=0,0,IF(_xlfn.NORM.INV(R158,C158,'Regressão Grupo 2'!$B$7)&gt;100%,100%,_xlfn.NORM.INV(R158,C158,'Regressão Grupo 2'!$B$7)))</f>
        <v>1</v>
      </c>
      <c r="F158" s="39">
        <f>IF(_xlfn.NORM.INV(S158,D158,'Regressão Grupo 2'!$B$7)&lt;=0,0,IF(_xlfn.NORM.INV(S158,D158,'Regressão Grupo 2'!$B$7)&gt;100%,100%,_xlfn.NORM.INV(S158,D158,'Regressão Grupo 2'!$B$7)))</f>
        <v>0.72155104200943609</v>
      </c>
      <c r="G158" s="41">
        <v>4.5674985390145601E-3</v>
      </c>
      <c r="H158" s="41">
        <v>1.0427815129949294E-2</v>
      </c>
      <c r="I158" s="40">
        <f t="shared" si="26"/>
        <v>0</v>
      </c>
      <c r="J158" s="40">
        <f t="shared" si="27"/>
        <v>150.48401745793353</v>
      </c>
      <c r="K158" s="36">
        <v>0.2305655297511717</v>
      </c>
      <c r="L158" s="42">
        <f t="shared" si="33"/>
        <v>0</v>
      </c>
      <c r="M158" s="42">
        <f t="shared" si="33"/>
        <v>20000</v>
      </c>
      <c r="N158" s="42">
        <f t="shared" si="28"/>
        <v>4611.310595023434</v>
      </c>
      <c r="O158" s="36">
        <v>9.1492883246871877</v>
      </c>
      <c r="P158" s="42">
        <f t="shared" si="29"/>
        <v>1536.0686138933488</v>
      </c>
      <c r="Q158" s="42"/>
      <c r="R158">
        <v>0.78048036133915222</v>
      </c>
      <c r="S158">
        <v>0.12591937009796442</v>
      </c>
      <c r="T158" s="42"/>
      <c r="U158" s="42"/>
    </row>
    <row r="159" spans="1:21" x14ac:dyDescent="0.25">
      <c r="A159" s="40">
        <f t="shared" si="30"/>
        <v>0</v>
      </c>
      <c r="B159" s="40">
        <f t="shared" si="31"/>
        <v>50</v>
      </c>
      <c r="C159" s="41">
        <f t="shared" si="24"/>
        <v>1.0313000000000001</v>
      </c>
      <c r="D159" s="41">
        <f t="shared" si="25"/>
        <v>0.88000000000000012</v>
      </c>
      <c r="E159" s="39">
        <f>IF(_xlfn.NORM.INV(R159,C159,'Regressão Grupo 2'!$B$7)&lt;=0,0,IF(_xlfn.NORM.INV(R159,C159,'Regressão Grupo 2'!$B$7)&gt;100%,100%,_xlfn.NORM.INV(R159,C159,'Regressão Grupo 2'!$B$7)))</f>
        <v>1</v>
      </c>
      <c r="F159" s="39">
        <f>IF(_xlfn.NORM.INV(S159,D159,'Regressão Grupo 2'!$B$7)&lt;=0,0,IF(_xlfn.NORM.INV(S159,D159,'Regressão Grupo 2'!$B$7)&gt;100%,100%,_xlfn.NORM.INV(S159,D159,'Regressão Grupo 2'!$B$7)))</f>
        <v>0.75626268195289581</v>
      </c>
      <c r="G159" s="41">
        <v>1.1779449426481958E-2</v>
      </c>
      <c r="H159" s="41">
        <v>2.1840880580830196E-2</v>
      </c>
      <c r="I159" s="40">
        <f t="shared" si="26"/>
        <v>0</v>
      </c>
      <c r="J159" s="40">
        <f t="shared" si="27"/>
        <v>330.34885848543132</v>
      </c>
      <c r="K159" s="36">
        <v>0.29609250983951718</v>
      </c>
      <c r="L159" s="42">
        <f t="shared" si="33"/>
        <v>0</v>
      </c>
      <c r="M159" s="42">
        <f t="shared" si="33"/>
        <v>20000</v>
      </c>
      <c r="N159" s="42">
        <f t="shared" si="28"/>
        <v>5921.8501967903439</v>
      </c>
      <c r="O159" s="36">
        <v>7.9756550930737546</v>
      </c>
      <c r="P159" s="42">
        <f t="shared" si="29"/>
        <v>7960.8441718107924</v>
      </c>
      <c r="Q159" s="42"/>
      <c r="R159">
        <v>0.5713980529190954</v>
      </c>
      <c r="S159">
        <v>0.18543046357615894</v>
      </c>
      <c r="T159" s="42"/>
      <c r="U159" s="42"/>
    </row>
    <row r="160" spans="1:21" x14ac:dyDescent="0.25">
      <c r="A160" s="40">
        <f t="shared" si="30"/>
        <v>0</v>
      </c>
      <c r="B160" s="40">
        <f t="shared" si="31"/>
        <v>50</v>
      </c>
      <c r="C160" s="41">
        <f t="shared" si="24"/>
        <v>1.0313000000000001</v>
      </c>
      <c r="D160" s="41">
        <f t="shared" si="25"/>
        <v>0.88000000000000012</v>
      </c>
      <c r="E160" s="39">
        <f>IF(_xlfn.NORM.INV(R160,C160,'Regressão Grupo 2'!$B$7)&lt;=0,0,IF(_xlfn.NORM.INV(R160,C160,'Regressão Grupo 2'!$B$7)&gt;100%,100%,_xlfn.NORM.INV(R160,C160,'Regressão Grupo 2'!$B$7)))</f>
        <v>1</v>
      </c>
      <c r="F160" s="39">
        <f>IF(_xlfn.NORM.INV(S160,D160,'Regressão Grupo 2'!$B$7)&lt;=0,0,IF(_xlfn.NORM.INV(S160,D160,'Regressão Grupo 2'!$B$7)&gt;100%,100%,_xlfn.NORM.INV(S160,D160,'Regressão Grupo 2'!$B$7)))</f>
        <v>0.72471161829708997</v>
      </c>
      <c r="G160" s="41">
        <v>7.4747686356681836E-3</v>
      </c>
      <c r="H160" s="41">
        <v>1.9304580694356251E-2</v>
      </c>
      <c r="I160" s="40">
        <f t="shared" si="26"/>
        <v>0</v>
      </c>
      <c r="J160" s="40">
        <f t="shared" si="27"/>
        <v>279.8050783110736</v>
      </c>
      <c r="K160" s="36">
        <v>0.34529614775805184</v>
      </c>
      <c r="L160" s="42">
        <f t="shared" si="33"/>
        <v>0</v>
      </c>
      <c r="M160" s="42">
        <f t="shared" si="33"/>
        <v>20000</v>
      </c>
      <c r="N160" s="42">
        <f t="shared" si="28"/>
        <v>6905.922955161037</v>
      </c>
      <c r="O160" s="36">
        <v>3.3329315499089613</v>
      </c>
      <c r="P160" s="42">
        <f t="shared" si="29"/>
        <v>6151.7597870649188</v>
      </c>
      <c r="Q160" s="42"/>
      <c r="R160">
        <v>0.80391857661671806</v>
      </c>
      <c r="S160">
        <v>0.13071077608569598</v>
      </c>
      <c r="T160" s="42"/>
      <c r="U160" s="42"/>
    </row>
    <row r="161" spans="1:21" x14ac:dyDescent="0.25">
      <c r="A161" s="40">
        <f t="shared" si="30"/>
        <v>0</v>
      </c>
      <c r="B161" s="40">
        <f t="shared" si="31"/>
        <v>50</v>
      </c>
      <c r="C161" s="41">
        <f t="shared" si="24"/>
        <v>1.0313000000000001</v>
      </c>
      <c r="D161" s="41">
        <f t="shared" si="25"/>
        <v>0.88000000000000012</v>
      </c>
      <c r="E161" s="39">
        <f>IF(_xlfn.NORM.INV(R161,C161,'Regressão Grupo 2'!$B$7)&lt;=0,0,IF(_xlfn.NORM.INV(R161,C161,'Regressão Grupo 2'!$B$7)&gt;100%,100%,_xlfn.NORM.INV(R161,C161,'Regressão Grupo 2'!$B$7)))</f>
        <v>1</v>
      </c>
      <c r="F161" s="39">
        <f>IF(_xlfn.NORM.INV(S161,D161,'Regressão Grupo 2'!$B$7)&lt;=0,0,IF(_xlfn.NORM.INV(S161,D161,'Regressão Grupo 2'!$B$7)&gt;100%,100%,_xlfn.NORM.INV(S161,D161,'Regressão Grupo 2'!$B$7)))</f>
        <v>1</v>
      </c>
      <c r="G161" s="41">
        <v>1.7523262366594464E-2</v>
      </c>
      <c r="H161" s="41">
        <v>2.9385121002026022E-3</v>
      </c>
      <c r="I161" s="40">
        <f t="shared" si="26"/>
        <v>0</v>
      </c>
      <c r="J161" s="40">
        <f t="shared" si="27"/>
        <v>58.770242004052044</v>
      </c>
      <c r="K161" s="36">
        <v>0.28907038144164404</v>
      </c>
      <c r="L161" s="42">
        <f t="shared" si="33"/>
        <v>0</v>
      </c>
      <c r="M161" s="42">
        <f t="shared" si="33"/>
        <v>20000</v>
      </c>
      <c r="N161" s="42">
        <f t="shared" si="28"/>
        <v>5781.4076288328806</v>
      </c>
      <c r="O161" s="36">
        <v>3.779115904263298</v>
      </c>
      <c r="P161" s="42">
        <f t="shared" si="29"/>
        <v>-3064.9950848851945</v>
      </c>
      <c r="Q161" s="42"/>
      <c r="R161">
        <v>0.41172521134067813</v>
      </c>
      <c r="S161">
        <v>0.86004211554307686</v>
      </c>
      <c r="T161" s="42"/>
      <c r="U161" s="42"/>
    </row>
    <row r="162" spans="1:21" x14ac:dyDescent="0.25">
      <c r="A162" s="40">
        <f t="shared" si="30"/>
        <v>0</v>
      </c>
      <c r="B162" s="40">
        <f t="shared" si="31"/>
        <v>50</v>
      </c>
      <c r="C162" s="41">
        <f t="shared" si="24"/>
        <v>1.0313000000000001</v>
      </c>
      <c r="D162" s="41">
        <f t="shared" si="25"/>
        <v>0.88000000000000012</v>
      </c>
      <c r="E162" s="39">
        <f>IF(_xlfn.NORM.INV(R162,C162,'Regressão Grupo 2'!$B$7)&lt;=0,0,IF(_xlfn.NORM.INV(R162,C162,'Regressão Grupo 2'!$B$7)&gt;100%,100%,_xlfn.NORM.INV(R162,C162,'Regressão Grupo 2'!$B$7)))</f>
        <v>1</v>
      </c>
      <c r="F162" s="39">
        <f>IF(_xlfn.NORM.INV(S162,D162,'Regressão Grupo 2'!$B$7)&lt;=0,0,IF(_xlfn.NORM.INV(S162,D162,'Regressão Grupo 2'!$B$7)&gt;100%,100%,_xlfn.NORM.INV(S162,D162,'Regressão Grupo 2'!$B$7)))</f>
        <v>0.78101349216042848</v>
      </c>
      <c r="G162" s="41">
        <v>2.0442972178207584E-2</v>
      </c>
      <c r="H162" s="41">
        <v>2.1747785041945196E-2</v>
      </c>
      <c r="I162" s="40">
        <f t="shared" si="26"/>
        <v>0</v>
      </c>
      <c r="J162" s="40">
        <f t="shared" si="27"/>
        <v>339.70627084727897</v>
      </c>
      <c r="K162" s="36">
        <v>0.26396190647495643</v>
      </c>
      <c r="L162" s="42">
        <f t="shared" si="33"/>
        <v>0</v>
      </c>
      <c r="M162" s="42">
        <f t="shared" si="33"/>
        <v>20000</v>
      </c>
      <c r="N162" s="42">
        <f t="shared" si="28"/>
        <v>5279.2381294991283</v>
      </c>
      <c r="O162" s="36">
        <v>7.4772685350236081</v>
      </c>
      <c r="P162" s="42">
        <f t="shared" si="29"/>
        <v>9166.0004027082523</v>
      </c>
      <c r="Q162" s="42"/>
      <c r="R162">
        <v>0.91390728476821192</v>
      </c>
      <c r="S162">
        <v>0.2370372631000702</v>
      </c>
      <c r="T162" s="42"/>
      <c r="U162" s="42"/>
    </row>
    <row r="163" spans="1:21" x14ac:dyDescent="0.25">
      <c r="A163" s="40">
        <f t="shared" si="30"/>
        <v>0</v>
      </c>
      <c r="B163" s="40">
        <f t="shared" si="31"/>
        <v>50</v>
      </c>
      <c r="C163" s="41">
        <f t="shared" si="24"/>
        <v>1.0313000000000001</v>
      </c>
      <c r="D163" s="41">
        <f t="shared" si="25"/>
        <v>0.88000000000000012</v>
      </c>
      <c r="E163" s="39">
        <f>IF(_xlfn.NORM.INV(R163,C163,'Regressão Grupo 2'!$B$7)&lt;=0,0,IF(_xlfn.NORM.INV(R163,C163,'Regressão Grupo 2'!$B$7)&gt;100%,100%,_xlfn.NORM.INV(R163,C163,'Regressão Grupo 2'!$B$7)))</f>
        <v>0.94653640807772843</v>
      </c>
      <c r="F163" s="39">
        <f>IF(_xlfn.NORM.INV(S163,D163,'Regressão Grupo 2'!$B$7)&lt;=0,0,IF(_xlfn.NORM.INV(S163,D163,'Regressão Grupo 2'!$B$7)&gt;100%,100%,_xlfn.NORM.INV(S163,D163,'Regressão Grupo 2'!$B$7)))</f>
        <v>0.8053544582535126</v>
      </c>
      <c r="G163" s="41">
        <v>2.4845985550431066E-2</v>
      </c>
      <c r="H163" s="41">
        <v>2.653852586622589E-2</v>
      </c>
      <c r="I163" s="40">
        <f t="shared" si="26"/>
        <v>0</v>
      </c>
      <c r="J163" s="40">
        <f t="shared" si="27"/>
        <v>427.45840243682369</v>
      </c>
      <c r="K163" s="36">
        <v>0.24550225778512458</v>
      </c>
      <c r="L163" s="42">
        <f t="shared" si="33"/>
        <v>0</v>
      </c>
      <c r="M163" s="42">
        <f t="shared" si="33"/>
        <v>20000</v>
      </c>
      <c r="N163" s="42">
        <f t="shared" si="28"/>
        <v>4910.0451557024917</v>
      </c>
      <c r="O163" s="36">
        <v>5.1420370964255904</v>
      </c>
      <c r="P163" s="42">
        <f t="shared" si="29"/>
        <v>14264.868003629725</v>
      </c>
      <c r="Q163" s="42"/>
      <c r="R163">
        <v>0.26993621631519515</v>
      </c>
      <c r="S163">
        <v>0.2946562089907529</v>
      </c>
      <c r="T163" s="42"/>
      <c r="U163" s="42"/>
    </row>
    <row r="164" spans="1:21" x14ac:dyDescent="0.25">
      <c r="A164" s="40">
        <f t="shared" si="30"/>
        <v>0</v>
      </c>
      <c r="B164" s="40">
        <f t="shared" si="31"/>
        <v>50</v>
      </c>
      <c r="C164" s="41">
        <f t="shared" si="24"/>
        <v>1.0313000000000001</v>
      </c>
      <c r="D164" s="41">
        <f t="shared" si="25"/>
        <v>0.88000000000000012</v>
      </c>
      <c r="E164" s="39">
        <f>IF(_xlfn.NORM.INV(R164,C164,'Regressão Grupo 2'!$B$7)&lt;=0,0,IF(_xlfn.NORM.INV(R164,C164,'Regressão Grupo 2'!$B$7)&gt;100%,100%,_xlfn.NORM.INV(R164,C164,'Regressão Grupo 2'!$B$7)))</f>
        <v>1</v>
      </c>
      <c r="F164" s="39">
        <f>IF(_xlfn.NORM.INV(S164,D164,'Regressão Grupo 2'!$B$7)&lt;=0,0,IF(_xlfn.NORM.INV(S164,D164,'Regressão Grupo 2'!$B$7)&gt;100%,100%,_xlfn.NORM.INV(S164,D164,'Regressão Grupo 2'!$B$7)))</f>
        <v>1</v>
      </c>
      <c r="G164" s="41">
        <v>1.165943392715961E-2</v>
      </c>
      <c r="H164" s="41">
        <v>8.9886895476191525E-3</v>
      </c>
      <c r="I164" s="40">
        <f t="shared" si="26"/>
        <v>0</v>
      </c>
      <c r="J164" s="40">
        <f t="shared" si="27"/>
        <v>179.77379095238305</v>
      </c>
      <c r="K164" s="36">
        <v>0.28349431368465361</v>
      </c>
      <c r="L164" s="42">
        <f t="shared" si="33"/>
        <v>0</v>
      </c>
      <c r="M164" s="42">
        <f t="shared" si="33"/>
        <v>20000</v>
      </c>
      <c r="N164" s="42">
        <f t="shared" si="28"/>
        <v>5669.8862736930723</v>
      </c>
      <c r="O164" s="36">
        <v>6.015438155085822</v>
      </c>
      <c r="P164" s="42">
        <f t="shared" si="29"/>
        <v>2237.3851525466935</v>
      </c>
      <c r="Q164" s="42"/>
      <c r="R164">
        <v>0.95928830835901979</v>
      </c>
      <c r="S164">
        <v>0.92248298593096711</v>
      </c>
      <c r="T164" s="42"/>
      <c r="U164" s="42"/>
    </row>
    <row r="165" spans="1:21" x14ac:dyDescent="0.25">
      <c r="A165" s="40">
        <f t="shared" si="30"/>
        <v>0</v>
      </c>
      <c r="B165" s="40">
        <f t="shared" si="31"/>
        <v>50</v>
      </c>
      <c r="C165" s="41">
        <f t="shared" si="24"/>
        <v>1.0313000000000001</v>
      </c>
      <c r="D165" s="41">
        <f t="shared" si="25"/>
        <v>0.88000000000000012</v>
      </c>
      <c r="E165" s="39">
        <f>IF(_xlfn.NORM.INV(R165,C165,'Regressão Grupo 2'!$B$7)&lt;=0,0,IF(_xlfn.NORM.INV(R165,C165,'Regressão Grupo 2'!$B$7)&gt;100%,100%,_xlfn.NORM.INV(R165,C165,'Regressão Grupo 2'!$B$7)))</f>
        <v>0.88294990492811687</v>
      </c>
      <c r="F165" s="39">
        <f>IF(_xlfn.NORM.INV(S165,D165,'Regressão Grupo 2'!$B$7)&lt;=0,0,IF(_xlfn.NORM.INV(S165,D165,'Regressão Grupo 2'!$B$7)&gt;100%,100%,_xlfn.NORM.INV(S165,D165,'Regressão Grupo 2'!$B$7)))</f>
        <v>0.95962627089820507</v>
      </c>
      <c r="G165" s="41">
        <v>2.3773693171333352E-2</v>
      </c>
      <c r="H165" s="41">
        <v>1.1669718592960131E-2</v>
      </c>
      <c r="I165" s="40">
        <f t="shared" si="26"/>
        <v>0</v>
      </c>
      <c r="J165" s="40">
        <f t="shared" si="27"/>
        <v>223.97137071587559</v>
      </c>
      <c r="K165" s="36">
        <v>0.38694025056303627</v>
      </c>
      <c r="L165" s="42">
        <f t="shared" si="33"/>
        <v>0</v>
      </c>
      <c r="M165" s="42">
        <f t="shared" si="33"/>
        <v>20000</v>
      </c>
      <c r="N165" s="42">
        <f t="shared" si="28"/>
        <v>7738.8050112607252</v>
      </c>
      <c r="O165" s="36">
        <v>3.4977853638777279</v>
      </c>
      <c r="P165" s="42">
        <f t="shared" si="29"/>
        <v>2676.3597421154318</v>
      </c>
      <c r="Q165" s="42"/>
      <c r="R165">
        <v>0.14166692098757896</v>
      </c>
      <c r="S165">
        <v>0.71764275032807401</v>
      </c>
      <c r="T165" s="42"/>
      <c r="U165" s="42"/>
    </row>
    <row r="166" spans="1:21" x14ac:dyDescent="0.25">
      <c r="A166" s="40">
        <f t="shared" si="30"/>
        <v>0</v>
      </c>
      <c r="B166" s="40">
        <f t="shared" si="31"/>
        <v>50</v>
      </c>
      <c r="C166" s="41">
        <f t="shared" si="24"/>
        <v>1.0313000000000001</v>
      </c>
      <c r="D166" s="41">
        <f t="shared" si="25"/>
        <v>0.88000000000000012</v>
      </c>
      <c r="E166" s="39">
        <f>IF(_xlfn.NORM.INV(R166,C166,'Regressão Grupo 2'!$B$7)&lt;=0,0,IF(_xlfn.NORM.INV(R166,C166,'Regressão Grupo 2'!$B$7)&gt;100%,100%,_xlfn.NORM.INV(R166,C166,'Regressão Grupo 2'!$B$7)))</f>
        <v>0.8608822227325309</v>
      </c>
      <c r="F166" s="39">
        <f>IF(_xlfn.NORM.INV(S166,D166,'Regressão Grupo 2'!$B$7)&lt;=0,0,IF(_xlfn.NORM.INV(S166,D166,'Regressão Grupo 2'!$B$7)&gt;100%,100%,_xlfn.NORM.INV(S166,D166,'Regressão Grupo 2'!$B$7)))</f>
        <v>0.92160317974708639</v>
      </c>
      <c r="G166" s="41">
        <v>2.3946853341538669E-2</v>
      </c>
      <c r="H166" s="41">
        <v>1.2285989269160622E-2</v>
      </c>
      <c r="I166" s="40">
        <f t="shared" si="26"/>
        <v>0</v>
      </c>
      <c r="J166" s="40">
        <f t="shared" si="27"/>
        <v>226.45613553594023</v>
      </c>
      <c r="K166" s="36">
        <v>0.28752621785287025</v>
      </c>
      <c r="L166" s="42">
        <f t="shared" si="33"/>
        <v>0</v>
      </c>
      <c r="M166" s="42">
        <f t="shared" si="33"/>
        <v>20000</v>
      </c>
      <c r="N166" s="42">
        <f t="shared" si="28"/>
        <v>5750.5243570574048</v>
      </c>
      <c r="O166" s="36">
        <v>7.3465667717586403</v>
      </c>
      <c r="P166" s="42">
        <f t="shared" si="29"/>
        <v>3908.6072991503979</v>
      </c>
      <c r="Q166" s="42"/>
      <c r="R166">
        <v>0.10889004181035798</v>
      </c>
      <c r="S166">
        <v>0.61824396496475109</v>
      </c>
      <c r="T166" s="42"/>
      <c r="U166" s="42"/>
    </row>
    <row r="167" spans="1:21" x14ac:dyDescent="0.25">
      <c r="A167" s="40">
        <f t="shared" si="30"/>
        <v>0</v>
      </c>
      <c r="B167" s="40">
        <f t="shared" si="31"/>
        <v>50</v>
      </c>
      <c r="C167" s="41">
        <f t="shared" si="24"/>
        <v>1.0313000000000001</v>
      </c>
      <c r="D167" s="41">
        <f t="shared" si="25"/>
        <v>0.88000000000000012</v>
      </c>
      <c r="E167" s="39">
        <f>IF(_xlfn.NORM.INV(R167,C167,'Regressão Grupo 2'!$B$7)&lt;=0,0,IF(_xlfn.NORM.INV(R167,C167,'Regressão Grupo 2'!$B$7)&gt;100%,100%,_xlfn.NORM.INV(R167,C167,'Regressão Grupo 2'!$B$7)))</f>
        <v>1</v>
      </c>
      <c r="F167" s="39">
        <f>IF(_xlfn.NORM.INV(S167,D167,'Regressão Grupo 2'!$B$7)&lt;=0,0,IF(_xlfn.NORM.INV(S167,D167,'Regressão Grupo 2'!$B$7)&gt;100%,100%,_xlfn.NORM.INV(S167,D167,'Regressão Grupo 2'!$B$7)))</f>
        <v>0.84286923462511476</v>
      </c>
      <c r="G167" s="41">
        <v>4.0321581505117733E-3</v>
      </c>
      <c r="H167" s="41">
        <v>2.4396746072800408E-2</v>
      </c>
      <c r="I167" s="40">
        <f t="shared" si="26"/>
        <v>0</v>
      </c>
      <c r="J167" s="40">
        <f t="shared" si="27"/>
        <v>411.26533379449108</v>
      </c>
      <c r="K167" s="36">
        <v>0.40638608000328758</v>
      </c>
      <c r="L167" s="42">
        <f t="shared" ref="L167:M182" si="34">L166</f>
        <v>0</v>
      </c>
      <c r="M167" s="42">
        <f t="shared" si="34"/>
        <v>20000</v>
      </c>
      <c r="N167" s="42">
        <f t="shared" si="28"/>
        <v>8127.7216000657518</v>
      </c>
      <c r="O167" s="36">
        <v>5.0293784554227052</v>
      </c>
      <c r="P167" s="42">
        <f t="shared" si="29"/>
        <v>10367.136080410562</v>
      </c>
      <c r="Q167" s="42"/>
      <c r="R167">
        <v>0.41920224616229745</v>
      </c>
      <c r="S167">
        <v>0.39414654988250375</v>
      </c>
      <c r="T167" s="42"/>
      <c r="U167" s="42"/>
    </row>
    <row r="168" spans="1:21" x14ac:dyDescent="0.25">
      <c r="A168" s="40">
        <f t="shared" si="30"/>
        <v>0</v>
      </c>
      <c r="B168" s="40">
        <f t="shared" si="31"/>
        <v>50</v>
      </c>
      <c r="C168" s="41">
        <f t="shared" si="24"/>
        <v>1.0313000000000001</v>
      </c>
      <c r="D168" s="41">
        <f t="shared" si="25"/>
        <v>0.88000000000000012</v>
      </c>
      <c r="E168" s="39">
        <f>IF(_xlfn.NORM.INV(R168,C168,'Regressão Grupo 2'!$B$7)&lt;=0,0,IF(_xlfn.NORM.INV(R168,C168,'Regressão Grupo 2'!$B$7)&gt;100%,100%,_xlfn.NORM.INV(R168,C168,'Regressão Grupo 2'!$B$7)))</f>
        <v>1</v>
      </c>
      <c r="F168" s="39">
        <f>IF(_xlfn.NORM.INV(S168,D168,'Regressão Grupo 2'!$B$7)&lt;=0,0,IF(_xlfn.NORM.INV(S168,D168,'Regressão Grupo 2'!$B$7)&gt;100%,100%,_xlfn.NORM.INV(S168,D168,'Regressão Grupo 2'!$B$7)))</f>
        <v>0.74532864890718842</v>
      </c>
      <c r="G168" s="41">
        <v>2.0012644178454823E-2</v>
      </c>
      <c r="H168" s="41">
        <v>2.545412581928632E-2</v>
      </c>
      <c r="I168" s="40">
        <f t="shared" si="26"/>
        <v>0</v>
      </c>
      <c r="J168" s="40">
        <f t="shared" si="27"/>
        <v>379.43378412004506</v>
      </c>
      <c r="K168" s="36">
        <v>0.34570323316360596</v>
      </c>
      <c r="L168" s="42">
        <f t="shared" si="34"/>
        <v>0</v>
      </c>
      <c r="M168" s="42">
        <f t="shared" si="34"/>
        <v>20000</v>
      </c>
      <c r="N168" s="42">
        <f t="shared" si="28"/>
        <v>6914.0646632721191</v>
      </c>
      <c r="O168" s="36">
        <v>3.8487327778383529</v>
      </c>
      <c r="P168" s="42">
        <f t="shared" si="29"/>
        <v>10597.285300768079</v>
      </c>
      <c r="Q168" s="42"/>
      <c r="R168">
        <v>0.74159978026673179</v>
      </c>
      <c r="S168">
        <v>0.16504409924619282</v>
      </c>
      <c r="T168" s="42"/>
      <c r="U168" s="42"/>
    </row>
    <row r="169" spans="1:21" x14ac:dyDescent="0.25">
      <c r="A169" s="40">
        <f t="shared" si="30"/>
        <v>0</v>
      </c>
      <c r="B169" s="40">
        <f t="shared" si="31"/>
        <v>50</v>
      </c>
      <c r="C169" s="41">
        <f t="shared" si="24"/>
        <v>1.0313000000000001</v>
      </c>
      <c r="D169" s="41">
        <f t="shared" si="25"/>
        <v>0.88000000000000012</v>
      </c>
      <c r="E169" s="39">
        <f>IF(_xlfn.NORM.INV(R169,C169,'Regressão Grupo 2'!$B$7)&lt;=0,0,IF(_xlfn.NORM.INV(R169,C169,'Regressão Grupo 2'!$B$7)&gt;100%,100%,_xlfn.NORM.INV(R169,C169,'Regressão Grupo 2'!$B$7)))</f>
        <v>0.88753268054011569</v>
      </c>
      <c r="F169" s="39">
        <f>IF(_xlfn.NORM.INV(S169,D169,'Regressão Grupo 2'!$B$7)&lt;=0,0,IF(_xlfn.NORM.INV(S169,D169,'Regressão Grupo 2'!$B$7)&gt;100%,100%,_xlfn.NORM.INV(S169,D169,'Regressão Grupo 2'!$B$7)))</f>
        <v>1</v>
      </c>
      <c r="G169" s="41">
        <v>1.8545673951722769E-2</v>
      </c>
      <c r="H169" s="41">
        <v>1.030679024505882E-2</v>
      </c>
      <c r="I169" s="40">
        <f t="shared" si="26"/>
        <v>0</v>
      </c>
      <c r="J169" s="40">
        <f t="shared" si="27"/>
        <v>206.13580490117641</v>
      </c>
      <c r="K169" s="36">
        <v>0.46438276944473705</v>
      </c>
      <c r="L169" s="42">
        <f t="shared" si="34"/>
        <v>0</v>
      </c>
      <c r="M169" s="42">
        <f t="shared" si="34"/>
        <v>20000</v>
      </c>
      <c r="N169" s="42">
        <f t="shared" si="28"/>
        <v>9287.6553888947419</v>
      </c>
      <c r="O169" s="36">
        <v>10.227638993777255</v>
      </c>
      <c r="P169" s="42">
        <f t="shared" si="29"/>
        <v>-1089.1477400568547</v>
      </c>
      <c r="Q169" s="42"/>
      <c r="R169">
        <v>0.14923551133762628</v>
      </c>
      <c r="S169">
        <v>0.97741630298776205</v>
      </c>
      <c r="T169" s="42"/>
      <c r="U169" s="42"/>
    </row>
    <row r="170" spans="1:21" x14ac:dyDescent="0.25">
      <c r="A170" s="40">
        <f t="shared" si="30"/>
        <v>0</v>
      </c>
      <c r="B170" s="40">
        <f t="shared" si="31"/>
        <v>50</v>
      </c>
      <c r="C170" s="41">
        <f t="shared" si="24"/>
        <v>1.0313000000000001</v>
      </c>
      <c r="D170" s="41">
        <f t="shared" si="25"/>
        <v>0.88000000000000012</v>
      </c>
      <c r="E170" s="39">
        <f>IF(_xlfn.NORM.INV(R170,C170,'Regressão Grupo 2'!$B$7)&lt;=0,0,IF(_xlfn.NORM.INV(R170,C170,'Regressão Grupo 2'!$B$7)&gt;100%,100%,_xlfn.NORM.INV(R170,C170,'Regressão Grupo 2'!$B$7)))</f>
        <v>0.73943100605504841</v>
      </c>
      <c r="F170" s="39">
        <f>IF(_xlfn.NORM.INV(S170,D170,'Regressão Grupo 2'!$B$7)&lt;=0,0,IF(_xlfn.NORM.INV(S170,D170,'Regressão Grupo 2'!$B$7)&gt;100%,100%,_xlfn.NORM.INV(S170,D170,'Regressão Grupo 2'!$B$7)))</f>
        <v>0.77498704568596177</v>
      </c>
      <c r="G170" s="41">
        <v>1.8915061158543453E-2</v>
      </c>
      <c r="H170" s="41">
        <v>9.1135533795397936E-3</v>
      </c>
      <c r="I170" s="40">
        <f t="shared" si="26"/>
        <v>0</v>
      </c>
      <c r="J170" s="40">
        <f t="shared" si="27"/>
        <v>141.25771618621715</v>
      </c>
      <c r="K170" s="36">
        <v>0.32458876834931866</v>
      </c>
      <c r="L170" s="42">
        <f t="shared" si="34"/>
        <v>0</v>
      </c>
      <c r="M170" s="42">
        <f t="shared" si="34"/>
        <v>20000</v>
      </c>
      <c r="N170" s="42">
        <f t="shared" si="28"/>
        <v>6491.7753669863732</v>
      </c>
      <c r="O170" s="36">
        <v>2.6285664843079948</v>
      </c>
      <c r="P170" s="42">
        <f t="shared" si="29"/>
        <v>199.8051439075025</v>
      </c>
      <c r="Q170" s="42"/>
      <c r="R170">
        <v>1.7395550401318401E-2</v>
      </c>
      <c r="S170">
        <v>0.22379222998748741</v>
      </c>
      <c r="T170" s="42"/>
      <c r="U170" s="42"/>
    </row>
    <row r="171" spans="1:21" x14ac:dyDescent="0.25">
      <c r="A171" s="40">
        <f t="shared" si="30"/>
        <v>0</v>
      </c>
      <c r="B171" s="40">
        <f t="shared" si="31"/>
        <v>50</v>
      </c>
      <c r="C171" s="41">
        <f t="shared" si="24"/>
        <v>1.0313000000000001</v>
      </c>
      <c r="D171" s="41">
        <f t="shared" si="25"/>
        <v>0.88000000000000012</v>
      </c>
      <c r="E171" s="39">
        <f>IF(_xlfn.NORM.INV(R171,C171,'Regressão Grupo 2'!$B$7)&lt;=0,0,IF(_xlfn.NORM.INV(R171,C171,'Regressão Grupo 2'!$B$7)&gt;100%,100%,_xlfn.NORM.INV(R171,C171,'Regressão Grupo 2'!$B$7)))</f>
        <v>1</v>
      </c>
      <c r="F171" s="39">
        <f>IF(_xlfn.NORM.INV(S171,D171,'Regressão Grupo 2'!$B$7)&lt;=0,0,IF(_xlfn.NORM.INV(S171,D171,'Regressão Grupo 2'!$B$7)&gt;100%,100%,_xlfn.NORM.INV(S171,D171,'Regressão Grupo 2'!$B$7)))</f>
        <v>0.8645400373453338</v>
      </c>
      <c r="G171" s="41">
        <v>2.7344646605179934E-2</v>
      </c>
      <c r="H171" s="41">
        <v>4.4523097848073595E-3</v>
      </c>
      <c r="I171" s="40">
        <f t="shared" si="26"/>
        <v>0</v>
      </c>
      <c r="J171" s="40">
        <f t="shared" si="27"/>
        <v>76.984001352606995</v>
      </c>
      <c r="K171" s="36">
        <v>0.36147334435885592</v>
      </c>
      <c r="L171" s="42">
        <f t="shared" si="34"/>
        <v>0</v>
      </c>
      <c r="M171" s="42">
        <f t="shared" si="34"/>
        <v>20000</v>
      </c>
      <c r="N171" s="42">
        <f t="shared" si="28"/>
        <v>7229.4668871771182</v>
      </c>
      <c r="O171" s="36">
        <v>7.1842514339275514</v>
      </c>
      <c r="P171" s="42">
        <f t="shared" si="29"/>
        <v>-3933.3392416537158</v>
      </c>
      <c r="Q171" s="42"/>
      <c r="R171">
        <v>0.42579424420911283</v>
      </c>
      <c r="S171">
        <v>0.45548875392925808</v>
      </c>
      <c r="T171" s="42"/>
      <c r="U171" s="42"/>
    </row>
    <row r="172" spans="1:21" x14ac:dyDescent="0.25">
      <c r="A172" s="40">
        <f t="shared" si="30"/>
        <v>0</v>
      </c>
      <c r="B172" s="40">
        <f t="shared" si="31"/>
        <v>50</v>
      </c>
      <c r="C172" s="41">
        <f t="shared" si="24"/>
        <v>1.0313000000000001</v>
      </c>
      <c r="D172" s="41">
        <f t="shared" si="25"/>
        <v>0.88000000000000012</v>
      </c>
      <c r="E172" s="39">
        <f>IF(_xlfn.NORM.INV(R172,C172,'Regressão Grupo 2'!$B$7)&lt;=0,0,IF(_xlfn.NORM.INV(R172,C172,'Regressão Grupo 2'!$B$7)&gt;100%,100%,_xlfn.NORM.INV(R172,C172,'Regressão Grupo 2'!$B$7)))</f>
        <v>1</v>
      </c>
      <c r="F172" s="39">
        <f>IF(_xlfn.NORM.INV(S172,D172,'Regressão Grupo 2'!$B$7)&lt;=0,0,IF(_xlfn.NORM.INV(S172,D172,'Regressão Grupo 2'!$B$7)&gt;100%,100%,_xlfn.NORM.INV(S172,D172,'Regressão Grupo 2'!$B$7)))</f>
        <v>0.64933102121510999</v>
      </c>
      <c r="G172" s="41">
        <v>1.3999873262921656E-2</v>
      </c>
      <c r="H172" s="41">
        <v>1.5389636632485239E-2</v>
      </c>
      <c r="I172" s="40">
        <f t="shared" si="26"/>
        <v>0</v>
      </c>
      <c r="J172" s="40">
        <f t="shared" si="27"/>
        <v>199.85936941402213</v>
      </c>
      <c r="K172" s="36">
        <v>0.18744605990345797</v>
      </c>
      <c r="L172" s="42">
        <f t="shared" si="34"/>
        <v>0</v>
      </c>
      <c r="M172" s="42">
        <f t="shared" si="34"/>
        <v>20000</v>
      </c>
      <c r="N172" s="42">
        <f t="shared" si="28"/>
        <v>3748.9211980691593</v>
      </c>
      <c r="O172" s="36">
        <v>7.9378093953619899</v>
      </c>
      <c r="P172" s="42">
        <f t="shared" si="29"/>
        <v>4657.6016923461975</v>
      </c>
      <c r="Q172" s="42"/>
      <c r="R172">
        <v>0.66200750755333104</v>
      </c>
      <c r="S172">
        <v>4.7639393292031616E-2</v>
      </c>
      <c r="T172" s="42"/>
      <c r="U172" s="42"/>
    </row>
    <row r="173" spans="1:21" x14ac:dyDescent="0.25">
      <c r="A173" s="40">
        <f t="shared" si="30"/>
        <v>0</v>
      </c>
      <c r="B173" s="40">
        <f t="shared" si="31"/>
        <v>50</v>
      </c>
      <c r="C173" s="41">
        <f t="shared" si="24"/>
        <v>1.0313000000000001</v>
      </c>
      <c r="D173" s="41">
        <f t="shared" si="25"/>
        <v>0.88000000000000012</v>
      </c>
      <c r="E173" s="39">
        <f>IF(_xlfn.NORM.INV(R173,C173,'Regressão Grupo 2'!$B$7)&lt;=0,0,IF(_xlfn.NORM.INV(R173,C173,'Regressão Grupo 2'!$B$7)&gt;100%,100%,_xlfn.NORM.INV(R173,C173,'Regressão Grupo 2'!$B$7)))</f>
        <v>1</v>
      </c>
      <c r="F173" s="39">
        <f>IF(_xlfn.NORM.INV(S173,D173,'Regressão Grupo 2'!$B$7)&lt;=0,0,IF(_xlfn.NORM.INV(S173,D173,'Regressão Grupo 2'!$B$7)&gt;100%,100%,_xlfn.NORM.INV(S173,D173,'Regressão Grupo 2'!$B$7)))</f>
        <v>0.82680569374874702</v>
      </c>
      <c r="G173" s="41">
        <v>1.4457458671182252E-2</v>
      </c>
      <c r="H173" s="41">
        <v>2.4810940482839116E-2</v>
      </c>
      <c r="I173" s="40">
        <f t="shared" si="26"/>
        <v>0</v>
      </c>
      <c r="J173" s="40">
        <f t="shared" si="27"/>
        <v>410.27653716945332</v>
      </c>
      <c r="K173" s="36">
        <v>0.28242556059747154</v>
      </c>
      <c r="L173" s="42">
        <f t="shared" si="34"/>
        <v>0</v>
      </c>
      <c r="M173" s="42">
        <f t="shared" si="34"/>
        <v>20000</v>
      </c>
      <c r="N173" s="42">
        <f t="shared" si="28"/>
        <v>5648.5112119494306</v>
      </c>
      <c r="O173" s="36">
        <v>3.1837587147183459</v>
      </c>
      <c r="P173" s="42">
        <f t="shared" si="29"/>
        <v>13559.094145865522</v>
      </c>
      <c r="Q173" s="42"/>
      <c r="R173">
        <v>0.69875179296243173</v>
      </c>
      <c r="S173">
        <v>0.35023041474654376</v>
      </c>
      <c r="T173" s="42"/>
      <c r="U173" s="42"/>
    </row>
    <row r="174" spans="1:21" x14ac:dyDescent="0.25">
      <c r="A174" s="40">
        <f t="shared" si="30"/>
        <v>0</v>
      </c>
      <c r="B174" s="40">
        <f t="shared" si="31"/>
        <v>50</v>
      </c>
      <c r="C174" s="41">
        <f t="shared" si="24"/>
        <v>1.0313000000000001</v>
      </c>
      <c r="D174" s="41">
        <f t="shared" si="25"/>
        <v>0.88000000000000012</v>
      </c>
      <c r="E174" s="39">
        <f>IF(_xlfn.NORM.INV(R174,C174,'Regressão Grupo 2'!$B$7)&lt;=0,0,IF(_xlfn.NORM.INV(R174,C174,'Regressão Grupo 2'!$B$7)&gt;100%,100%,_xlfn.NORM.INV(R174,C174,'Regressão Grupo 2'!$B$7)))</f>
        <v>1</v>
      </c>
      <c r="F174" s="39">
        <f>IF(_xlfn.NORM.INV(S174,D174,'Regressão Grupo 2'!$B$7)&lt;=0,0,IF(_xlfn.NORM.INV(S174,D174,'Regressão Grupo 2'!$B$7)&gt;100%,100%,_xlfn.NORM.INV(S174,D174,'Regressão Grupo 2'!$B$7)))</f>
        <v>0.88756165038500845</v>
      </c>
      <c r="G174" s="41">
        <v>1.1589224063055193E-2</v>
      </c>
      <c r="H174" s="41">
        <v>1.573317882911876E-2</v>
      </c>
      <c r="I174" s="40">
        <f t="shared" si="26"/>
        <v>0</v>
      </c>
      <c r="J174" s="40">
        <f t="shared" si="27"/>
        <v>279.2833233475024</v>
      </c>
      <c r="K174" s="36">
        <v>0.2732972548912892</v>
      </c>
      <c r="L174" s="42">
        <f t="shared" si="34"/>
        <v>0</v>
      </c>
      <c r="M174" s="42">
        <f t="shared" si="34"/>
        <v>20000</v>
      </c>
      <c r="N174" s="42">
        <f t="shared" si="28"/>
        <v>5465.9450978257837</v>
      </c>
      <c r="O174" s="36">
        <v>6.7230195918314513</v>
      </c>
      <c r="P174" s="42">
        <f t="shared" si="29"/>
        <v>6620.5938150122793</v>
      </c>
      <c r="Q174" s="42"/>
      <c r="R174">
        <v>0.99511703848384048</v>
      </c>
      <c r="S174">
        <v>0.52180547502060004</v>
      </c>
      <c r="T174" s="42"/>
      <c r="U174" s="42"/>
    </row>
    <row r="175" spans="1:21" x14ac:dyDescent="0.25">
      <c r="A175" s="40">
        <f t="shared" si="30"/>
        <v>0</v>
      </c>
      <c r="B175" s="40">
        <f t="shared" si="31"/>
        <v>50</v>
      </c>
      <c r="C175" s="41">
        <f t="shared" si="24"/>
        <v>1.0313000000000001</v>
      </c>
      <c r="D175" s="41">
        <f t="shared" si="25"/>
        <v>0.88000000000000012</v>
      </c>
      <c r="E175" s="39">
        <f>IF(_xlfn.NORM.INV(R175,C175,'Regressão Grupo 2'!$B$7)&lt;=0,0,IF(_xlfn.NORM.INV(R175,C175,'Regressão Grupo 2'!$B$7)&gt;100%,100%,_xlfn.NORM.INV(R175,C175,'Regressão Grupo 2'!$B$7)))</f>
        <v>0.95068533592689741</v>
      </c>
      <c r="F175" s="39">
        <f>IF(_xlfn.NORM.INV(S175,D175,'Regressão Grupo 2'!$B$7)&lt;=0,0,IF(_xlfn.NORM.INV(S175,D175,'Regressão Grupo 2'!$B$7)&gt;100%,100%,_xlfn.NORM.INV(S175,D175,'Regressão Grupo 2'!$B$7)))</f>
        <v>0.81699460126249424</v>
      </c>
      <c r="G175" s="41">
        <v>1.6458659792531416E-2</v>
      </c>
      <c r="H175" s="41">
        <v>2.6514213026997815E-2</v>
      </c>
      <c r="I175" s="40">
        <f t="shared" si="26"/>
        <v>0</v>
      </c>
      <c r="J175" s="40">
        <f t="shared" si="27"/>
        <v>433.23937799561821</v>
      </c>
      <c r="K175" s="36">
        <v>0.26650937605568381</v>
      </c>
      <c r="L175" s="42">
        <f t="shared" si="34"/>
        <v>0</v>
      </c>
      <c r="M175" s="42">
        <f t="shared" si="34"/>
        <v>20000</v>
      </c>
      <c r="N175" s="42">
        <f t="shared" si="28"/>
        <v>5330.1875211136767</v>
      </c>
      <c r="O175" s="36">
        <v>4.2891008810008895</v>
      </c>
      <c r="P175" s="42">
        <f t="shared" si="29"/>
        <v>14473.573980821951</v>
      </c>
      <c r="Q175" s="42"/>
      <c r="R175">
        <v>0.27994628742332223</v>
      </c>
      <c r="S175">
        <v>0.32432020020142216</v>
      </c>
      <c r="T175" s="42"/>
      <c r="U175" s="42"/>
    </row>
    <row r="176" spans="1:21" x14ac:dyDescent="0.25">
      <c r="A176" s="40">
        <f t="shared" si="30"/>
        <v>0</v>
      </c>
      <c r="B176" s="40">
        <f t="shared" si="31"/>
        <v>50</v>
      </c>
      <c r="C176" s="41">
        <f t="shared" si="24"/>
        <v>1.0313000000000001</v>
      </c>
      <c r="D176" s="41">
        <f t="shared" si="25"/>
        <v>0.88000000000000012</v>
      </c>
      <c r="E176" s="39">
        <f>IF(_xlfn.NORM.INV(R176,C176,'Regressão Grupo 2'!$B$7)&lt;=0,0,IF(_xlfn.NORM.INV(R176,C176,'Regressão Grupo 2'!$B$7)&gt;100%,100%,_xlfn.NORM.INV(R176,C176,'Regressão Grupo 2'!$B$7)))</f>
        <v>1</v>
      </c>
      <c r="F176" s="39">
        <f>IF(_xlfn.NORM.INV(S176,D176,'Regressão Grupo 2'!$B$7)&lt;=0,0,IF(_xlfn.NORM.INV(S176,D176,'Regressão Grupo 2'!$B$7)&gt;100%,100%,_xlfn.NORM.INV(S176,D176,'Regressão Grupo 2'!$B$7)))</f>
        <v>1</v>
      </c>
      <c r="G176" s="41">
        <v>1.7021732295688045E-3</v>
      </c>
      <c r="H176" s="41">
        <v>2.7668726751939446E-2</v>
      </c>
      <c r="I176" s="40">
        <f t="shared" si="26"/>
        <v>0</v>
      </c>
      <c r="J176" s="40">
        <f t="shared" si="27"/>
        <v>553.37453503878896</v>
      </c>
      <c r="K176" s="36">
        <v>0.22585740715965305</v>
      </c>
      <c r="L176" s="42">
        <f t="shared" si="34"/>
        <v>0</v>
      </c>
      <c r="M176" s="42">
        <f t="shared" si="34"/>
        <v>20000</v>
      </c>
      <c r="N176" s="42">
        <f t="shared" si="28"/>
        <v>4517.1481431930606</v>
      </c>
      <c r="O176" s="36">
        <v>8.5465078446408889</v>
      </c>
      <c r="P176" s="42">
        <f t="shared" si="29"/>
        <v>18422.158804012877</v>
      </c>
      <c r="Q176" s="42"/>
      <c r="R176">
        <v>0.73424481948301645</v>
      </c>
      <c r="S176">
        <v>0.87682729575487528</v>
      </c>
      <c r="T176" s="42"/>
      <c r="U176" s="42"/>
    </row>
    <row r="177" spans="1:21" x14ac:dyDescent="0.25">
      <c r="A177" s="40">
        <f t="shared" si="30"/>
        <v>0</v>
      </c>
      <c r="B177" s="40">
        <f t="shared" si="31"/>
        <v>50</v>
      </c>
      <c r="C177" s="41">
        <f t="shared" si="24"/>
        <v>1.0313000000000001</v>
      </c>
      <c r="D177" s="41">
        <f t="shared" si="25"/>
        <v>0.88000000000000012</v>
      </c>
      <c r="E177" s="39">
        <f>IF(_xlfn.NORM.INV(R177,C177,'Regressão Grupo 2'!$B$7)&lt;=0,0,IF(_xlfn.NORM.INV(R177,C177,'Regressão Grupo 2'!$B$7)&gt;100%,100%,_xlfn.NORM.INV(R177,C177,'Regressão Grupo 2'!$B$7)))</f>
        <v>1</v>
      </c>
      <c r="F177" s="39">
        <f>IF(_xlfn.NORM.INV(S177,D177,'Regressão Grupo 2'!$B$7)&lt;=0,0,IF(_xlfn.NORM.INV(S177,D177,'Regressão Grupo 2'!$B$7)&gt;100%,100%,_xlfn.NORM.INV(S177,D177,'Regressão Grupo 2'!$B$7)))</f>
        <v>1</v>
      </c>
      <c r="G177" s="41">
        <v>2.1604072413567332E-2</v>
      </c>
      <c r="H177" s="41">
        <v>4.2837601702580249E-3</v>
      </c>
      <c r="I177" s="40">
        <f t="shared" si="26"/>
        <v>0</v>
      </c>
      <c r="J177" s="40">
        <f t="shared" si="27"/>
        <v>85.675203405160502</v>
      </c>
      <c r="K177" s="36">
        <v>0.30062964130889069</v>
      </c>
      <c r="L177" s="42">
        <f t="shared" si="34"/>
        <v>0</v>
      </c>
      <c r="M177" s="42">
        <f t="shared" si="34"/>
        <v>20000</v>
      </c>
      <c r="N177" s="42">
        <f t="shared" si="28"/>
        <v>6012.5928261778135</v>
      </c>
      <c r="O177" s="36">
        <v>9.2748745300479349</v>
      </c>
      <c r="P177" s="42">
        <f t="shared" si="29"/>
        <v>-2523.459417838988</v>
      </c>
      <c r="Q177" s="42"/>
      <c r="R177">
        <v>0.82763145847956787</v>
      </c>
      <c r="S177">
        <v>0.85274819177831351</v>
      </c>
      <c r="T177" s="42"/>
      <c r="U177" s="42"/>
    </row>
    <row r="178" spans="1:21" x14ac:dyDescent="0.25">
      <c r="A178" s="40">
        <f t="shared" si="30"/>
        <v>0</v>
      </c>
      <c r="B178" s="40">
        <f t="shared" si="31"/>
        <v>50</v>
      </c>
      <c r="C178" s="41">
        <f t="shared" si="24"/>
        <v>1.0313000000000001</v>
      </c>
      <c r="D178" s="41">
        <f t="shared" si="25"/>
        <v>0.88000000000000012</v>
      </c>
      <c r="E178" s="39">
        <f>IF(_xlfn.NORM.INV(R178,C178,'Regressão Grupo 2'!$B$7)&lt;=0,0,IF(_xlfn.NORM.INV(R178,C178,'Regressão Grupo 2'!$B$7)&gt;100%,100%,_xlfn.NORM.INV(R178,C178,'Regressão Grupo 2'!$B$7)))</f>
        <v>1</v>
      </c>
      <c r="F178" s="39">
        <f>IF(_xlfn.NORM.INV(S178,D178,'Regressão Grupo 2'!$B$7)&lt;=0,0,IF(_xlfn.NORM.INV(S178,D178,'Regressão Grupo 2'!$B$7)&gt;100%,100%,_xlfn.NORM.INV(S178,D178,'Regressão Grupo 2'!$B$7)))</f>
        <v>1</v>
      </c>
      <c r="G178" s="41">
        <v>2.0796951799437888E-2</v>
      </c>
      <c r="H178" s="41">
        <v>4.7595438696194699E-3</v>
      </c>
      <c r="I178" s="40">
        <f t="shared" si="26"/>
        <v>0</v>
      </c>
      <c r="J178" s="40">
        <f t="shared" si="27"/>
        <v>95.190877392389396</v>
      </c>
      <c r="K178" s="36">
        <v>0.21071824449062557</v>
      </c>
      <c r="L178" s="42">
        <f t="shared" si="34"/>
        <v>0</v>
      </c>
      <c r="M178" s="42">
        <f t="shared" si="34"/>
        <v>20000</v>
      </c>
      <c r="N178" s="42">
        <f t="shared" si="28"/>
        <v>4214.3648898125111</v>
      </c>
      <c r="O178" s="36">
        <v>7.8723999349561193</v>
      </c>
      <c r="P178" s="42">
        <f t="shared" si="29"/>
        <v>-204.20167718530365</v>
      </c>
      <c r="Q178" s="42"/>
      <c r="R178">
        <v>0.60533463545640431</v>
      </c>
      <c r="S178">
        <v>0.98245185705130167</v>
      </c>
      <c r="T178" s="42"/>
      <c r="U178" s="42"/>
    </row>
    <row r="179" spans="1:21" x14ac:dyDescent="0.25">
      <c r="A179" s="40">
        <f t="shared" si="30"/>
        <v>0</v>
      </c>
      <c r="B179" s="40">
        <f t="shared" si="31"/>
        <v>50</v>
      </c>
      <c r="C179" s="41">
        <f t="shared" si="24"/>
        <v>1.0313000000000001</v>
      </c>
      <c r="D179" s="41">
        <f t="shared" si="25"/>
        <v>0.88000000000000012</v>
      </c>
      <c r="E179" s="39">
        <f>IF(_xlfn.NORM.INV(R179,C179,'Regressão Grupo 2'!$B$7)&lt;=0,0,IF(_xlfn.NORM.INV(R179,C179,'Regressão Grupo 2'!$B$7)&gt;100%,100%,_xlfn.NORM.INV(R179,C179,'Regressão Grupo 2'!$B$7)))</f>
        <v>0.84647601016998575</v>
      </c>
      <c r="F179" s="39">
        <f>IF(_xlfn.NORM.INV(S179,D179,'Regressão Grupo 2'!$B$7)&lt;=0,0,IF(_xlfn.NORM.INV(S179,D179,'Regressão Grupo 2'!$B$7)&gt;100%,100%,_xlfn.NORM.INV(S179,D179,'Regressão Grupo 2'!$B$7)))</f>
        <v>0.71403727024858787</v>
      </c>
      <c r="G179" s="41">
        <v>1.1440696957405405E-2</v>
      </c>
      <c r="H179" s="41">
        <v>1.60457402378744E-2</v>
      </c>
      <c r="I179" s="40">
        <f t="shared" si="26"/>
        <v>0</v>
      </c>
      <c r="J179" s="40">
        <f t="shared" si="27"/>
        <v>229.14513117139529</v>
      </c>
      <c r="K179" s="36">
        <v>0.2076858218566533</v>
      </c>
      <c r="L179" s="42">
        <f t="shared" si="34"/>
        <v>0</v>
      </c>
      <c r="M179" s="42">
        <f t="shared" si="34"/>
        <v>20000</v>
      </c>
      <c r="N179" s="42">
        <f t="shared" si="28"/>
        <v>4153.7164371330655</v>
      </c>
      <c r="O179" s="36">
        <v>6.2177783606976984</v>
      </c>
      <c r="P179" s="42">
        <f t="shared" si="29"/>
        <v>5878.7664833799627</v>
      </c>
      <c r="Q179" s="42"/>
      <c r="R179">
        <v>9.0670491653187663E-2</v>
      </c>
      <c r="S179">
        <v>0.11502426221503342</v>
      </c>
      <c r="T179" s="42"/>
      <c r="U179" s="42"/>
    </row>
    <row r="180" spans="1:21" x14ac:dyDescent="0.25">
      <c r="A180" s="40">
        <f t="shared" si="30"/>
        <v>0</v>
      </c>
      <c r="B180" s="40">
        <f t="shared" si="31"/>
        <v>50</v>
      </c>
      <c r="C180" s="41">
        <f t="shared" si="24"/>
        <v>1.0313000000000001</v>
      </c>
      <c r="D180" s="41">
        <f t="shared" si="25"/>
        <v>0.88000000000000012</v>
      </c>
      <c r="E180" s="39">
        <f>IF(_xlfn.NORM.INV(R180,C180,'Regressão Grupo 2'!$B$7)&lt;=0,0,IF(_xlfn.NORM.INV(R180,C180,'Regressão Grupo 2'!$B$7)&gt;100%,100%,_xlfn.NORM.INV(R180,C180,'Regressão Grupo 2'!$B$7)))</f>
        <v>0.95515713387272982</v>
      </c>
      <c r="F180" s="39">
        <f>IF(_xlfn.NORM.INV(S180,D180,'Regressão Grupo 2'!$B$7)&lt;=0,0,IF(_xlfn.NORM.INV(S180,D180,'Regressão Grupo 2'!$B$7)&gt;100%,100%,_xlfn.NORM.INV(S180,D180,'Regressão Grupo 2'!$B$7)))</f>
        <v>0.92485779373490085</v>
      </c>
      <c r="G180" s="41">
        <v>2.0446844103622609E-2</v>
      </c>
      <c r="H180" s="41">
        <v>1.9774183448397379E-2</v>
      </c>
      <c r="I180" s="40">
        <f t="shared" si="26"/>
        <v>0</v>
      </c>
      <c r="J180" s="40">
        <f t="shared" si="27"/>
        <v>365.76615353987984</v>
      </c>
      <c r="K180" s="36">
        <v>0.33366966008934962</v>
      </c>
      <c r="L180" s="42">
        <f t="shared" si="34"/>
        <v>0</v>
      </c>
      <c r="M180" s="42">
        <f t="shared" si="34"/>
        <v>20000</v>
      </c>
      <c r="N180" s="42">
        <f t="shared" si="28"/>
        <v>6673.393201786992</v>
      </c>
      <c r="O180" s="36">
        <v>4.5232774429816978</v>
      </c>
      <c r="P180" s="42">
        <f t="shared" si="29"/>
        <v>9960.4526834938806</v>
      </c>
      <c r="Q180" s="42"/>
      <c r="R180">
        <v>0.29093295083468124</v>
      </c>
      <c r="S180">
        <v>0.62718588824121835</v>
      </c>
      <c r="T180" s="42"/>
      <c r="U180" s="42"/>
    </row>
    <row r="181" spans="1:21" x14ac:dyDescent="0.25">
      <c r="A181" s="40">
        <f t="shared" si="30"/>
        <v>0</v>
      </c>
      <c r="B181" s="40">
        <f t="shared" si="31"/>
        <v>50</v>
      </c>
      <c r="C181" s="41">
        <f t="shared" si="24"/>
        <v>1.0313000000000001</v>
      </c>
      <c r="D181" s="41">
        <f t="shared" si="25"/>
        <v>0.88000000000000012</v>
      </c>
      <c r="E181" s="39">
        <f>IF(_xlfn.NORM.INV(R181,C181,'Regressão Grupo 2'!$B$7)&lt;=0,0,IF(_xlfn.NORM.INV(R181,C181,'Regressão Grupo 2'!$B$7)&gt;100%,100%,_xlfn.NORM.INV(R181,C181,'Regressão Grupo 2'!$B$7)))</f>
        <v>1</v>
      </c>
      <c r="F181" s="39">
        <f>IF(_xlfn.NORM.INV(S181,D181,'Regressão Grupo 2'!$B$7)&lt;=0,0,IF(_xlfn.NORM.INV(S181,D181,'Regressão Grupo 2'!$B$7)&gt;100%,100%,_xlfn.NORM.INV(S181,D181,'Regressão Grupo 2'!$B$7)))</f>
        <v>0.97964364997496811</v>
      </c>
      <c r="G181" s="41">
        <v>1.6819763911718841E-2</v>
      </c>
      <c r="H181" s="41">
        <v>1.0684094739810234E-2</v>
      </c>
      <c r="I181" s="40">
        <f t="shared" si="26"/>
        <v>0</v>
      </c>
      <c r="J181" s="40">
        <f t="shared" si="27"/>
        <v>209.3321113517211</v>
      </c>
      <c r="K181" s="36">
        <v>0.16861430561833179</v>
      </c>
      <c r="L181" s="42">
        <f t="shared" si="34"/>
        <v>0</v>
      </c>
      <c r="M181" s="42">
        <f t="shared" si="34"/>
        <v>20000</v>
      </c>
      <c r="N181" s="42">
        <f t="shared" si="28"/>
        <v>3372.2861123666357</v>
      </c>
      <c r="O181" s="36">
        <v>7.929673173078811</v>
      </c>
      <c r="P181" s="42">
        <f t="shared" si="29"/>
        <v>5434.3842275697298</v>
      </c>
      <c r="Q181" s="42"/>
      <c r="R181">
        <v>0.69402142399365219</v>
      </c>
      <c r="S181">
        <v>0.76442762535477771</v>
      </c>
      <c r="T181" s="42"/>
      <c r="U181" s="42"/>
    </row>
    <row r="182" spans="1:21" x14ac:dyDescent="0.25">
      <c r="A182" s="40">
        <f t="shared" si="30"/>
        <v>0</v>
      </c>
      <c r="B182" s="40">
        <f t="shared" si="31"/>
        <v>50</v>
      </c>
      <c r="C182" s="41">
        <f t="shared" si="24"/>
        <v>1.0313000000000001</v>
      </c>
      <c r="D182" s="41">
        <f t="shared" si="25"/>
        <v>0.88000000000000012</v>
      </c>
      <c r="E182" s="39">
        <f>IF(_xlfn.NORM.INV(R182,C182,'Regressão Grupo 2'!$B$7)&lt;=0,0,IF(_xlfn.NORM.INV(R182,C182,'Regressão Grupo 2'!$B$7)&gt;100%,100%,_xlfn.NORM.INV(R182,C182,'Regressão Grupo 2'!$B$7)))</f>
        <v>1</v>
      </c>
      <c r="F182" s="39">
        <f>IF(_xlfn.NORM.INV(S182,D182,'Regressão Grupo 2'!$B$7)&lt;=0,0,IF(_xlfn.NORM.INV(S182,D182,'Regressão Grupo 2'!$B$7)&gt;100%,100%,_xlfn.NORM.INV(S182,D182,'Regressão Grupo 2'!$B$7)))</f>
        <v>0.94903998638590847</v>
      </c>
      <c r="G182" s="41">
        <v>2.014791568985469E-2</v>
      </c>
      <c r="H182" s="41">
        <v>1.6294505355762441E-2</v>
      </c>
      <c r="I182" s="40">
        <f t="shared" si="26"/>
        <v>0</v>
      </c>
      <c r="J182" s="40">
        <f t="shared" si="27"/>
        <v>309.282742819958</v>
      </c>
      <c r="K182" s="36">
        <v>0.20495257623644592</v>
      </c>
      <c r="L182" s="42">
        <f t="shared" si="34"/>
        <v>0</v>
      </c>
      <c r="M182" s="42">
        <f t="shared" si="34"/>
        <v>20000</v>
      </c>
      <c r="N182" s="42">
        <f t="shared" si="28"/>
        <v>4099.0515247289186</v>
      </c>
      <c r="O182" s="36">
        <v>8.2347844960414349</v>
      </c>
      <c r="P182" s="42">
        <f t="shared" si="29"/>
        <v>8818.2088808020198</v>
      </c>
      <c r="Q182" s="42"/>
      <c r="R182">
        <v>0.74794763023773914</v>
      </c>
      <c r="S182">
        <v>0.69121372112186041</v>
      </c>
      <c r="T182" s="42"/>
      <c r="U182" s="42"/>
    </row>
    <row r="183" spans="1:21" x14ac:dyDescent="0.25">
      <c r="A183" s="40">
        <f t="shared" si="30"/>
        <v>0</v>
      </c>
      <c r="B183" s="40">
        <f t="shared" si="31"/>
        <v>50</v>
      </c>
      <c r="C183" s="41">
        <f t="shared" si="24"/>
        <v>1.0313000000000001</v>
      </c>
      <c r="D183" s="41">
        <f t="shared" si="25"/>
        <v>0.88000000000000012</v>
      </c>
      <c r="E183" s="39">
        <f>IF(_xlfn.NORM.INV(R183,C183,'Regressão Grupo 2'!$B$7)&lt;=0,0,IF(_xlfn.NORM.INV(R183,C183,'Regressão Grupo 2'!$B$7)&gt;100%,100%,_xlfn.NORM.INV(R183,C183,'Regressão Grupo 2'!$B$7)))</f>
        <v>0.93626416661669387</v>
      </c>
      <c r="F183" s="39">
        <f>IF(_xlfn.NORM.INV(S183,D183,'Regressão Grupo 2'!$B$7)&lt;=0,0,IF(_xlfn.NORM.INV(S183,D183,'Regressão Grupo 2'!$B$7)&gt;100%,100%,_xlfn.NORM.INV(S183,D183,'Regressão Grupo 2'!$B$7)))</f>
        <v>0.96482742241316788</v>
      </c>
      <c r="G183" s="41">
        <v>2.3762469810451874E-2</v>
      </c>
      <c r="H183" s="41">
        <v>1.4853466267099328E-2</v>
      </c>
      <c r="I183" s="40">
        <f t="shared" si="26"/>
        <v>0</v>
      </c>
      <c r="J183" s="40">
        <f t="shared" si="27"/>
        <v>286.62063144772765</v>
      </c>
      <c r="K183" s="36">
        <v>0.23449930163914778</v>
      </c>
      <c r="L183" s="42">
        <f t="shared" ref="L183:M198" si="35">L182</f>
        <v>0</v>
      </c>
      <c r="M183" s="42">
        <f t="shared" si="35"/>
        <v>20000</v>
      </c>
      <c r="N183" s="42">
        <f t="shared" si="28"/>
        <v>4689.9860327829556</v>
      </c>
      <c r="O183" s="36">
        <v>6.2305273486088781</v>
      </c>
      <c r="P183" s="42">
        <f t="shared" si="29"/>
        <v>7855.247856692813</v>
      </c>
      <c r="Q183" s="42"/>
      <c r="R183">
        <v>0.24594866786706138</v>
      </c>
      <c r="S183">
        <v>0.73021637623218483</v>
      </c>
      <c r="T183" s="42"/>
      <c r="U183" s="42"/>
    </row>
    <row r="184" spans="1:21" x14ac:dyDescent="0.25">
      <c r="A184" s="40">
        <f t="shared" si="30"/>
        <v>0</v>
      </c>
      <c r="B184" s="40">
        <f t="shared" si="31"/>
        <v>50</v>
      </c>
      <c r="C184" s="41">
        <f t="shared" si="24"/>
        <v>1.0313000000000001</v>
      </c>
      <c r="D184" s="41">
        <f t="shared" si="25"/>
        <v>0.88000000000000012</v>
      </c>
      <c r="E184" s="39">
        <f>IF(_xlfn.NORM.INV(R184,C184,'Regressão Grupo 2'!$B$7)&lt;=0,0,IF(_xlfn.NORM.INV(R184,C184,'Regressão Grupo 2'!$B$7)&gt;100%,100%,_xlfn.NORM.INV(R184,C184,'Regressão Grupo 2'!$B$7)))</f>
        <v>1</v>
      </c>
      <c r="F184" s="39">
        <f>IF(_xlfn.NORM.INV(S184,D184,'Regressão Grupo 2'!$B$7)&lt;=0,0,IF(_xlfn.NORM.INV(S184,D184,'Regressão Grupo 2'!$B$7)&gt;100%,100%,_xlfn.NORM.INV(S184,D184,'Regressão Grupo 2'!$B$7)))</f>
        <v>0.92124915131176821</v>
      </c>
      <c r="G184" s="41">
        <v>2.1320134313233784E-2</v>
      </c>
      <c r="H184" s="41">
        <v>1.8244046232949028E-2</v>
      </c>
      <c r="I184" s="40">
        <f t="shared" si="26"/>
        <v>0</v>
      </c>
      <c r="J184" s="40">
        <f t="shared" si="27"/>
        <v>336.14624217193904</v>
      </c>
      <c r="K184" s="36">
        <v>0.27383732803499705</v>
      </c>
      <c r="L184" s="42">
        <f t="shared" si="35"/>
        <v>0</v>
      </c>
      <c r="M184" s="42">
        <f t="shared" si="35"/>
        <v>20000</v>
      </c>
      <c r="N184" s="42">
        <f t="shared" si="28"/>
        <v>5476.7465606999413</v>
      </c>
      <c r="O184" s="36">
        <v>6.7146860462926421</v>
      </c>
      <c r="P184" s="42">
        <f t="shared" si="29"/>
        <v>9073.4490660713836</v>
      </c>
      <c r="Q184" s="42"/>
      <c r="R184">
        <v>0.4251838740195929</v>
      </c>
      <c r="S184">
        <v>0.61726737266151921</v>
      </c>
      <c r="T184" s="42"/>
      <c r="U184" s="42"/>
    </row>
    <row r="185" spans="1:21" x14ac:dyDescent="0.25">
      <c r="A185" s="40">
        <f t="shared" si="30"/>
        <v>0</v>
      </c>
      <c r="B185" s="40">
        <f t="shared" si="31"/>
        <v>50</v>
      </c>
      <c r="C185" s="41">
        <f t="shared" si="24"/>
        <v>1.0313000000000001</v>
      </c>
      <c r="D185" s="41">
        <f t="shared" si="25"/>
        <v>0.88000000000000012</v>
      </c>
      <c r="E185" s="39">
        <f>IF(_xlfn.NORM.INV(R185,C185,'Regressão Grupo 2'!$B$7)&lt;=0,0,IF(_xlfn.NORM.INV(R185,C185,'Regressão Grupo 2'!$B$7)&gt;100%,100%,_xlfn.NORM.INV(R185,C185,'Regressão Grupo 2'!$B$7)))</f>
        <v>1</v>
      </c>
      <c r="F185" s="39">
        <f>IF(_xlfn.NORM.INV(S185,D185,'Regressão Grupo 2'!$B$7)&lt;=0,0,IF(_xlfn.NORM.INV(S185,D185,'Regressão Grupo 2'!$B$7)&gt;100%,100%,_xlfn.NORM.INV(S185,D185,'Regressão Grupo 2'!$B$7)))</f>
        <v>0.95635221621274624</v>
      </c>
      <c r="G185" s="41">
        <v>8.1613665788398525E-3</v>
      </c>
      <c r="H185" s="41">
        <v>1.2371973534615863E-2</v>
      </c>
      <c r="I185" s="40">
        <f t="shared" si="26"/>
        <v>0</v>
      </c>
      <c r="J185" s="40">
        <f t="shared" si="27"/>
        <v>236.63928617510646</v>
      </c>
      <c r="K185" s="36">
        <v>0.44746329727650735</v>
      </c>
      <c r="L185" s="42">
        <f t="shared" si="35"/>
        <v>0</v>
      </c>
      <c r="M185" s="42">
        <f t="shared" si="35"/>
        <v>20000</v>
      </c>
      <c r="N185" s="42">
        <f t="shared" si="28"/>
        <v>8949.2659455301473</v>
      </c>
      <c r="O185" s="36">
        <v>4.700124773480332</v>
      </c>
      <c r="P185" s="42">
        <f t="shared" si="29"/>
        <v>1770.4641918948564</v>
      </c>
      <c r="Q185" s="42"/>
      <c r="R185">
        <v>0.54942472609637749</v>
      </c>
      <c r="S185">
        <v>0.70958586382641076</v>
      </c>
      <c r="T185" s="42"/>
      <c r="U185" s="42"/>
    </row>
    <row r="186" spans="1:21" x14ac:dyDescent="0.25">
      <c r="A186" s="40">
        <f t="shared" si="30"/>
        <v>0</v>
      </c>
      <c r="B186" s="40">
        <f t="shared" si="31"/>
        <v>50</v>
      </c>
      <c r="C186" s="41">
        <f t="shared" si="24"/>
        <v>1.0313000000000001</v>
      </c>
      <c r="D186" s="41">
        <f t="shared" si="25"/>
        <v>0.88000000000000012</v>
      </c>
      <c r="E186" s="39">
        <f>IF(_xlfn.NORM.INV(R186,C186,'Regressão Grupo 2'!$B$7)&lt;=0,0,IF(_xlfn.NORM.INV(R186,C186,'Regressão Grupo 2'!$B$7)&gt;100%,100%,_xlfn.NORM.INV(R186,C186,'Regressão Grupo 2'!$B$7)))</f>
        <v>1</v>
      </c>
      <c r="F186" s="39">
        <f>IF(_xlfn.NORM.INV(S186,D186,'Regressão Grupo 2'!$B$7)&lt;=0,0,IF(_xlfn.NORM.INV(S186,D186,'Regressão Grupo 2'!$B$7)&gt;100%,100%,_xlfn.NORM.INV(S186,D186,'Regressão Grupo 2'!$B$7)))</f>
        <v>0.69226662911834347</v>
      </c>
      <c r="G186" s="41">
        <v>1.6477476005137374E-2</v>
      </c>
      <c r="H186" s="41">
        <v>3.7502098024806653E-3</v>
      </c>
      <c r="I186" s="40">
        <f t="shared" si="26"/>
        <v>0</v>
      </c>
      <c r="J186" s="40">
        <f t="shared" si="27"/>
        <v>51.922901968997174</v>
      </c>
      <c r="K186" s="36">
        <v>0.15062683102157501</v>
      </c>
      <c r="L186" s="42">
        <f t="shared" si="35"/>
        <v>0</v>
      </c>
      <c r="M186" s="42">
        <f t="shared" si="35"/>
        <v>20000</v>
      </c>
      <c r="N186" s="42">
        <f t="shared" si="28"/>
        <v>3012.5366204315001</v>
      </c>
      <c r="O186" s="36">
        <v>3.6743116003252876</v>
      </c>
      <c r="P186" s="42">
        <f t="shared" si="29"/>
        <v>-607.17244300888024</v>
      </c>
      <c r="Q186" s="42"/>
      <c r="R186">
        <v>0.413251136814478</v>
      </c>
      <c r="S186">
        <v>8.7282937101351973E-2</v>
      </c>
      <c r="T186" s="42"/>
      <c r="U186" s="42"/>
    </row>
    <row r="187" spans="1:21" x14ac:dyDescent="0.25">
      <c r="A187" s="40">
        <f t="shared" si="30"/>
        <v>0</v>
      </c>
      <c r="B187" s="40">
        <f t="shared" si="31"/>
        <v>50</v>
      </c>
      <c r="C187" s="41">
        <f t="shared" si="24"/>
        <v>1.0313000000000001</v>
      </c>
      <c r="D187" s="41">
        <f t="shared" si="25"/>
        <v>0.88000000000000012</v>
      </c>
      <c r="E187" s="39">
        <f>IF(_xlfn.NORM.INV(R187,C187,'Regressão Grupo 2'!$B$7)&lt;=0,0,IF(_xlfn.NORM.INV(R187,C187,'Regressão Grupo 2'!$B$7)&gt;100%,100%,_xlfn.NORM.INV(R187,C187,'Regressão Grupo 2'!$B$7)))</f>
        <v>0.91381441354299908</v>
      </c>
      <c r="F187" s="39">
        <f>IF(_xlfn.NORM.INV(S187,D187,'Regressão Grupo 2'!$B$7)&lt;=0,0,IF(_xlfn.NORM.INV(S187,D187,'Regressão Grupo 2'!$B$7)&gt;100%,100%,_xlfn.NORM.INV(S187,D187,'Regressão Grupo 2'!$B$7)))</f>
        <v>0.88178241930153789</v>
      </c>
      <c r="G187" s="41">
        <v>3.8175085344200441E-3</v>
      </c>
      <c r="H187" s="41">
        <v>1.3800057844372469E-2</v>
      </c>
      <c r="I187" s="40">
        <f t="shared" si="26"/>
        <v>0</v>
      </c>
      <c r="J187" s="40">
        <f t="shared" si="27"/>
        <v>243.37296785023841</v>
      </c>
      <c r="K187" s="36">
        <v>0.20801823101875849</v>
      </c>
      <c r="L187" s="42">
        <f t="shared" si="35"/>
        <v>0</v>
      </c>
      <c r="M187" s="42">
        <f t="shared" si="35"/>
        <v>20000</v>
      </c>
      <c r="N187" s="42">
        <f t="shared" si="28"/>
        <v>4160.3646203751696</v>
      </c>
      <c r="O187" s="36">
        <v>9.2869095434966713</v>
      </c>
      <c r="P187" s="42">
        <f t="shared" si="29"/>
        <v>5748.1010343792632</v>
      </c>
      <c r="Q187" s="42"/>
      <c r="R187">
        <v>0.19775994140446182</v>
      </c>
      <c r="S187">
        <v>0.50514236884670549</v>
      </c>
      <c r="T187" s="42"/>
      <c r="U187" s="42"/>
    </row>
    <row r="188" spans="1:21" x14ac:dyDescent="0.25">
      <c r="A188" s="40">
        <f t="shared" si="30"/>
        <v>0</v>
      </c>
      <c r="B188" s="40">
        <f t="shared" si="31"/>
        <v>50</v>
      </c>
      <c r="C188" s="41">
        <f t="shared" si="24"/>
        <v>1.0313000000000001</v>
      </c>
      <c r="D188" s="41">
        <f t="shared" si="25"/>
        <v>0.88000000000000012</v>
      </c>
      <c r="E188" s="39">
        <f>IF(_xlfn.NORM.INV(R188,C188,'Regressão Grupo 2'!$B$7)&lt;=0,0,IF(_xlfn.NORM.INV(R188,C188,'Regressão Grupo 2'!$B$7)&gt;100%,100%,_xlfn.NORM.INV(R188,C188,'Regressão Grupo 2'!$B$7)))</f>
        <v>0.81247528527072377</v>
      </c>
      <c r="F188" s="39">
        <f>IF(_xlfn.NORM.INV(S188,D188,'Regressão Grupo 2'!$B$7)&lt;=0,0,IF(_xlfn.NORM.INV(S188,D188,'Regressão Grupo 2'!$B$7)&gt;100%,100%,_xlfn.NORM.INV(S188,D188,'Regressão Grupo 2'!$B$7)))</f>
        <v>0.8114986834422091</v>
      </c>
      <c r="G188" s="41">
        <v>2.244437815813706E-2</v>
      </c>
      <c r="H188" s="41">
        <v>5.1236805961991493E-3</v>
      </c>
      <c r="I188" s="40">
        <f t="shared" si="26"/>
        <v>0</v>
      </c>
      <c r="J188" s="40">
        <f t="shared" si="27"/>
        <v>83.15720116388006</v>
      </c>
      <c r="K188" s="36">
        <v>0.29287340534611589</v>
      </c>
      <c r="L188" s="42">
        <f t="shared" si="35"/>
        <v>0</v>
      </c>
      <c r="M188" s="42">
        <f t="shared" si="35"/>
        <v>20000</v>
      </c>
      <c r="N188" s="42">
        <f t="shared" si="28"/>
        <v>5857.4681069223179</v>
      </c>
      <c r="O188" s="36">
        <v>4.4080644553697184</v>
      </c>
      <c r="P188" s="42">
        <f t="shared" si="29"/>
        <v>-2066.1703513868442</v>
      </c>
      <c r="Q188" s="42"/>
      <c r="R188">
        <v>5.6764427625354781E-2</v>
      </c>
      <c r="S188">
        <v>0.31015961180455948</v>
      </c>
      <c r="T188" s="42"/>
      <c r="U188" s="42"/>
    </row>
    <row r="189" spans="1:21" x14ac:dyDescent="0.25">
      <c r="A189" s="40">
        <f t="shared" si="30"/>
        <v>0</v>
      </c>
      <c r="B189" s="40">
        <f t="shared" si="31"/>
        <v>50</v>
      </c>
      <c r="C189" s="41">
        <f t="shared" si="24"/>
        <v>1.0313000000000001</v>
      </c>
      <c r="D189" s="41">
        <f t="shared" si="25"/>
        <v>0.88000000000000012</v>
      </c>
      <c r="E189" s="39">
        <f>IF(_xlfn.NORM.INV(R189,C189,'Regressão Grupo 2'!$B$7)&lt;=0,0,IF(_xlfn.NORM.INV(R189,C189,'Regressão Grupo 2'!$B$7)&gt;100%,100%,_xlfn.NORM.INV(R189,C189,'Regressão Grupo 2'!$B$7)))</f>
        <v>0.97293040540488762</v>
      </c>
      <c r="F189" s="39">
        <f>IF(_xlfn.NORM.INV(S189,D189,'Regressão Grupo 2'!$B$7)&lt;=0,0,IF(_xlfn.NORM.INV(S189,D189,'Regressão Grupo 2'!$B$7)&gt;100%,100%,_xlfn.NORM.INV(S189,D189,'Regressão Grupo 2'!$B$7)))</f>
        <v>1</v>
      </c>
      <c r="G189" s="41">
        <v>2.1457446617313355E-2</v>
      </c>
      <c r="H189" s="41">
        <v>2.8248475194106459E-2</v>
      </c>
      <c r="I189" s="40">
        <f t="shared" si="26"/>
        <v>0</v>
      </c>
      <c r="J189" s="40">
        <f t="shared" si="27"/>
        <v>564.96950388212917</v>
      </c>
      <c r="K189" s="36">
        <v>0.27045403994860973</v>
      </c>
      <c r="L189" s="42">
        <f t="shared" si="35"/>
        <v>0</v>
      </c>
      <c r="M189" s="42">
        <f t="shared" si="35"/>
        <v>20000</v>
      </c>
      <c r="N189" s="42">
        <f t="shared" si="28"/>
        <v>5409.0807989721943</v>
      </c>
      <c r="O189" s="36">
        <v>7.3654689300800857</v>
      </c>
      <c r="P189" s="42">
        <f t="shared" si="29"/>
        <v>18678.129067847683</v>
      </c>
      <c r="Q189" s="42"/>
      <c r="R189">
        <v>0.33646656697286903</v>
      </c>
      <c r="S189">
        <v>0.86443678090762044</v>
      </c>
      <c r="T189" s="42"/>
      <c r="U189" s="42"/>
    </row>
    <row r="190" spans="1:21" x14ac:dyDescent="0.25">
      <c r="A190" s="40">
        <f t="shared" si="30"/>
        <v>0</v>
      </c>
      <c r="B190" s="40">
        <f t="shared" si="31"/>
        <v>50</v>
      </c>
      <c r="C190" s="41">
        <f t="shared" si="24"/>
        <v>1.0313000000000001</v>
      </c>
      <c r="D190" s="41">
        <f t="shared" si="25"/>
        <v>0.88000000000000012</v>
      </c>
      <c r="E190" s="39">
        <f>IF(_xlfn.NORM.INV(R190,C190,'Regressão Grupo 2'!$B$7)&lt;=0,0,IF(_xlfn.NORM.INV(R190,C190,'Regressão Grupo 2'!$B$7)&gt;100%,100%,_xlfn.NORM.INV(R190,C190,'Regressão Grupo 2'!$B$7)))</f>
        <v>0.81743893018945568</v>
      </c>
      <c r="F190" s="39">
        <f>IF(_xlfn.NORM.INV(S190,D190,'Regressão Grupo 2'!$B$7)&lt;=0,0,IF(_xlfn.NORM.INV(S190,D190,'Regressão Grupo 2'!$B$7)&gt;100%,100%,_xlfn.NORM.INV(S190,D190,'Regressão Grupo 2'!$B$7)))</f>
        <v>1</v>
      </c>
      <c r="G190" s="41">
        <v>1.5034403686242337E-2</v>
      </c>
      <c r="H190" s="41">
        <v>6.9467373771265875E-3</v>
      </c>
      <c r="I190" s="40">
        <f t="shared" si="26"/>
        <v>0</v>
      </c>
      <c r="J190" s="40">
        <f t="shared" si="27"/>
        <v>138.93474754253174</v>
      </c>
      <c r="K190" s="36">
        <v>0.31731485743808774</v>
      </c>
      <c r="L190" s="42">
        <f t="shared" si="35"/>
        <v>0</v>
      </c>
      <c r="M190" s="42">
        <f t="shared" si="35"/>
        <v>20000</v>
      </c>
      <c r="N190" s="42">
        <f t="shared" si="28"/>
        <v>6346.2971487617551</v>
      </c>
      <c r="O190" s="36">
        <v>7.8679640060388412</v>
      </c>
      <c r="P190" s="42">
        <f t="shared" si="29"/>
        <v>-492.69336448790182</v>
      </c>
      <c r="Q190" s="42"/>
      <c r="R190">
        <v>6.0975981933042392E-2</v>
      </c>
      <c r="S190">
        <v>0.82683797723319197</v>
      </c>
      <c r="T190" s="42"/>
      <c r="U190" s="42"/>
    </row>
    <row r="191" spans="1:21" x14ac:dyDescent="0.25">
      <c r="A191" s="40">
        <f t="shared" si="30"/>
        <v>0</v>
      </c>
      <c r="B191" s="40">
        <f t="shared" si="31"/>
        <v>50</v>
      </c>
      <c r="C191" s="41">
        <f t="shared" si="24"/>
        <v>1.0313000000000001</v>
      </c>
      <c r="D191" s="41">
        <f t="shared" si="25"/>
        <v>0.88000000000000012</v>
      </c>
      <c r="E191" s="39">
        <f>IF(_xlfn.NORM.INV(R191,C191,'Regressão Grupo 2'!$B$7)&lt;=0,0,IF(_xlfn.NORM.INV(R191,C191,'Regressão Grupo 2'!$B$7)&gt;100%,100%,_xlfn.NORM.INV(R191,C191,'Regressão Grupo 2'!$B$7)))</f>
        <v>1</v>
      </c>
      <c r="F191" s="39">
        <f>IF(_xlfn.NORM.INV(S191,D191,'Regressão Grupo 2'!$B$7)&lt;=0,0,IF(_xlfn.NORM.INV(S191,D191,'Regressão Grupo 2'!$B$7)&gt;100%,100%,_xlfn.NORM.INV(S191,D191,'Regressão Grupo 2'!$B$7)))</f>
        <v>1</v>
      </c>
      <c r="G191" s="41">
        <v>2.0109273287315335E-2</v>
      </c>
      <c r="H191" s="41">
        <v>4.9929581168259539E-3</v>
      </c>
      <c r="I191" s="40">
        <f t="shared" si="26"/>
        <v>0</v>
      </c>
      <c r="J191" s="40">
        <f t="shared" si="27"/>
        <v>99.859162336519077</v>
      </c>
      <c r="K191" s="36">
        <v>0.44143710122096652</v>
      </c>
      <c r="L191" s="42">
        <f t="shared" si="35"/>
        <v>0</v>
      </c>
      <c r="M191" s="42">
        <f t="shared" si="35"/>
        <v>20000</v>
      </c>
      <c r="N191" s="42">
        <f t="shared" si="28"/>
        <v>8828.7420244193308</v>
      </c>
      <c r="O191" s="36">
        <v>8.5985753026327174</v>
      </c>
      <c r="P191" s="42">
        <f t="shared" si="29"/>
        <v>-4694.4304346017616</v>
      </c>
      <c r="Q191" s="42"/>
      <c r="R191">
        <v>0.8724326303903317</v>
      </c>
      <c r="S191">
        <v>0.97747734000671405</v>
      </c>
      <c r="T191" s="42"/>
      <c r="U191" s="42"/>
    </row>
    <row r="192" spans="1:21" x14ac:dyDescent="0.25">
      <c r="A192" s="40">
        <f t="shared" si="30"/>
        <v>0</v>
      </c>
      <c r="B192" s="40">
        <f t="shared" si="31"/>
        <v>50</v>
      </c>
      <c r="C192" s="41">
        <f t="shared" si="24"/>
        <v>1.0313000000000001</v>
      </c>
      <c r="D192" s="41">
        <f t="shared" si="25"/>
        <v>0.88000000000000012</v>
      </c>
      <c r="E192" s="39">
        <f>IF(_xlfn.NORM.INV(R192,C192,'Regressão Grupo 2'!$B$7)&lt;=0,0,IF(_xlfn.NORM.INV(R192,C192,'Regressão Grupo 2'!$B$7)&gt;100%,100%,_xlfn.NORM.INV(R192,C192,'Regressão Grupo 2'!$B$7)))</f>
        <v>1</v>
      </c>
      <c r="F192" s="39">
        <f>IF(_xlfn.NORM.INV(S192,D192,'Regressão Grupo 2'!$B$7)&lt;=0,0,IF(_xlfn.NORM.INV(S192,D192,'Regressão Grupo 2'!$B$7)&gt;100%,100%,_xlfn.NORM.INV(S192,D192,'Regressão Grupo 2'!$B$7)))</f>
        <v>0.78211738256975505</v>
      </c>
      <c r="G192" s="41">
        <v>1.1867716211792759E-2</v>
      </c>
      <c r="H192" s="41">
        <v>1.546225671599928E-3</v>
      </c>
      <c r="I192" s="40">
        <f t="shared" si="26"/>
        <v>0</v>
      </c>
      <c r="J192" s="40">
        <f t="shared" si="27"/>
        <v>24.186599502677947</v>
      </c>
      <c r="K192" s="36">
        <v>0.30376947924832104</v>
      </c>
      <c r="L192" s="42">
        <f t="shared" si="35"/>
        <v>0</v>
      </c>
      <c r="M192" s="42">
        <f t="shared" si="35"/>
        <v>20000</v>
      </c>
      <c r="N192" s="42">
        <f t="shared" si="28"/>
        <v>6075.3895849664204</v>
      </c>
      <c r="O192" s="36">
        <v>4.0998303957977971</v>
      </c>
      <c r="P192" s="42">
        <f t="shared" si="29"/>
        <v>-4965.2205656445904</v>
      </c>
      <c r="Q192" s="42"/>
      <c r="R192">
        <v>0.62376781517990665</v>
      </c>
      <c r="S192">
        <v>0.23950926236762596</v>
      </c>
      <c r="T192" s="42"/>
      <c r="U192" s="42"/>
    </row>
    <row r="193" spans="1:21" x14ac:dyDescent="0.25">
      <c r="A193" s="40">
        <f t="shared" si="30"/>
        <v>0</v>
      </c>
      <c r="B193" s="40">
        <f t="shared" si="31"/>
        <v>50</v>
      </c>
      <c r="C193" s="41">
        <f t="shared" si="24"/>
        <v>1.0313000000000001</v>
      </c>
      <c r="D193" s="41">
        <f t="shared" si="25"/>
        <v>0.88000000000000012</v>
      </c>
      <c r="E193" s="39">
        <f>IF(_xlfn.NORM.INV(R193,C193,'Regressão Grupo 2'!$B$7)&lt;=0,0,IF(_xlfn.NORM.INV(R193,C193,'Regressão Grupo 2'!$B$7)&gt;100%,100%,_xlfn.NORM.INV(R193,C193,'Regressão Grupo 2'!$B$7)))</f>
        <v>1</v>
      </c>
      <c r="F193" s="39">
        <f>IF(_xlfn.NORM.INV(S193,D193,'Regressão Grupo 2'!$B$7)&lt;=0,0,IF(_xlfn.NORM.INV(S193,D193,'Regressão Grupo 2'!$B$7)&gt;100%,100%,_xlfn.NORM.INV(S193,D193,'Regressão Grupo 2'!$B$7)))</f>
        <v>0.80309277423090719</v>
      </c>
      <c r="G193" s="41">
        <v>2.6546839925676573E-2</v>
      </c>
      <c r="H193" s="41">
        <v>1.4613738198925303E-2</v>
      </c>
      <c r="I193" s="40">
        <f t="shared" si="26"/>
        <v>0</v>
      </c>
      <c r="J193" s="40">
        <f t="shared" si="27"/>
        <v>234.72375104118203</v>
      </c>
      <c r="K193" s="36">
        <v>0.27534359851613743</v>
      </c>
      <c r="L193" s="42">
        <f t="shared" si="35"/>
        <v>0</v>
      </c>
      <c r="M193" s="42">
        <f t="shared" si="35"/>
        <v>20000</v>
      </c>
      <c r="N193" s="42">
        <f t="shared" si="28"/>
        <v>5506.8719703227489</v>
      </c>
      <c r="O193" s="36">
        <v>5.9060896331194348</v>
      </c>
      <c r="P193" s="42">
        <f t="shared" si="29"/>
        <v>4843.016069065121</v>
      </c>
      <c r="Q193" s="42"/>
      <c r="R193">
        <v>0.91140476699118012</v>
      </c>
      <c r="S193">
        <v>0.28904080324716941</v>
      </c>
      <c r="T193" s="42"/>
      <c r="U193" s="42"/>
    </row>
    <row r="194" spans="1:21" x14ac:dyDescent="0.25">
      <c r="A194" s="40">
        <f t="shared" si="30"/>
        <v>0</v>
      </c>
      <c r="B194" s="40">
        <f t="shared" si="31"/>
        <v>50</v>
      </c>
      <c r="C194" s="41">
        <f t="shared" si="24"/>
        <v>1.0313000000000001</v>
      </c>
      <c r="D194" s="41">
        <f t="shared" si="25"/>
        <v>0.88000000000000012</v>
      </c>
      <c r="E194" s="39">
        <f>IF(_xlfn.NORM.INV(R194,C194,'Regressão Grupo 2'!$B$7)&lt;=0,0,IF(_xlfn.NORM.INV(R194,C194,'Regressão Grupo 2'!$B$7)&gt;100%,100%,_xlfn.NORM.INV(R194,C194,'Regressão Grupo 2'!$B$7)))</f>
        <v>1</v>
      </c>
      <c r="F194" s="39">
        <f>IF(_xlfn.NORM.INV(S194,D194,'Regressão Grupo 2'!$B$7)&lt;=0,0,IF(_xlfn.NORM.INV(S194,D194,'Regressão Grupo 2'!$B$7)&gt;100%,100%,_xlfn.NORM.INV(S194,D194,'Regressão Grupo 2'!$B$7)))</f>
        <v>0.98262918308171887</v>
      </c>
      <c r="G194" s="41">
        <v>1.2395534298065388E-2</v>
      </c>
      <c r="H194" s="41">
        <v>3.2507046889219044E-3</v>
      </c>
      <c r="I194" s="40">
        <f t="shared" si="26"/>
        <v>0</v>
      </c>
      <c r="J194" s="40">
        <f t="shared" si="27"/>
        <v>63.884745858304882</v>
      </c>
      <c r="K194" s="36">
        <v>0.45263802756318661</v>
      </c>
      <c r="L194" s="42">
        <f t="shared" si="35"/>
        <v>0</v>
      </c>
      <c r="M194" s="42">
        <f t="shared" si="35"/>
        <v>20000</v>
      </c>
      <c r="N194" s="42">
        <f t="shared" si="28"/>
        <v>9052.7605512637329</v>
      </c>
      <c r="O194" s="36">
        <v>3.2137812785823856</v>
      </c>
      <c r="P194" s="42">
        <f t="shared" si="29"/>
        <v>-6063.8348585749027</v>
      </c>
      <c r="Q194" s="42"/>
      <c r="R194">
        <v>0.6241340372936186</v>
      </c>
      <c r="S194">
        <v>0.77101962340159302</v>
      </c>
      <c r="T194" s="42"/>
      <c r="U194" s="42"/>
    </row>
    <row r="195" spans="1:21" x14ac:dyDescent="0.25">
      <c r="A195" s="40">
        <f t="shared" si="30"/>
        <v>0</v>
      </c>
      <c r="B195" s="40">
        <f t="shared" si="31"/>
        <v>50</v>
      </c>
      <c r="C195" s="41">
        <f t="shared" si="24"/>
        <v>1.0313000000000001</v>
      </c>
      <c r="D195" s="41">
        <f t="shared" si="25"/>
        <v>0.88000000000000012</v>
      </c>
      <c r="E195" s="39">
        <f>IF(_xlfn.NORM.INV(R195,C195,'Regressão Grupo 2'!$B$7)&lt;=0,0,IF(_xlfn.NORM.INV(R195,C195,'Regressão Grupo 2'!$B$7)&gt;100%,100%,_xlfn.NORM.INV(R195,C195,'Regressão Grupo 2'!$B$7)))</f>
        <v>1</v>
      </c>
      <c r="F195" s="39">
        <f>IF(_xlfn.NORM.INV(S195,D195,'Regressão Grupo 2'!$B$7)&lt;=0,0,IF(_xlfn.NORM.INV(S195,D195,'Regressão Grupo 2'!$B$7)&gt;100%,100%,_xlfn.NORM.INV(S195,D195,'Regressão Grupo 2'!$B$7)))</f>
        <v>0.98748557820092853</v>
      </c>
      <c r="G195" s="41">
        <v>2.0116621493538732E-2</v>
      </c>
      <c r="H195" s="41">
        <v>1.2457467675302035E-2</v>
      </c>
      <c r="I195" s="40">
        <f t="shared" si="26"/>
        <v>0</v>
      </c>
      <c r="J195" s="40">
        <f t="shared" si="27"/>
        <v>246.03139340530012</v>
      </c>
      <c r="K195" s="36">
        <v>0.19356837162611201</v>
      </c>
      <c r="L195" s="42">
        <f t="shared" si="35"/>
        <v>0</v>
      </c>
      <c r="M195" s="42">
        <f t="shared" si="35"/>
        <v>20000</v>
      </c>
      <c r="N195" s="42">
        <f t="shared" si="28"/>
        <v>3871.3674325222401</v>
      </c>
      <c r="O195" s="36">
        <v>5.894892383555252</v>
      </c>
      <c r="P195" s="42">
        <f t="shared" si="29"/>
        <v>6979.8736506423757</v>
      </c>
      <c r="Q195" s="42"/>
      <c r="R195">
        <v>0.70558793908505513</v>
      </c>
      <c r="S195">
        <v>0.78151799066133609</v>
      </c>
      <c r="T195" s="42"/>
      <c r="U195" s="42"/>
    </row>
    <row r="196" spans="1:21" x14ac:dyDescent="0.25">
      <c r="A196" s="40">
        <f t="shared" si="30"/>
        <v>0</v>
      </c>
      <c r="B196" s="40">
        <f t="shared" si="31"/>
        <v>50</v>
      </c>
      <c r="C196" s="41">
        <f t="shared" si="24"/>
        <v>1.0313000000000001</v>
      </c>
      <c r="D196" s="41">
        <f t="shared" si="25"/>
        <v>0.88000000000000012</v>
      </c>
      <c r="E196" s="39">
        <f>IF(_xlfn.NORM.INV(R196,C196,'Regressão Grupo 2'!$B$7)&lt;=0,0,IF(_xlfn.NORM.INV(R196,C196,'Regressão Grupo 2'!$B$7)&gt;100%,100%,_xlfn.NORM.INV(R196,C196,'Regressão Grupo 2'!$B$7)))</f>
        <v>0.99582251211661377</v>
      </c>
      <c r="F196" s="39">
        <f>IF(_xlfn.NORM.INV(S196,D196,'Regressão Grupo 2'!$B$7)&lt;=0,0,IF(_xlfn.NORM.INV(S196,D196,'Regressão Grupo 2'!$B$7)&gt;100%,100%,_xlfn.NORM.INV(S196,D196,'Regressão Grupo 2'!$B$7)))</f>
        <v>0.66511867885110898</v>
      </c>
      <c r="G196" s="41">
        <v>1.5352071506127971E-2</v>
      </c>
      <c r="H196" s="41">
        <v>1.9553506910811137E-2</v>
      </c>
      <c r="I196" s="40">
        <f t="shared" si="26"/>
        <v>0</v>
      </c>
      <c r="J196" s="40">
        <f t="shared" si="27"/>
        <v>260.10805366849468</v>
      </c>
      <c r="K196" s="36">
        <v>0.26745300601642835</v>
      </c>
      <c r="L196" s="42">
        <f t="shared" si="35"/>
        <v>0</v>
      </c>
      <c r="M196" s="42">
        <f t="shared" si="35"/>
        <v>20000</v>
      </c>
      <c r="N196" s="42">
        <f t="shared" si="28"/>
        <v>5349.0601203285669</v>
      </c>
      <c r="O196" s="36">
        <v>8.245363762391813</v>
      </c>
      <c r="P196" s="42">
        <f t="shared" si="29"/>
        <v>5511.6570430716956</v>
      </c>
      <c r="Q196" s="42"/>
      <c r="R196">
        <v>0.39875484481337931</v>
      </c>
      <c r="S196">
        <v>6.0090945158238471E-2</v>
      </c>
      <c r="T196" s="42"/>
      <c r="U196" s="42"/>
    </row>
    <row r="197" spans="1:21" x14ac:dyDescent="0.25">
      <c r="A197" s="40">
        <f t="shared" si="30"/>
        <v>0</v>
      </c>
      <c r="B197" s="40">
        <f t="shared" si="31"/>
        <v>50</v>
      </c>
      <c r="C197" s="41">
        <f t="shared" si="24"/>
        <v>1.0313000000000001</v>
      </c>
      <c r="D197" s="41">
        <f t="shared" si="25"/>
        <v>0.88000000000000012</v>
      </c>
      <c r="E197" s="39">
        <f>IF(_xlfn.NORM.INV(R197,C197,'Regressão Grupo 2'!$B$7)&lt;=0,0,IF(_xlfn.NORM.INV(R197,C197,'Regressão Grupo 2'!$B$7)&gt;100%,100%,_xlfn.NORM.INV(R197,C197,'Regressão Grupo 2'!$B$7)))</f>
        <v>1</v>
      </c>
      <c r="F197" s="39">
        <f>IF(_xlfn.NORM.INV(S197,D197,'Regressão Grupo 2'!$B$7)&lt;=0,0,IF(_xlfn.NORM.INV(S197,D197,'Regressão Grupo 2'!$B$7)&gt;100%,100%,_xlfn.NORM.INV(S197,D197,'Regressão Grupo 2'!$B$7)))</f>
        <v>0.83939183843733656</v>
      </c>
      <c r="G197" s="41">
        <v>2.1457676873970648E-2</v>
      </c>
      <c r="H197" s="41">
        <v>2.1652684577041836E-2</v>
      </c>
      <c r="I197" s="40">
        <f t="shared" si="26"/>
        <v>0</v>
      </c>
      <c r="J197" s="40">
        <f t="shared" si="27"/>
        <v>363.5017342845382</v>
      </c>
      <c r="K197" s="36">
        <v>0.31740579188696649</v>
      </c>
      <c r="L197" s="42">
        <f t="shared" si="35"/>
        <v>0</v>
      </c>
      <c r="M197" s="42">
        <f t="shared" si="35"/>
        <v>20000</v>
      </c>
      <c r="N197" s="42">
        <f t="shared" si="28"/>
        <v>6348.1158377393294</v>
      </c>
      <c r="O197" s="36">
        <v>9.6574413346476362</v>
      </c>
      <c r="P197" s="42">
        <f t="shared" si="29"/>
        <v>8316.4742025919786</v>
      </c>
      <c r="Q197" s="42"/>
      <c r="R197">
        <v>0.89184240241706592</v>
      </c>
      <c r="S197">
        <v>0.38450270088808863</v>
      </c>
      <c r="T197" s="42"/>
      <c r="U197" s="42"/>
    </row>
    <row r="198" spans="1:21" x14ac:dyDescent="0.25">
      <c r="A198" s="40">
        <f t="shared" si="30"/>
        <v>0</v>
      </c>
      <c r="B198" s="40">
        <f t="shared" si="31"/>
        <v>50</v>
      </c>
      <c r="C198" s="41">
        <f t="shared" ref="C198:C261" si="36">-0.0071*A198 + 1.0313</f>
        <v>1.0313000000000001</v>
      </c>
      <c r="D198" s="41">
        <f t="shared" ref="D198:D261" si="37">-0.0059*B198+1.175</f>
        <v>0.88000000000000012</v>
      </c>
      <c r="E198" s="39">
        <f>IF(_xlfn.NORM.INV(R198,C198,'Regressão Grupo 2'!$B$7)&lt;=0,0,IF(_xlfn.NORM.INV(R198,C198,'Regressão Grupo 2'!$B$7)&gt;100%,100%,_xlfn.NORM.INV(R198,C198,'Regressão Grupo 2'!$B$7)))</f>
        <v>0.88050042760865865</v>
      </c>
      <c r="F198" s="39">
        <f>IF(_xlfn.NORM.INV(S198,D198,'Regressão Grupo 2'!$B$7)&lt;=0,0,IF(_xlfn.NORM.INV(S198,D198,'Regressão Grupo 2'!$B$7)&gt;100%,100%,_xlfn.NORM.INV(S198,D198,'Regressão Grupo 2'!$B$7)))</f>
        <v>0.70253544448490168</v>
      </c>
      <c r="G198" s="41">
        <v>7.2358586085662022E-3</v>
      </c>
      <c r="H198" s="41">
        <v>6.2538306894687756E-3</v>
      </c>
      <c r="I198" s="40">
        <f t="shared" ref="I198:I261" si="38">IF(E198*G198*L198&gt;0,E198*G198*L198,0)</f>
        <v>0</v>
      </c>
      <c r="J198" s="40">
        <f t="shared" ref="J198:J261" si="39">IF(F198*H198*M198&gt;0,F198*H198*M198,0)</f>
        <v>87.870754463185307</v>
      </c>
      <c r="K198" s="36">
        <v>0.28239131565334147</v>
      </c>
      <c r="L198" s="42">
        <f t="shared" si="35"/>
        <v>0</v>
      </c>
      <c r="M198" s="42">
        <f t="shared" si="35"/>
        <v>20000</v>
      </c>
      <c r="N198" s="42">
        <f t="shared" ref="N198:N261" si="40">(L198+M198)*K198</f>
        <v>5647.8263130668292</v>
      </c>
      <c r="O198" s="36">
        <v>7.8451070775883798</v>
      </c>
      <c r="P198" s="42">
        <f t="shared" ref="P198:P261" si="41">SUMPRODUCT(A198:B198,I198:J198)-SUM(I198:J198)*O198-N198</f>
        <v>-1943.6440676597294</v>
      </c>
      <c r="Q198" s="42"/>
      <c r="R198">
        <v>0.13773003326517533</v>
      </c>
      <c r="S198">
        <v>9.9673451948606828E-2</v>
      </c>
      <c r="T198" s="42"/>
      <c r="U198" s="42"/>
    </row>
    <row r="199" spans="1:21" x14ac:dyDescent="0.25">
      <c r="A199" s="40">
        <f t="shared" ref="A199:A262" si="42">A198</f>
        <v>0</v>
      </c>
      <c r="B199" s="40">
        <f t="shared" ref="B199:B262" si="43">B198</f>
        <v>50</v>
      </c>
      <c r="C199" s="41">
        <f t="shared" si="36"/>
        <v>1.0313000000000001</v>
      </c>
      <c r="D199" s="41">
        <f t="shared" si="37"/>
        <v>0.88000000000000012</v>
      </c>
      <c r="E199" s="39">
        <f>IF(_xlfn.NORM.INV(R199,C199,'Regressão Grupo 2'!$B$7)&lt;=0,0,IF(_xlfn.NORM.INV(R199,C199,'Regressão Grupo 2'!$B$7)&gt;100%,100%,_xlfn.NORM.INV(R199,C199,'Regressão Grupo 2'!$B$7)))</f>
        <v>0.95975632612674744</v>
      </c>
      <c r="F199" s="39">
        <f>IF(_xlfn.NORM.INV(S199,D199,'Regressão Grupo 2'!$B$7)&lt;=0,0,IF(_xlfn.NORM.INV(S199,D199,'Regressão Grupo 2'!$B$7)&gt;100%,100%,_xlfn.NORM.INV(S199,D199,'Regressão Grupo 2'!$B$7)))</f>
        <v>0.94008553153343632</v>
      </c>
      <c r="G199" s="41">
        <v>1.855625667963778E-2</v>
      </c>
      <c r="H199" s="41">
        <v>2.0898528201837574E-2</v>
      </c>
      <c r="I199" s="40">
        <f t="shared" si="38"/>
        <v>0</v>
      </c>
      <c r="J199" s="40">
        <f t="shared" si="39"/>
        <v>392.92807985781968</v>
      </c>
      <c r="K199" s="36">
        <v>0.30935397654913077</v>
      </c>
      <c r="L199" s="42">
        <f t="shared" ref="L199:M214" si="44">L198</f>
        <v>0</v>
      </c>
      <c r="M199" s="42">
        <f t="shared" si="44"/>
        <v>20000</v>
      </c>
      <c r="N199" s="42">
        <f t="shared" si="40"/>
        <v>6187.0795309826153</v>
      </c>
      <c r="O199" s="36">
        <v>5.5566213092797634</v>
      </c>
      <c r="P199" s="42">
        <f t="shared" si="41"/>
        <v>11275.971920356029</v>
      </c>
      <c r="Q199" s="42"/>
      <c r="R199">
        <v>0.30243842890713218</v>
      </c>
      <c r="S199">
        <v>0.66805017242957854</v>
      </c>
      <c r="T199" s="42"/>
      <c r="U199" s="42"/>
    </row>
    <row r="200" spans="1:21" x14ac:dyDescent="0.25">
      <c r="A200" s="40">
        <f t="shared" si="42"/>
        <v>0</v>
      </c>
      <c r="B200" s="40">
        <f t="shared" si="43"/>
        <v>50</v>
      </c>
      <c r="C200" s="41">
        <f t="shared" si="36"/>
        <v>1.0313000000000001</v>
      </c>
      <c r="D200" s="41">
        <f t="shared" si="37"/>
        <v>0.88000000000000012</v>
      </c>
      <c r="E200" s="39">
        <f>IF(_xlfn.NORM.INV(R200,C200,'Regressão Grupo 2'!$B$7)&lt;=0,0,IF(_xlfn.NORM.INV(R200,C200,'Regressão Grupo 2'!$B$7)&gt;100%,100%,_xlfn.NORM.INV(R200,C200,'Regressão Grupo 2'!$B$7)))</f>
        <v>1</v>
      </c>
      <c r="F200" s="39">
        <f>IF(_xlfn.NORM.INV(S200,D200,'Regressão Grupo 2'!$B$7)&lt;=0,0,IF(_xlfn.NORM.INV(S200,D200,'Regressão Grupo 2'!$B$7)&gt;100%,100%,_xlfn.NORM.INV(S200,D200,'Regressão Grupo 2'!$B$7)))</f>
        <v>0.96213658096136168</v>
      </c>
      <c r="G200" s="41">
        <v>1.8475619205324124E-2</v>
      </c>
      <c r="H200" s="41">
        <v>1.0302092762715518E-2</v>
      </c>
      <c r="I200" s="40">
        <f t="shared" si="38"/>
        <v>0</v>
      </c>
      <c r="J200" s="40">
        <f t="shared" si="39"/>
        <v>198.24040614931795</v>
      </c>
      <c r="K200" s="36">
        <v>0.25009595662769829</v>
      </c>
      <c r="L200" s="42">
        <f t="shared" si="44"/>
        <v>0</v>
      </c>
      <c r="M200" s="42">
        <f t="shared" si="44"/>
        <v>20000</v>
      </c>
      <c r="N200" s="42">
        <f t="shared" si="40"/>
        <v>5001.9191325539659</v>
      </c>
      <c r="O200" s="36">
        <v>2.9662782144806945</v>
      </c>
      <c r="P200" s="42">
        <f t="shared" si="41"/>
        <v>4322.0649769214042</v>
      </c>
      <c r="Q200" s="42"/>
      <c r="R200">
        <v>0.43037202063051239</v>
      </c>
      <c r="S200">
        <v>0.72374645222327338</v>
      </c>
      <c r="T200" s="42"/>
      <c r="U200" s="42"/>
    </row>
    <row r="201" spans="1:21" x14ac:dyDescent="0.25">
      <c r="A201" s="40">
        <f t="shared" si="42"/>
        <v>0</v>
      </c>
      <c r="B201" s="40">
        <f t="shared" si="43"/>
        <v>50</v>
      </c>
      <c r="C201" s="41">
        <f t="shared" si="36"/>
        <v>1.0313000000000001</v>
      </c>
      <c r="D201" s="41">
        <f t="shared" si="37"/>
        <v>0.88000000000000012</v>
      </c>
      <c r="E201" s="39">
        <f>IF(_xlfn.NORM.INV(R201,C201,'Regressão Grupo 2'!$B$7)&lt;=0,0,IF(_xlfn.NORM.INV(R201,C201,'Regressão Grupo 2'!$B$7)&gt;100%,100%,_xlfn.NORM.INV(R201,C201,'Regressão Grupo 2'!$B$7)))</f>
        <v>0.87511405623890337</v>
      </c>
      <c r="F201" s="39">
        <f>IF(_xlfn.NORM.INV(S201,D201,'Regressão Grupo 2'!$B$7)&lt;=0,0,IF(_xlfn.NORM.INV(S201,D201,'Regressão Grupo 2'!$B$7)&gt;100%,100%,_xlfn.NORM.INV(S201,D201,'Regressão Grupo 2'!$B$7)))</f>
        <v>0.87127276113832941</v>
      </c>
      <c r="G201" s="41">
        <v>1.1524991205505855E-2</v>
      </c>
      <c r="H201" s="41">
        <v>2.4466721987330589E-2</v>
      </c>
      <c r="I201" s="40">
        <f t="shared" si="38"/>
        <v>0</v>
      </c>
      <c r="J201" s="40">
        <f t="shared" si="39"/>
        <v>426.34376843810793</v>
      </c>
      <c r="K201" s="36">
        <v>0.39655224992074523</v>
      </c>
      <c r="L201" s="42">
        <f t="shared" si="44"/>
        <v>0</v>
      </c>
      <c r="M201" s="42">
        <f t="shared" si="44"/>
        <v>20000</v>
      </c>
      <c r="N201" s="42">
        <f t="shared" si="40"/>
        <v>7931.0449984149045</v>
      </c>
      <c r="O201" s="36">
        <v>5.5387152589840811</v>
      </c>
      <c r="P201" s="42">
        <f t="shared" si="41"/>
        <v>11024.746687669569</v>
      </c>
      <c r="Q201" s="42"/>
      <c r="R201">
        <v>0.12933744315927609</v>
      </c>
      <c r="S201">
        <v>0.47483748893704031</v>
      </c>
      <c r="T201" s="42"/>
      <c r="U201" s="42"/>
    </row>
    <row r="202" spans="1:21" x14ac:dyDescent="0.25">
      <c r="A202" s="40">
        <f t="shared" si="42"/>
        <v>0</v>
      </c>
      <c r="B202" s="40">
        <f t="shared" si="43"/>
        <v>50</v>
      </c>
      <c r="C202" s="41">
        <f t="shared" si="36"/>
        <v>1.0313000000000001</v>
      </c>
      <c r="D202" s="41">
        <f t="shared" si="37"/>
        <v>0.88000000000000012</v>
      </c>
      <c r="E202" s="39">
        <f>IF(_xlfn.NORM.INV(R202,C202,'Regressão Grupo 2'!$B$7)&lt;=0,0,IF(_xlfn.NORM.INV(R202,C202,'Regressão Grupo 2'!$B$7)&gt;100%,100%,_xlfn.NORM.INV(R202,C202,'Regressão Grupo 2'!$B$7)))</f>
        <v>1</v>
      </c>
      <c r="F202" s="39">
        <f>IF(_xlfn.NORM.INV(S202,D202,'Regressão Grupo 2'!$B$7)&lt;=0,0,IF(_xlfn.NORM.INV(S202,D202,'Regressão Grupo 2'!$B$7)&gt;100%,100%,_xlfn.NORM.INV(S202,D202,'Regressão Grupo 2'!$B$7)))</f>
        <v>0.89714292988749889</v>
      </c>
      <c r="G202" s="41">
        <v>4.3843836288747894E-3</v>
      </c>
      <c r="H202" s="41">
        <v>1.090479183559788E-2</v>
      </c>
      <c r="I202" s="40">
        <f t="shared" si="38"/>
        <v>0</v>
      </c>
      <c r="J202" s="40">
        <f t="shared" si="39"/>
        <v>195.66313794403118</v>
      </c>
      <c r="K202" s="36">
        <v>0.3135000321539122</v>
      </c>
      <c r="L202" s="42">
        <f t="shared" si="44"/>
        <v>0</v>
      </c>
      <c r="M202" s="42">
        <f t="shared" si="44"/>
        <v>20000</v>
      </c>
      <c r="N202" s="42">
        <f t="shared" si="40"/>
        <v>6270.0006430782441</v>
      </c>
      <c r="O202" s="36">
        <v>4.1873404989675507</v>
      </c>
      <c r="P202" s="42">
        <f t="shared" si="41"/>
        <v>2693.8480724551982</v>
      </c>
      <c r="Q202" s="42"/>
      <c r="R202">
        <v>0.99307229834894861</v>
      </c>
      <c r="S202">
        <v>0.5493331705679495</v>
      </c>
      <c r="T202" s="42"/>
      <c r="U202" s="42"/>
    </row>
    <row r="203" spans="1:21" x14ac:dyDescent="0.25">
      <c r="A203" s="40">
        <f t="shared" si="42"/>
        <v>0</v>
      </c>
      <c r="B203" s="40">
        <f t="shared" si="43"/>
        <v>50</v>
      </c>
      <c r="C203" s="41">
        <f t="shared" si="36"/>
        <v>1.0313000000000001</v>
      </c>
      <c r="D203" s="41">
        <f t="shared" si="37"/>
        <v>0.88000000000000012</v>
      </c>
      <c r="E203" s="39">
        <f>IF(_xlfn.NORM.INV(R203,C203,'Regressão Grupo 2'!$B$7)&lt;=0,0,IF(_xlfn.NORM.INV(R203,C203,'Regressão Grupo 2'!$B$7)&gt;100%,100%,_xlfn.NORM.INV(R203,C203,'Regressão Grupo 2'!$B$7)))</f>
        <v>1</v>
      </c>
      <c r="F203" s="39">
        <f>IF(_xlfn.NORM.INV(S203,D203,'Regressão Grupo 2'!$B$7)&lt;=0,0,IF(_xlfn.NORM.INV(S203,D203,'Regressão Grupo 2'!$B$7)&gt;100%,100%,_xlfn.NORM.INV(S203,D203,'Regressão Grupo 2'!$B$7)))</f>
        <v>0.93276173550382169</v>
      </c>
      <c r="G203" s="41">
        <v>1.2524229884884825E-2</v>
      </c>
      <c r="H203" s="41">
        <v>8.7310033032921477E-3</v>
      </c>
      <c r="I203" s="40">
        <f t="shared" si="38"/>
        <v>0</v>
      </c>
      <c r="J203" s="40">
        <f t="shared" si="39"/>
        <v>162.87891587736769</v>
      </c>
      <c r="K203" s="36">
        <v>0.16766013753175077</v>
      </c>
      <c r="L203" s="42">
        <f t="shared" si="44"/>
        <v>0</v>
      </c>
      <c r="M203" s="42">
        <f t="shared" si="44"/>
        <v>20000</v>
      </c>
      <c r="N203" s="42">
        <f t="shared" si="40"/>
        <v>3353.2027506350155</v>
      </c>
      <c r="O203" s="36">
        <v>8.4354844460456082</v>
      </c>
      <c r="P203" s="42">
        <f t="shared" si="41"/>
        <v>3416.7804817610627</v>
      </c>
      <c r="Q203" s="42"/>
      <c r="R203">
        <v>0.72301400799584947</v>
      </c>
      <c r="S203">
        <v>0.64860988189336832</v>
      </c>
      <c r="T203" s="42"/>
      <c r="U203" s="42"/>
    </row>
    <row r="204" spans="1:21" x14ac:dyDescent="0.25">
      <c r="A204" s="40">
        <f t="shared" si="42"/>
        <v>0</v>
      </c>
      <c r="B204" s="40">
        <f t="shared" si="43"/>
        <v>50</v>
      </c>
      <c r="C204" s="41">
        <f t="shared" si="36"/>
        <v>1.0313000000000001</v>
      </c>
      <c r="D204" s="41">
        <f t="shared" si="37"/>
        <v>0.88000000000000012</v>
      </c>
      <c r="E204" s="39">
        <f>IF(_xlfn.NORM.INV(R204,C204,'Regressão Grupo 2'!$B$7)&lt;=0,0,IF(_xlfn.NORM.INV(R204,C204,'Regressão Grupo 2'!$B$7)&gt;100%,100%,_xlfn.NORM.INV(R204,C204,'Regressão Grupo 2'!$B$7)))</f>
        <v>0.86142347009757669</v>
      </c>
      <c r="F204" s="39">
        <f>IF(_xlfn.NORM.INV(S204,D204,'Regressão Grupo 2'!$B$7)&lt;=0,0,IF(_xlfn.NORM.INV(S204,D204,'Regressão Grupo 2'!$B$7)&gt;100%,100%,_xlfn.NORM.INV(S204,D204,'Regressão Grupo 2'!$B$7)))</f>
        <v>0.98677156294328427</v>
      </c>
      <c r="G204" s="41">
        <v>2.2803821827032864E-2</v>
      </c>
      <c r="H204" s="41">
        <v>1.3516187711258367E-2</v>
      </c>
      <c r="I204" s="40">
        <f t="shared" si="38"/>
        <v>0</v>
      </c>
      <c r="J204" s="40">
        <f t="shared" si="39"/>
        <v>266.74779345746464</v>
      </c>
      <c r="K204" s="36">
        <v>0.301831681808368</v>
      </c>
      <c r="L204" s="42">
        <f t="shared" si="44"/>
        <v>0</v>
      </c>
      <c r="M204" s="42">
        <f t="shared" si="44"/>
        <v>20000</v>
      </c>
      <c r="N204" s="42">
        <f t="shared" si="40"/>
        <v>6036.6336361673602</v>
      </c>
      <c r="O204" s="36">
        <v>8.0769280626024837</v>
      </c>
      <c r="P204" s="42">
        <f t="shared" si="41"/>
        <v>5146.2532980919859</v>
      </c>
      <c r="Q204" s="42"/>
      <c r="R204">
        <v>0.10962248603778192</v>
      </c>
      <c r="S204">
        <v>0.77999206518753628</v>
      </c>
      <c r="T204" s="42"/>
      <c r="U204" s="42"/>
    </row>
    <row r="205" spans="1:21" x14ac:dyDescent="0.25">
      <c r="A205" s="40">
        <f t="shared" si="42"/>
        <v>0</v>
      </c>
      <c r="B205" s="40">
        <f t="shared" si="43"/>
        <v>50</v>
      </c>
      <c r="C205" s="41">
        <f t="shared" si="36"/>
        <v>1.0313000000000001</v>
      </c>
      <c r="D205" s="41">
        <f t="shared" si="37"/>
        <v>0.88000000000000012</v>
      </c>
      <c r="E205" s="39">
        <f>IF(_xlfn.NORM.INV(R205,C205,'Regressão Grupo 2'!$B$7)&lt;=0,0,IF(_xlfn.NORM.INV(R205,C205,'Regressão Grupo 2'!$B$7)&gt;100%,100%,_xlfn.NORM.INV(R205,C205,'Regressão Grupo 2'!$B$7)))</f>
        <v>1</v>
      </c>
      <c r="F205" s="39">
        <f>IF(_xlfn.NORM.INV(S205,D205,'Regressão Grupo 2'!$B$7)&lt;=0,0,IF(_xlfn.NORM.INV(S205,D205,'Regressão Grupo 2'!$B$7)&gt;100%,100%,_xlfn.NORM.INV(S205,D205,'Regressão Grupo 2'!$B$7)))</f>
        <v>0.88487211391270792</v>
      </c>
      <c r="G205" s="41">
        <v>1.5869365232785478E-2</v>
      </c>
      <c r="H205" s="41">
        <v>2.3964668943103527E-2</v>
      </c>
      <c r="I205" s="40">
        <f t="shared" si="38"/>
        <v>0</v>
      </c>
      <c r="J205" s="40">
        <f t="shared" si="39"/>
        <v>424.11334533804472</v>
      </c>
      <c r="K205" s="36">
        <v>0.1555704393582483</v>
      </c>
      <c r="L205" s="42">
        <f t="shared" si="44"/>
        <v>0</v>
      </c>
      <c r="M205" s="42">
        <f t="shared" si="44"/>
        <v>20000</v>
      </c>
      <c r="N205" s="42">
        <f t="shared" si="40"/>
        <v>3111.4087871649658</v>
      </c>
      <c r="O205" s="36">
        <v>3.7330878352882806</v>
      </c>
      <c r="P205" s="42">
        <f t="shared" si="41"/>
        <v>16511.006109472401</v>
      </c>
      <c r="Q205" s="42"/>
      <c r="R205">
        <v>0.80733664967802976</v>
      </c>
      <c r="S205">
        <v>0.51405377361369675</v>
      </c>
      <c r="T205" s="42"/>
      <c r="U205" s="42"/>
    </row>
    <row r="206" spans="1:21" x14ac:dyDescent="0.25">
      <c r="A206" s="40">
        <f t="shared" si="42"/>
        <v>0</v>
      </c>
      <c r="B206" s="40">
        <f t="shared" si="43"/>
        <v>50</v>
      </c>
      <c r="C206" s="41">
        <f t="shared" si="36"/>
        <v>1.0313000000000001</v>
      </c>
      <c r="D206" s="41">
        <f t="shared" si="37"/>
        <v>0.88000000000000012</v>
      </c>
      <c r="E206" s="39">
        <f>IF(_xlfn.NORM.INV(R206,C206,'Regressão Grupo 2'!$B$7)&lt;=0,0,IF(_xlfn.NORM.INV(R206,C206,'Regressão Grupo 2'!$B$7)&gt;100%,100%,_xlfn.NORM.INV(R206,C206,'Regressão Grupo 2'!$B$7)))</f>
        <v>1</v>
      </c>
      <c r="F206" s="39">
        <f>IF(_xlfn.NORM.INV(S206,D206,'Regressão Grupo 2'!$B$7)&lt;=0,0,IF(_xlfn.NORM.INV(S206,D206,'Regressão Grupo 2'!$B$7)&gt;100%,100%,_xlfn.NORM.INV(S206,D206,'Regressão Grupo 2'!$B$7)))</f>
        <v>0.98518239728850343</v>
      </c>
      <c r="G206" s="41">
        <v>1.6460302412168205E-2</v>
      </c>
      <c r="H206" s="41">
        <v>1.211216752862658E-2</v>
      </c>
      <c r="I206" s="40">
        <f t="shared" si="38"/>
        <v>0</v>
      </c>
      <c r="J206" s="40">
        <f t="shared" si="39"/>
        <v>238.65388484424605</v>
      </c>
      <c r="K206" s="36">
        <v>0.3102064159726049</v>
      </c>
      <c r="L206" s="42">
        <f t="shared" si="44"/>
        <v>0</v>
      </c>
      <c r="M206" s="42">
        <f t="shared" si="44"/>
        <v>20000</v>
      </c>
      <c r="N206" s="42">
        <f t="shared" si="40"/>
        <v>6204.1283194520984</v>
      </c>
      <c r="O206" s="36">
        <v>4.6908248694215766</v>
      </c>
      <c r="P206" s="42">
        <f t="shared" si="41"/>
        <v>4609.0823445487422</v>
      </c>
      <c r="Q206" s="42"/>
      <c r="R206">
        <v>0.81627857295449691</v>
      </c>
      <c r="S206">
        <v>0.77657399212622458</v>
      </c>
      <c r="T206" s="42"/>
      <c r="U206" s="42"/>
    </row>
    <row r="207" spans="1:21" x14ac:dyDescent="0.25">
      <c r="A207" s="40">
        <f t="shared" si="42"/>
        <v>0</v>
      </c>
      <c r="B207" s="40">
        <f t="shared" si="43"/>
        <v>50</v>
      </c>
      <c r="C207" s="41">
        <f t="shared" si="36"/>
        <v>1.0313000000000001</v>
      </c>
      <c r="D207" s="41">
        <f t="shared" si="37"/>
        <v>0.88000000000000012</v>
      </c>
      <c r="E207" s="39">
        <f>IF(_xlfn.NORM.INV(R207,C207,'Regressão Grupo 2'!$B$7)&lt;=0,0,IF(_xlfn.NORM.INV(R207,C207,'Regressão Grupo 2'!$B$7)&gt;100%,100%,_xlfn.NORM.INV(R207,C207,'Regressão Grupo 2'!$B$7)))</f>
        <v>0.99340102454808887</v>
      </c>
      <c r="F207" s="39">
        <f>IF(_xlfn.NORM.INV(S207,D207,'Regressão Grupo 2'!$B$7)&lt;=0,0,IF(_xlfn.NORM.INV(S207,D207,'Regressão Grupo 2'!$B$7)&gt;100%,100%,_xlfn.NORM.INV(S207,D207,'Regressão Grupo 2'!$B$7)))</f>
        <v>0.79324914669665614</v>
      </c>
      <c r="G207" s="41">
        <v>9.4875201771638454E-3</v>
      </c>
      <c r="H207" s="41">
        <v>1.7760337948741215E-2</v>
      </c>
      <c r="I207" s="40">
        <f t="shared" si="38"/>
        <v>0</v>
      </c>
      <c r="J207" s="40">
        <f t="shared" si="39"/>
        <v>281.76745845766419</v>
      </c>
      <c r="K207" s="36">
        <v>0.16403495382429267</v>
      </c>
      <c r="L207" s="42">
        <f t="shared" si="44"/>
        <v>0</v>
      </c>
      <c r="M207" s="42">
        <f t="shared" si="44"/>
        <v>20000</v>
      </c>
      <c r="N207" s="42">
        <f t="shared" si="40"/>
        <v>3280.6990764858533</v>
      </c>
      <c r="O207" s="36">
        <v>4.6265584883242266</v>
      </c>
      <c r="P207" s="42">
        <f t="shared" si="41"/>
        <v>9504.060219736506</v>
      </c>
      <c r="Q207" s="42"/>
      <c r="R207">
        <v>0.39201025421918395</v>
      </c>
      <c r="S207">
        <v>0.26520584734641561</v>
      </c>
      <c r="T207" s="42"/>
      <c r="U207" s="42"/>
    </row>
    <row r="208" spans="1:21" x14ac:dyDescent="0.25">
      <c r="A208" s="40">
        <f t="shared" si="42"/>
        <v>0</v>
      </c>
      <c r="B208" s="40">
        <f t="shared" si="43"/>
        <v>50</v>
      </c>
      <c r="C208" s="41">
        <f t="shared" si="36"/>
        <v>1.0313000000000001</v>
      </c>
      <c r="D208" s="41">
        <f t="shared" si="37"/>
        <v>0.88000000000000012</v>
      </c>
      <c r="E208" s="39">
        <f>IF(_xlfn.NORM.INV(R208,C208,'Regressão Grupo 2'!$B$7)&lt;=0,0,IF(_xlfn.NORM.INV(R208,C208,'Regressão Grupo 2'!$B$7)&gt;100%,100%,_xlfn.NORM.INV(R208,C208,'Regressão Grupo 2'!$B$7)))</f>
        <v>0.98225116315978911</v>
      </c>
      <c r="F208" s="39">
        <f>IF(_xlfn.NORM.INV(S208,D208,'Regressão Grupo 2'!$B$7)&lt;=0,0,IF(_xlfn.NORM.INV(S208,D208,'Regressão Grupo 2'!$B$7)&gt;100%,100%,_xlfn.NORM.INV(S208,D208,'Regressão Grupo 2'!$B$7)))</f>
        <v>0.99737938905101997</v>
      </c>
      <c r="G208" s="41">
        <v>3.5905359242199503E-3</v>
      </c>
      <c r="H208" s="41">
        <v>1.6746431767740828E-2</v>
      </c>
      <c r="I208" s="40">
        <f t="shared" si="38"/>
        <v>0</v>
      </c>
      <c r="J208" s="40">
        <f t="shared" si="39"/>
        <v>334.05091770587876</v>
      </c>
      <c r="K208" s="36">
        <v>0.24368156794531484</v>
      </c>
      <c r="L208" s="42">
        <f t="shared" si="44"/>
        <v>0</v>
      </c>
      <c r="M208" s="42">
        <f t="shared" si="44"/>
        <v>20000</v>
      </c>
      <c r="N208" s="42">
        <f t="shared" si="40"/>
        <v>4873.6313589062966</v>
      </c>
      <c r="O208" s="36">
        <v>6.3008588764009748</v>
      </c>
      <c r="P208" s="42">
        <f t="shared" si="41"/>
        <v>9724.1068363906634</v>
      </c>
      <c r="Q208" s="42"/>
      <c r="R208">
        <v>0.36140018921475875</v>
      </c>
      <c r="S208">
        <v>0.80202642902920618</v>
      </c>
      <c r="T208" s="42"/>
      <c r="U208" s="42"/>
    </row>
    <row r="209" spans="1:21" x14ac:dyDescent="0.25">
      <c r="A209" s="40">
        <f t="shared" si="42"/>
        <v>0</v>
      </c>
      <c r="B209" s="40">
        <f t="shared" si="43"/>
        <v>50</v>
      </c>
      <c r="C209" s="41">
        <f t="shared" si="36"/>
        <v>1.0313000000000001</v>
      </c>
      <c r="D209" s="41">
        <f t="shared" si="37"/>
        <v>0.88000000000000012</v>
      </c>
      <c r="E209" s="39">
        <f>IF(_xlfn.NORM.INV(R209,C209,'Regressão Grupo 2'!$B$7)&lt;=0,0,IF(_xlfn.NORM.INV(R209,C209,'Regressão Grupo 2'!$B$7)&gt;100%,100%,_xlfn.NORM.INV(R209,C209,'Regressão Grupo 2'!$B$7)))</f>
        <v>0.89565648875416048</v>
      </c>
      <c r="F209" s="39">
        <f>IF(_xlfn.NORM.INV(S209,D209,'Regressão Grupo 2'!$B$7)&lt;=0,0,IF(_xlfn.NORM.INV(S209,D209,'Regressão Grupo 2'!$B$7)&gt;100%,100%,_xlfn.NORM.INV(S209,D209,'Regressão Grupo 2'!$B$7)))</f>
        <v>1</v>
      </c>
      <c r="G209" s="41">
        <v>2.3224140956484715E-2</v>
      </c>
      <c r="H209" s="41">
        <v>2.8264216814281731E-2</v>
      </c>
      <c r="I209" s="40">
        <f t="shared" si="38"/>
        <v>0</v>
      </c>
      <c r="J209" s="40">
        <f t="shared" si="39"/>
        <v>565.28433628563459</v>
      </c>
      <c r="K209" s="36">
        <v>0.40802323456468015</v>
      </c>
      <c r="L209" s="42">
        <f t="shared" si="44"/>
        <v>0</v>
      </c>
      <c r="M209" s="42">
        <f t="shared" si="44"/>
        <v>20000</v>
      </c>
      <c r="N209" s="42">
        <f t="shared" si="40"/>
        <v>8160.4646912936032</v>
      </c>
      <c r="O209" s="36">
        <v>5.5590047560216416</v>
      </c>
      <c r="P209" s="42">
        <f t="shared" si="41"/>
        <v>16961.333809071744</v>
      </c>
      <c r="Q209" s="42"/>
      <c r="R209">
        <v>0.16330454420606097</v>
      </c>
      <c r="S209">
        <v>0.91824091311380351</v>
      </c>
      <c r="T209" s="42"/>
      <c r="U209" s="42"/>
    </row>
    <row r="210" spans="1:21" x14ac:dyDescent="0.25">
      <c r="A210" s="40">
        <f t="shared" si="42"/>
        <v>0</v>
      </c>
      <c r="B210" s="40">
        <f t="shared" si="43"/>
        <v>50</v>
      </c>
      <c r="C210" s="41">
        <f t="shared" si="36"/>
        <v>1.0313000000000001</v>
      </c>
      <c r="D210" s="41">
        <f t="shared" si="37"/>
        <v>0.88000000000000012</v>
      </c>
      <c r="E210" s="39">
        <f>IF(_xlfn.NORM.INV(R210,C210,'Regressão Grupo 2'!$B$7)&lt;=0,0,IF(_xlfn.NORM.INV(R210,C210,'Regressão Grupo 2'!$B$7)&gt;100%,100%,_xlfn.NORM.INV(R210,C210,'Regressão Grupo 2'!$B$7)))</f>
        <v>1</v>
      </c>
      <c r="F210" s="39">
        <f>IF(_xlfn.NORM.INV(S210,D210,'Regressão Grupo 2'!$B$7)&lt;=0,0,IF(_xlfn.NORM.INV(S210,D210,'Regressão Grupo 2'!$B$7)&gt;100%,100%,_xlfn.NORM.INV(S210,D210,'Regressão Grupo 2'!$B$7)))</f>
        <v>1</v>
      </c>
      <c r="G210" s="41">
        <v>1.0509875353864377E-2</v>
      </c>
      <c r="H210" s="41">
        <v>1.7490572774351447E-2</v>
      </c>
      <c r="I210" s="40">
        <f t="shared" si="38"/>
        <v>0</v>
      </c>
      <c r="J210" s="40">
        <f t="shared" si="39"/>
        <v>349.81145548702892</v>
      </c>
      <c r="K210" s="36">
        <v>0.36157813029122932</v>
      </c>
      <c r="L210" s="42">
        <f t="shared" si="44"/>
        <v>0</v>
      </c>
      <c r="M210" s="42">
        <f t="shared" si="44"/>
        <v>20000</v>
      </c>
      <c r="N210" s="42">
        <f t="shared" si="40"/>
        <v>7231.5626058245862</v>
      </c>
      <c r="O210" s="36">
        <v>5.2310038861899288</v>
      </c>
      <c r="P210" s="42">
        <f t="shared" si="41"/>
        <v>8429.1450854404575</v>
      </c>
      <c r="Q210" s="42"/>
      <c r="R210">
        <v>0.97250282296212653</v>
      </c>
      <c r="S210">
        <v>0.84624774925992619</v>
      </c>
      <c r="T210" s="42"/>
      <c r="U210" s="42"/>
    </row>
    <row r="211" spans="1:21" x14ac:dyDescent="0.25">
      <c r="A211" s="40">
        <f t="shared" si="42"/>
        <v>0</v>
      </c>
      <c r="B211" s="40">
        <f t="shared" si="43"/>
        <v>50</v>
      </c>
      <c r="C211" s="41">
        <f t="shared" si="36"/>
        <v>1.0313000000000001</v>
      </c>
      <c r="D211" s="41">
        <f t="shared" si="37"/>
        <v>0.88000000000000012</v>
      </c>
      <c r="E211" s="39">
        <f>IF(_xlfn.NORM.INV(R211,C211,'Regressão Grupo 2'!$B$7)&lt;=0,0,IF(_xlfn.NORM.INV(R211,C211,'Regressão Grupo 2'!$B$7)&gt;100%,100%,_xlfn.NORM.INV(R211,C211,'Regressão Grupo 2'!$B$7)))</f>
        <v>1</v>
      </c>
      <c r="F211" s="39">
        <f>IF(_xlfn.NORM.INV(S211,D211,'Regressão Grupo 2'!$B$7)&lt;=0,0,IF(_xlfn.NORM.INV(S211,D211,'Regressão Grupo 2'!$B$7)&gt;100%,100%,_xlfn.NORM.INV(S211,D211,'Regressão Grupo 2'!$B$7)))</f>
        <v>1</v>
      </c>
      <c r="G211" s="41">
        <v>2.3605246741735447E-2</v>
      </c>
      <c r="H211" s="41">
        <v>1.3011618392497764E-2</v>
      </c>
      <c r="I211" s="40">
        <f t="shared" si="38"/>
        <v>0</v>
      </c>
      <c r="J211" s="40">
        <f t="shared" si="39"/>
        <v>260.23236784995527</v>
      </c>
      <c r="K211" s="36">
        <v>0.27453965538227798</v>
      </c>
      <c r="L211" s="42">
        <f t="shared" si="44"/>
        <v>0</v>
      </c>
      <c r="M211" s="42">
        <f t="shared" si="44"/>
        <v>20000</v>
      </c>
      <c r="N211" s="42">
        <f t="shared" si="40"/>
        <v>5490.7931076455598</v>
      </c>
      <c r="O211" s="36">
        <v>4.2663606435926891</v>
      </c>
      <c r="P211" s="42">
        <f t="shared" si="41"/>
        <v>6410.5801524682183</v>
      </c>
      <c r="Q211" s="42"/>
      <c r="R211">
        <v>0.6343577379680776</v>
      </c>
      <c r="S211">
        <v>0.98477126377147739</v>
      </c>
      <c r="T211" s="42"/>
      <c r="U211" s="42"/>
    </row>
    <row r="212" spans="1:21" x14ac:dyDescent="0.25">
      <c r="A212" s="40">
        <f t="shared" si="42"/>
        <v>0</v>
      </c>
      <c r="B212" s="40">
        <f t="shared" si="43"/>
        <v>50</v>
      </c>
      <c r="C212" s="41">
        <f t="shared" si="36"/>
        <v>1.0313000000000001</v>
      </c>
      <c r="D212" s="41">
        <f t="shared" si="37"/>
        <v>0.88000000000000012</v>
      </c>
      <c r="E212" s="39">
        <f>IF(_xlfn.NORM.INV(R212,C212,'Regressão Grupo 2'!$B$7)&lt;=0,0,IF(_xlfn.NORM.INV(R212,C212,'Regressão Grupo 2'!$B$7)&gt;100%,100%,_xlfn.NORM.INV(R212,C212,'Regressão Grupo 2'!$B$7)))</f>
        <v>1</v>
      </c>
      <c r="F212" s="39">
        <f>IF(_xlfn.NORM.INV(S212,D212,'Regressão Grupo 2'!$B$7)&lt;=0,0,IF(_xlfn.NORM.INV(S212,D212,'Regressão Grupo 2'!$B$7)&gt;100%,100%,_xlfn.NORM.INV(S212,D212,'Regressão Grupo 2'!$B$7)))</f>
        <v>1</v>
      </c>
      <c r="G212" s="41">
        <v>1.3982728403000307E-2</v>
      </c>
      <c r="H212" s="41">
        <v>2.3428020511864683E-2</v>
      </c>
      <c r="I212" s="40">
        <f t="shared" si="38"/>
        <v>0</v>
      </c>
      <c r="J212" s="40">
        <f t="shared" si="39"/>
        <v>468.56041023729369</v>
      </c>
      <c r="K212" s="36">
        <v>0.34178724530175658</v>
      </c>
      <c r="L212" s="42">
        <f t="shared" si="44"/>
        <v>0</v>
      </c>
      <c r="M212" s="42">
        <f t="shared" si="44"/>
        <v>20000</v>
      </c>
      <c r="N212" s="42">
        <f t="shared" si="40"/>
        <v>6835.7449060351319</v>
      </c>
      <c r="O212" s="36">
        <v>9.1357093522179404</v>
      </c>
      <c r="P212" s="42">
        <f t="shared" si="41"/>
        <v>12311.643883945635</v>
      </c>
      <c r="Q212" s="42"/>
      <c r="R212">
        <v>0.46070741904965362</v>
      </c>
      <c r="S212">
        <v>0.93728446302682578</v>
      </c>
      <c r="T212" s="42"/>
      <c r="U212" s="42"/>
    </row>
    <row r="213" spans="1:21" x14ac:dyDescent="0.25">
      <c r="A213" s="40">
        <f t="shared" si="42"/>
        <v>0</v>
      </c>
      <c r="B213" s="40">
        <f t="shared" si="43"/>
        <v>50</v>
      </c>
      <c r="C213" s="41">
        <f t="shared" si="36"/>
        <v>1.0313000000000001</v>
      </c>
      <c r="D213" s="41">
        <f t="shared" si="37"/>
        <v>0.88000000000000012</v>
      </c>
      <c r="E213" s="39">
        <f>IF(_xlfn.NORM.INV(R213,C213,'Regressão Grupo 2'!$B$7)&lt;=0,0,IF(_xlfn.NORM.INV(R213,C213,'Regressão Grupo 2'!$B$7)&gt;100%,100%,_xlfn.NORM.INV(R213,C213,'Regressão Grupo 2'!$B$7)))</f>
        <v>1</v>
      </c>
      <c r="F213" s="39">
        <f>IF(_xlfn.NORM.INV(S213,D213,'Regressão Grupo 2'!$B$7)&lt;=0,0,IF(_xlfn.NORM.INV(S213,D213,'Regressão Grupo 2'!$B$7)&gt;100%,100%,_xlfn.NORM.INV(S213,D213,'Regressão Grupo 2'!$B$7)))</f>
        <v>0.88779472245057756</v>
      </c>
      <c r="G213" s="41">
        <v>2.0492789771067031E-2</v>
      </c>
      <c r="H213" s="41">
        <v>1.0438746258005598E-2</v>
      </c>
      <c r="I213" s="40">
        <f t="shared" si="38"/>
        <v>0</v>
      </c>
      <c r="J213" s="40">
        <f t="shared" si="39"/>
        <v>185.34927673716169</v>
      </c>
      <c r="K213" s="36">
        <v>0.33525614940675758</v>
      </c>
      <c r="L213" s="42">
        <f t="shared" si="44"/>
        <v>0</v>
      </c>
      <c r="M213" s="42">
        <f t="shared" si="44"/>
        <v>20000</v>
      </c>
      <c r="N213" s="42">
        <f t="shared" si="40"/>
        <v>6705.1229881351519</v>
      </c>
      <c r="O213" s="36">
        <v>6.8759897725928631</v>
      </c>
      <c r="P213" s="42">
        <f t="shared" si="41"/>
        <v>1287.8811175207238</v>
      </c>
      <c r="Q213" s="42"/>
      <c r="R213">
        <v>0.83693960386974697</v>
      </c>
      <c r="S213">
        <v>0.52247688222907196</v>
      </c>
      <c r="T213" s="42"/>
      <c r="U213" s="42"/>
    </row>
    <row r="214" spans="1:21" x14ac:dyDescent="0.25">
      <c r="A214" s="40">
        <f t="shared" si="42"/>
        <v>0</v>
      </c>
      <c r="B214" s="40">
        <f t="shared" si="43"/>
        <v>50</v>
      </c>
      <c r="C214" s="41">
        <f t="shared" si="36"/>
        <v>1.0313000000000001</v>
      </c>
      <c r="D214" s="41">
        <f t="shared" si="37"/>
        <v>0.88000000000000012</v>
      </c>
      <c r="E214" s="39">
        <f>IF(_xlfn.NORM.INV(R214,C214,'Regressão Grupo 2'!$B$7)&lt;=0,0,IF(_xlfn.NORM.INV(R214,C214,'Regressão Grupo 2'!$B$7)&gt;100%,100%,_xlfn.NORM.INV(R214,C214,'Regressão Grupo 2'!$B$7)))</f>
        <v>1</v>
      </c>
      <c r="F214" s="39">
        <f>IF(_xlfn.NORM.INV(S214,D214,'Regressão Grupo 2'!$B$7)&lt;=0,0,IF(_xlfn.NORM.INV(S214,D214,'Regressão Grupo 2'!$B$7)&gt;100%,100%,_xlfn.NORM.INV(S214,D214,'Regressão Grupo 2'!$B$7)))</f>
        <v>1</v>
      </c>
      <c r="G214" s="41">
        <v>1.9657104279553146E-2</v>
      </c>
      <c r="H214" s="41">
        <v>7.7140008007145081E-3</v>
      </c>
      <c r="I214" s="40">
        <f t="shared" si="38"/>
        <v>0</v>
      </c>
      <c r="J214" s="40">
        <f t="shared" si="39"/>
        <v>154.28001601429017</v>
      </c>
      <c r="K214" s="36">
        <v>0.34898399483323528</v>
      </c>
      <c r="L214" s="42">
        <f t="shared" si="44"/>
        <v>0</v>
      </c>
      <c r="M214" s="42">
        <f t="shared" si="44"/>
        <v>20000</v>
      </c>
      <c r="N214" s="42">
        <f t="shared" si="40"/>
        <v>6979.6798966647057</v>
      </c>
      <c r="O214" s="36">
        <v>3.4113528175844019</v>
      </c>
      <c r="P214" s="42">
        <f t="shared" si="41"/>
        <v>208.01733672248793</v>
      </c>
      <c r="Q214" s="42"/>
      <c r="R214">
        <v>0.69460127567369612</v>
      </c>
      <c r="S214">
        <v>0.84493545335245823</v>
      </c>
      <c r="T214" s="42"/>
      <c r="U214" s="42"/>
    </row>
    <row r="215" spans="1:21" x14ac:dyDescent="0.25">
      <c r="A215" s="40">
        <f t="shared" si="42"/>
        <v>0</v>
      </c>
      <c r="B215" s="40">
        <f t="shared" si="43"/>
        <v>50</v>
      </c>
      <c r="C215" s="41">
        <f t="shared" si="36"/>
        <v>1.0313000000000001</v>
      </c>
      <c r="D215" s="41">
        <f t="shared" si="37"/>
        <v>0.88000000000000012</v>
      </c>
      <c r="E215" s="39">
        <f>IF(_xlfn.NORM.INV(R215,C215,'Regressão Grupo 2'!$B$7)&lt;=0,0,IF(_xlfn.NORM.INV(R215,C215,'Regressão Grupo 2'!$B$7)&gt;100%,100%,_xlfn.NORM.INV(R215,C215,'Regressão Grupo 2'!$B$7)))</f>
        <v>1</v>
      </c>
      <c r="F215" s="39">
        <f>IF(_xlfn.NORM.INV(S215,D215,'Regressão Grupo 2'!$B$7)&lt;=0,0,IF(_xlfn.NORM.INV(S215,D215,'Regressão Grupo 2'!$B$7)&gt;100%,100%,_xlfn.NORM.INV(S215,D215,'Regressão Grupo 2'!$B$7)))</f>
        <v>0.96002613975268236</v>
      </c>
      <c r="G215" s="41">
        <v>1.9704552486054832E-2</v>
      </c>
      <c r="H215" s="41">
        <v>2.0886174878367372E-2</v>
      </c>
      <c r="I215" s="40">
        <f t="shared" si="38"/>
        <v>0</v>
      </c>
      <c r="J215" s="40">
        <f t="shared" si="39"/>
        <v>401.02547685356956</v>
      </c>
      <c r="K215" s="36">
        <v>0.18953105081000149</v>
      </c>
      <c r="L215" s="42">
        <f t="shared" ref="L215:M230" si="45">L214</f>
        <v>0</v>
      </c>
      <c r="M215" s="42">
        <f t="shared" si="45"/>
        <v>20000</v>
      </c>
      <c r="N215" s="42">
        <f t="shared" si="40"/>
        <v>3790.6210162000298</v>
      </c>
      <c r="O215" s="36">
        <v>4.24732800613784</v>
      </c>
      <c r="P215" s="42">
        <f t="shared" si="41"/>
        <v>14557.366087463501</v>
      </c>
      <c r="Q215" s="42"/>
      <c r="R215">
        <v>0.8350474562822352</v>
      </c>
      <c r="S215">
        <v>0.71861934263130589</v>
      </c>
      <c r="T215" s="42"/>
      <c r="U215" s="42"/>
    </row>
    <row r="216" spans="1:21" x14ac:dyDescent="0.25">
      <c r="A216" s="40">
        <f t="shared" si="42"/>
        <v>0</v>
      </c>
      <c r="B216" s="40">
        <f t="shared" si="43"/>
        <v>50</v>
      </c>
      <c r="C216" s="41">
        <f t="shared" si="36"/>
        <v>1.0313000000000001</v>
      </c>
      <c r="D216" s="41">
        <f t="shared" si="37"/>
        <v>0.88000000000000012</v>
      </c>
      <c r="E216" s="39">
        <f>IF(_xlfn.NORM.INV(R216,C216,'Regressão Grupo 2'!$B$7)&lt;=0,0,IF(_xlfn.NORM.INV(R216,C216,'Regressão Grupo 2'!$B$7)&gt;100%,100%,_xlfn.NORM.INV(R216,C216,'Regressão Grupo 2'!$B$7)))</f>
        <v>1</v>
      </c>
      <c r="F216" s="39">
        <f>IF(_xlfn.NORM.INV(S216,D216,'Regressão Grupo 2'!$B$7)&lt;=0,0,IF(_xlfn.NORM.INV(S216,D216,'Regressão Grupo 2'!$B$7)&gt;100%,100%,_xlfn.NORM.INV(S216,D216,'Regressão Grupo 2'!$B$7)))</f>
        <v>0.90911778326454484</v>
      </c>
      <c r="G216" s="41">
        <v>2.2611708479165681E-2</v>
      </c>
      <c r="H216" s="41">
        <v>1.5787761968763348E-2</v>
      </c>
      <c r="I216" s="40">
        <f t="shared" si="38"/>
        <v>0</v>
      </c>
      <c r="J216" s="40">
        <f t="shared" si="39"/>
        <v>287.05870327500844</v>
      </c>
      <c r="K216" s="36">
        <v>0.36348199377644574</v>
      </c>
      <c r="L216" s="42">
        <f t="shared" si="45"/>
        <v>0</v>
      </c>
      <c r="M216" s="42">
        <f t="shared" si="45"/>
        <v>20000</v>
      </c>
      <c r="N216" s="42">
        <f t="shared" si="40"/>
        <v>7269.6398755289147</v>
      </c>
      <c r="O216" s="36">
        <v>3.2008607787164447</v>
      </c>
      <c r="P216" s="42">
        <f t="shared" si="41"/>
        <v>6164.4603437193318</v>
      </c>
      <c r="Q216" s="42"/>
      <c r="R216">
        <v>0.47422711874752038</v>
      </c>
      <c r="S216">
        <v>0.58339182714316229</v>
      </c>
      <c r="T216" s="42"/>
      <c r="U216" s="42"/>
    </row>
    <row r="217" spans="1:21" x14ac:dyDescent="0.25">
      <c r="A217" s="40">
        <f t="shared" si="42"/>
        <v>0</v>
      </c>
      <c r="B217" s="40">
        <f t="shared" si="43"/>
        <v>50</v>
      </c>
      <c r="C217" s="41">
        <f t="shared" si="36"/>
        <v>1.0313000000000001</v>
      </c>
      <c r="D217" s="41">
        <f t="shared" si="37"/>
        <v>0.88000000000000012</v>
      </c>
      <c r="E217" s="39">
        <f>IF(_xlfn.NORM.INV(R217,C217,'Regressão Grupo 2'!$B$7)&lt;=0,0,IF(_xlfn.NORM.INV(R217,C217,'Regressão Grupo 2'!$B$7)&gt;100%,100%,_xlfn.NORM.INV(R217,C217,'Regressão Grupo 2'!$B$7)))</f>
        <v>1</v>
      </c>
      <c r="F217" s="39">
        <f>IF(_xlfn.NORM.INV(S217,D217,'Regressão Grupo 2'!$B$7)&lt;=0,0,IF(_xlfn.NORM.INV(S217,D217,'Regressão Grupo 2'!$B$7)&gt;100%,100%,_xlfn.NORM.INV(S217,D217,'Regressão Grupo 2'!$B$7)))</f>
        <v>0.93819618709257457</v>
      </c>
      <c r="G217" s="41">
        <v>1.8459119890502852E-2</v>
      </c>
      <c r="H217" s="41">
        <v>3.387370010640889E-3</v>
      </c>
      <c r="I217" s="40">
        <f t="shared" si="38"/>
        <v>0</v>
      </c>
      <c r="J217" s="40">
        <f t="shared" si="39"/>
        <v>63.560352565100317</v>
      </c>
      <c r="K217" s="36">
        <v>0.29346518963899104</v>
      </c>
      <c r="L217" s="42">
        <f t="shared" si="45"/>
        <v>0</v>
      </c>
      <c r="M217" s="42">
        <f t="shared" si="45"/>
        <v>20000</v>
      </c>
      <c r="N217" s="42">
        <f t="shared" si="40"/>
        <v>5869.3037927798205</v>
      </c>
      <c r="O217" s="36">
        <v>7.520744303930611</v>
      </c>
      <c r="P217" s="42">
        <f t="shared" si="41"/>
        <v>-3169.3073240346039</v>
      </c>
      <c r="Q217" s="42"/>
      <c r="R217">
        <v>0.84240241706595054</v>
      </c>
      <c r="S217">
        <v>0.66307565538499103</v>
      </c>
      <c r="T217" s="42"/>
      <c r="U217" s="42"/>
    </row>
    <row r="218" spans="1:21" x14ac:dyDescent="0.25">
      <c r="A218" s="40">
        <f t="shared" si="42"/>
        <v>0</v>
      </c>
      <c r="B218" s="40">
        <f t="shared" si="43"/>
        <v>50</v>
      </c>
      <c r="C218" s="41">
        <f t="shared" si="36"/>
        <v>1.0313000000000001</v>
      </c>
      <c r="D218" s="41">
        <f t="shared" si="37"/>
        <v>0.88000000000000012</v>
      </c>
      <c r="E218" s="39">
        <f>IF(_xlfn.NORM.INV(R218,C218,'Regressão Grupo 2'!$B$7)&lt;=0,0,IF(_xlfn.NORM.INV(R218,C218,'Regressão Grupo 2'!$B$7)&gt;100%,100%,_xlfn.NORM.INV(R218,C218,'Regressão Grupo 2'!$B$7)))</f>
        <v>1</v>
      </c>
      <c r="F218" s="39">
        <f>IF(_xlfn.NORM.INV(S218,D218,'Regressão Grupo 2'!$B$7)&lt;=0,0,IF(_xlfn.NORM.INV(S218,D218,'Regressão Grupo 2'!$B$7)&gt;100%,100%,_xlfn.NORM.INV(S218,D218,'Regressão Grupo 2'!$B$7)))</f>
        <v>0.92185780610723789</v>
      </c>
      <c r="G218" s="41">
        <v>1.1321808204801305E-2</v>
      </c>
      <c r="H218" s="41">
        <v>5.9715100043605165E-3</v>
      </c>
      <c r="I218" s="40">
        <f t="shared" si="38"/>
        <v>0</v>
      </c>
      <c r="J218" s="40">
        <f t="shared" si="39"/>
        <v>110.09766223534417</v>
      </c>
      <c r="K218" s="36">
        <v>0.32050319009284395</v>
      </c>
      <c r="L218" s="42">
        <f t="shared" si="45"/>
        <v>0</v>
      </c>
      <c r="M218" s="42">
        <f t="shared" si="45"/>
        <v>20000</v>
      </c>
      <c r="N218" s="42">
        <f t="shared" si="40"/>
        <v>6410.0638018568789</v>
      </c>
      <c r="O218" s="36">
        <v>8.738013485961357</v>
      </c>
      <c r="P218" s="42">
        <f t="shared" si="41"/>
        <v>-1867.2155474749261</v>
      </c>
      <c r="Q218" s="42"/>
      <c r="R218">
        <v>0.83715323343607895</v>
      </c>
      <c r="S218">
        <v>0.61894589068269901</v>
      </c>
      <c r="T218" s="42"/>
      <c r="U218" s="42"/>
    </row>
    <row r="219" spans="1:21" x14ac:dyDescent="0.25">
      <c r="A219" s="40">
        <f t="shared" si="42"/>
        <v>0</v>
      </c>
      <c r="B219" s="40">
        <f t="shared" si="43"/>
        <v>50</v>
      </c>
      <c r="C219" s="41">
        <f t="shared" si="36"/>
        <v>1.0313000000000001</v>
      </c>
      <c r="D219" s="41">
        <f t="shared" si="37"/>
        <v>0.88000000000000012</v>
      </c>
      <c r="E219" s="39">
        <f>IF(_xlfn.NORM.INV(R219,C219,'Regressão Grupo 2'!$B$7)&lt;=0,0,IF(_xlfn.NORM.INV(R219,C219,'Regressão Grupo 2'!$B$7)&gt;100%,100%,_xlfn.NORM.INV(R219,C219,'Regressão Grupo 2'!$B$7)))</f>
        <v>0.92655500841710259</v>
      </c>
      <c r="F219" s="39">
        <f>IF(_xlfn.NORM.INV(S219,D219,'Regressão Grupo 2'!$B$7)&lt;=0,0,IF(_xlfn.NORM.INV(S219,D219,'Regressão Grupo 2'!$B$7)&gt;100%,100%,_xlfn.NORM.INV(S219,D219,'Regressão Grupo 2'!$B$7)))</f>
        <v>0.86860002918095192</v>
      </c>
      <c r="G219" s="41">
        <v>2.6840272269993179E-2</v>
      </c>
      <c r="H219" s="41">
        <v>2.833787563523486E-2</v>
      </c>
      <c r="I219" s="40">
        <f t="shared" si="38"/>
        <v>0</v>
      </c>
      <c r="J219" s="40">
        <f t="shared" si="39"/>
        <v>492.28559207382375</v>
      </c>
      <c r="K219" s="36">
        <v>0.31988793153080508</v>
      </c>
      <c r="L219" s="42">
        <f t="shared" si="45"/>
        <v>0</v>
      </c>
      <c r="M219" s="42">
        <f t="shared" si="45"/>
        <v>20000</v>
      </c>
      <c r="N219" s="42">
        <f t="shared" si="40"/>
        <v>6397.758630616102</v>
      </c>
      <c r="O219" s="36">
        <v>9.2591609271484838</v>
      </c>
      <c r="P219" s="42">
        <f t="shared" si="41"/>
        <v>13658.369453946976</v>
      </c>
      <c r="Q219" s="42"/>
      <c r="R219">
        <v>0.22437208166753136</v>
      </c>
      <c r="S219">
        <v>0.46714682454908901</v>
      </c>
    </row>
    <row r="220" spans="1:21" x14ac:dyDescent="0.25">
      <c r="A220" s="40">
        <f t="shared" si="42"/>
        <v>0</v>
      </c>
      <c r="B220" s="40">
        <f t="shared" si="43"/>
        <v>50</v>
      </c>
      <c r="C220" s="41">
        <f t="shared" si="36"/>
        <v>1.0313000000000001</v>
      </c>
      <c r="D220" s="41">
        <f t="shared" si="37"/>
        <v>0.88000000000000012</v>
      </c>
      <c r="E220" s="39">
        <f>IF(_xlfn.NORM.INV(R220,C220,'Regressão Grupo 2'!$B$7)&lt;=0,0,IF(_xlfn.NORM.INV(R220,C220,'Regressão Grupo 2'!$B$7)&gt;100%,100%,_xlfn.NORM.INV(R220,C220,'Regressão Grupo 2'!$B$7)))</f>
        <v>0.96922025711360404</v>
      </c>
      <c r="F220" s="39">
        <f>IF(_xlfn.NORM.INV(S220,D220,'Regressão Grupo 2'!$B$7)&lt;=0,0,IF(_xlfn.NORM.INV(S220,D220,'Regressão Grupo 2'!$B$7)&gt;100%,100%,_xlfn.NORM.INV(S220,D220,'Regressão Grupo 2'!$B$7)))</f>
        <v>0.7580051633274314</v>
      </c>
      <c r="G220" s="41">
        <v>1.2576625568745026E-2</v>
      </c>
      <c r="H220" s="41">
        <v>1.6601389446478564E-2</v>
      </c>
      <c r="I220" s="40">
        <f t="shared" si="38"/>
        <v>0</v>
      </c>
      <c r="J220" s="40">
        <f t="shared" si="39"/>
        <v>251.67877837680558</v>
      </c>
      <c r="K220" s="36">
        <v>0.32122361011173217</v>
      </c>
      <c r="L220" s="42">
        <f t="shared" si="45"/>
        <v>0</v>
      </c>
      <c r="M220" s="42">
        <f t="shared" si="45"/>
        <v>20000</v>
      </c>
      <c r="N220" s="42">
        <f t="shared" si="40"/>
        <v>6424.4722022346432</v>
      </c>
      <c r="O220" s="36">
        <v>6.4229826590900068</v>
      </c>
      <c r="P220" s="42">
        <f t="shared" si="41"/>
        <v>4542.9382874304556</v>
      </c>
      <c r="Q220" s="42"/>
      <c r="R220">
        <v>0.32673116245002592</v>
      </c>
      <c r="S220">
        <v>0.18881801812799462</v>
      </c>
    </row>
    <row r="221" spans="1:21" x14ac:dyDescent="0.25">
      <c r="A221" s="40">
        <f t="shared" si="42"/>
        <v>0</v>
      </c>
      <c r="B221" s="40">
        <f t="shared" si="43"/>
        <v>50</v>
      </c>
      <c r="C221" s="41">
        <f t="shared" si="36"/>
        <v>1.0313000000000001</v>
      </c>
      <c r="D221" s="41">
        <f t="shared" si="37"/>
        <v>0.88000000000000012</v>
      </c>
      <c r="E221" s="39">
        <f>IF(_xlfn.NORM.INV(R221,C221,'Regressão Grupo 2'!$B$7)&lt;=0,0,IF(_xlfn.NORM.INV(R221,C221,'Regressão Grupo 2'!$B$7)&gt;100%,100%,_xlfn.NORM.INV(R221,C221,'Regressão Grupo 2'!$B$7)))</f>
        <v>0.89725615286083371</v>
      </c>
      <c r="F221" s="39">
        <f>IF(_xlfn.NORM.INV(S221,D221,'Regressão Grupo 2'!$B$7)&lt;=0,0,IF(_xlfn.NORM.INV(S221,D221,'Regressão Grupo 2'!$B$7)&gt;100%,100%,_xlfn.NORM.INV(S221,D221,'Regressão Grupo 2'!$B$7)))</f>
        <v>0.83932556983953799</v>
      </c>
      <c r="G221" s="41">
        <v>1.5704074660096042E-2</v>
      </c>
      <c r="H221" s="41">
        <v>2.4533799902155606E-2</v>
      </c>
      <c r="I221" s="40">
        <f t="shared" si="38"/>
        <v>0</v>
      </c>
      <c r="J221" s="40">
        <f t="shared" si="39"/>
        <v>411.83691166411916</v>
      </c>
      <c r="K221" s="36">
        <v>0.16038414529283812</v>
      </c>
      <c r="L221" s="42">
        <f t="shared" si="45"/>
        <v>0</v>
      </c>
      <c r="M221" s="42">
        <f t="shared" si="45"/>
        <v>20000</v>
      </c>
      <c r="N221" s="42">
        <f t="shared" si="40"/>
        <v>3207.6829058567623</v>
      </c>
      <c r="O221" s="36">
        <v>3.5330291454956182</v>
      </c>
      <c r="P221" s="42">
        <f t="shared" si="41"/>
        <v>15929.130865248959</v>
      </c>
      <c r="Q221" s="42"/>
      <c r="R221">
        <v>0.16617328409680471</v>
      </c>
      <c r="S221">
        <v>0.38431958983123266</v>
      </c>
    </row>
    <row r="222" spans="1:21" x14ac:dyDescent="0.25">
      <c r="A222" s="40">
        <f t="shared" si="42"/>
        <v>0</v>
      </c>
      <c r="B222" s="40">
        <f t="shared" si="43"/>
        <v>50</v>
      </c>
      <c r="C222" s="41">
        <f t="shared" si="36"/>
        <v>1.0313000000000001</v>
      </c>
      <c r="D222" s="41">
        <f t="shared" si="37"/>
        <v>0.88000000000000012</v>
      </c>
      <c r="E222" s="39">
        <f>IF(_xlfn.NORM.INV(R222,C222,'Regressão Grupo 2'!$B$7)&lt;=0,0,IF(_xlfn.NORM.INV(R222,C222,'Regressão Grupo 2'!$B$7)&gt;100%,100%,_xlfn.NORM.INV(R222,C222,'Regressão Grupo 2'!$B$7)))</f>
        <v>0.94033583035538981</v>
      </c>
      <c r="F222" s="39">
        <f>IF(_xlfn.NORM.INV(S222,D222,'Regressão Grupo 2'!$B$7)&lt;=0,0,IF(_xlfn.NORM.INV(S222,D222,'Regressão Grupo 2'!$B$7)&gt;100%,100%,_xlfn.NORM.INV(S222,D222,'Regressão Grupo 2'!$B$7)))</f>
        <v>0.92878983409338423</v>
      </c>
      <c r="G222" s="41">
        <v>1.769525692154196E-2</v>
      </c>
      <c r="H222" s="41">
        <v>2.3790888064945705E-2</v>
      </c>
      <c r="I222" s="40">
        <f t="shared" si="38"/>
        <v>0</v>
      </c>
      <c r="J222" s="40">
        <f t="shared" si="39"/>
        <v>441.93469957550394</v>
      </c>
      <c r="K222" s="36">
        <v>0.2596469429007755</v>
      </c>
      <c r="L222" s="42">
        <f t="shared" si="45"/>
        <v>0</v>
      </c>
      <c r="M222" s="42">
        <f t="shared" si="45"/>
        <v>20000</v>
      </c>
      <c r="N222" s="42">
        <f t="shared" si="40"/>
        <v>5192.93885801551</v>
      </c>
      <c r="O222" s="36">
        <v>4.1643743049384732</v>
      </c>
      <c r="P222" s="42">
        <f t="shared" si="41"/>
        <v>15063.414613386754</v>
      </c>
      <c r="Q222" s="42"/>
      <c r="R222">
        <v>0.25531785027619253</v>
      </c>
      <c r="S222">
        <v>0.63789788506729328</v>
      </c>
    </row>
    <row r="223" spans="1:21" x14ac:dyDescent="0.25">
      <c r="A223" s="40">
        <f t="shared" si="42"/>
        <v>0</v>
      </c>
      <c r="B223" s="40">
        <f t="shared" si="43"/>
        <v>50</v>
      </c>
      <c r="C223" s="41">
        <f t="shared" si="36"/>
        <v>1.0313000000000001</v>
      </c>
      <c r="D223" s="41">
        <f t="shared" si="37"/>
        <v>0.88000000000000012</v>
      </c>
      <c r="E223" s="39">
        <f>IF(_xlfn.NORM.INV(R223,C223,'Regressão Grupo 2'!$B$7)&lt;=0,0,IF(_xlfn.NORM.INV(R223,C223,'Regressão Grupo 2'!$B$7)&gt;100%,100%,_xlfn.NORM.INV(R223,C223,'Regressão Grupo 2'!$B$7)))</f>
        <v>0.95405917336479884</v>
      </c>
      <c r="F223" s="39">
        <f>IF(_xlfn.NORM.INV(S223,D223,'Regressão Grupo 2'!$B$7)&lt;=0,0,IF(_xlfn.NORM.INV(S223,D223,'Regressão Grupo 2'!$B$7)&gt;100%,100%,_xlfn.NORM.INV(S223,D223,'Regressão Grupo 2'!$B$7)))</f>
        <v>0.69390184071746497</v>
      </c>
      <c r="G223" s="41">
        <v>3.6248248485475413E-3</v>
      </c>
      <c r="H223" s="41">
        <v>2.2333592904725641E-2</v>
      </c>
      <c r="I223" s="40">
        <f t="shared" si="38"/>
        <v>0</v>
      </c>
      <c r="J223" s="40">
        <f t="shared" si="39"/>
        <v>309.94642452847279</v>
      </c>
      <c r="K223" s="36">
        <v>0.21215262293271825</v>
      </c>
      <c r="L223" s="42">
        <f t="shared" si="45"/>
        <v>0</v>
      </c>
      <c r="M223" s="42">
        <f t="shared" si="45"/>
        <v>20000</v>
      </c>
      <c r="N223" s="42">
        <f t="shared" si="40"/>
        <v>4243.0524586543652</v>
      </c>
      <c r="O223" s="36">
        <v>4.8713554107388388</v>
      </c>
      <c r="P223" s="42">
        <f t="shared" si="41"/>
        <v>9744.4095756033403</v>
      </c>
      <c r="Q223" s="42"/>
      <c r="R223">
        <v>0.28821680349131751</v>
      </c>
      <c r="S223">
        <v>8.9175084688863801E-2</v>
      </c>
    </row>
    <row r="224" spans="1:21" x14ac:dyDescent="0.25">
      <c r="A224" s="40">
        <f t="shared" si="42"/>
        <v>0</v>
      </c>
      <c r="B224" s="40">
        <f t="shared" si="43"/>
        <v>50</v>
      </c>
      <c r="C224" s="41">
        <f t="shared" si="36"/>
        <v>1.0313000000000001</v>
      </c>
      <c r="D224" s="41">
        <f t="shared" si="37"/>
        <v>0.88000000000000012</v>
      </c>
      <c r="E224" s="39">
        <f>IF(_xlfn.NORM.INV(R224,C224,'Regressão Grupo 2'!$B$7)&lt;=0,0,IF(_xlfn.NORM.INV(R224,C224,'Regressão Grupo 2'!$B$7)&gt;100%,100%,_xlfn.NORM.INV(R224,C224,'Regressão Grupo 2'!$B$7)))</f>
        <v>1</v>
      </c>
      <c r="F224" s="39">
        <f>IF(_xlfn.NORM.INV(S224,D224,'Regressão Grupo 2'!$B$7)&lt;=0,0,IF(_xlfn.NORM.INV(S224,D224,'Regressão Grupo 2'!$B$7)&gt;100%,100%,_xlfn.NORM.INV(S224,D224,'Regressão Grupo 2'!$B$7)))</f>
        <v>0.75279811330336699</v>
      </c>
      <c r="G224" s="41">
        <v>2.0605750772184822E-2</v>
      </c>
      <c r="H224" s="41">
        <v>2.2976037304988161E-2</v>
      </c>
      <c r="I224" s="40">
        <f t="shared" si="38"/>
        <v>0</v>
      </c>
      <c r="J224" s="40">
        <f t="shared" si="39"/>
        <v>345.92635068765725</v>
      </c>
      <c r="K224" s="36">
        <v>0.41145456060331698</v>
      </c>
      <c r="L224" s="42">
        <f t="shared" si="45"/>
        <v>0</v>
      </c>
      <c r="M224" s="42">
        <f t="shared" si="45"/>
        <v>20000</v>
      </c>
      <c r="N224" s="42">
        <f t="shared" si="40"/>
        <v>8229.0912120663397</v>
      </c>
      <c r="O224" s="36">
        <v>4.573322956475236</v>
      </c>
      <c r="P224" s="42">
        <f t="shared" si="41"/>
        <v>7485.1934014669569</v>
      </c>
      <c r="Q224" s="42"/>
      <c r="R224">
        <v>0.4923245948667867</v>
      </c>
      <c r="S224">
        <v>0.17880794701986755</v>
      </c>
    </row>
    <row r="225" spans="1:19" x14ac:dyDescent="0.25">
      <c r="A225" s="40">
        <f t="shared" si="42"/>
        <v>0</v>
      </c>
      <c r="B225" s="40">
        <f t="shared" si="43"/>
        <v>50</v>
      </c>
      <c r="C225" s="41">
        <f t="shared" si="36"/>
        <v>1.0313000000000001</v>
      </c>
      <c r="D225" s="41">
        <f t="shared" si="37"/>
        <v>0.88000000000000012</v>
      </c>
      <c r="E225" s="39">
        <f>IF(_xlfn.NORM.INV(R225,C225,'Regressão Grupo 2'!$B$7)&lt;=0,0,IF(_xlfn.NORM.INV(R225,C225,'Regressão Grupo 2'!$B$7)&gt;100%,100%,_xlfn.NORM.INV(R225,C225,'Regressão Grupo 2'!$B$7)))</f>
        <v>1</v>
      </c>
      <c r="F225" s="39">
        <f>IF(_xlfn.NORM.INV(S225,D225,'Regressão Grupo 2'!$B$7)&lt;=0,0,IF(_xlfn.NORM.INV(S225,D225,'Regressão Grupo 2'!$B$7)&gt;100%,100%,_xlfn.NORM.INV(S225,D225,'Regressão Grupo 2'!$B$7)))</f>
        <v>0.98253168340712294</v>
      </c>
      <c r="G225" s="41">
        <v>2.3944883300242623E-2</v>
      </c>
      <c r="H225" s="41">
        <v>1.9523599575876623E-2</v>
      </c>
      <c r="I225" s="40">
        <f t="shared" si="38"/>
        <v>0</v>
      </c>
      <c r="J225" s="40">
        <f t="shared" si="39"/>
        <v>383.65110314905297</v>
      </c>
      <c r="K225" s="36">
        <v>0.25786290638468312</v>
      </c>
      <c r="L225" s="42">
        <f t="shared" si="45"/>
        <v>0</v>
      </c>
      <c r="M225" s="42">
        <f t="shared" si="45"/>
        <v>20000</v>
      </c>
      <c r="N225" s="42">
        <f t="shared" si="40"/>
        <v>5157.2581276936626</v>
      </c>
      <c r="O225" s="36">
        <v>5.4971296691033951</v>
      </c>
      <c r="P225" s="42">
        <f t="shared" si="41"/>
        <v>11916.31716805408</v>
      </c>
      <c r="Q225" s="42"/>
      <c r="R225">
        <v>0.98986785485396889</v>
      </c>
      <c r="S225">
        <v>0.77080599383526105</v>
      </c>
    </row>
    <row r="226" spans="1:19" x14ac:dyDescent="0.25">
      <c r="A226" s="40">
        <f t="shared" si="42"/>
        <v>0</v>
      </c>
      <c r="B226" s="40">
        <f t="shared" si="43"/>
        <v>50</v>
      </c>
      <c r="C226" s="41">
        <f t="shared" si="36"/>
        <v>1.0313000000000001</v>
      </c>
      <c r="D226" s="41">
        <f t="shared" si="37"/>
        <v>0.88000000000000012</v>
      </c>
      <c r="E226" s="39">
        <f>IF(_xlfn.NORM.INV(R226,C226,'Regressão Grupo 2'!$B$7)&lt;=0,0,IF(_xlfn.NORM.INV(R226,C226,'Regressão Grupo 2'!$B$7)&gt;100%,100%,_xlfn.NORM.INV(R226,C226,'Regressão Grupo 2'!$B$7)))</f>
        <v>1</v>
      </c>
      <c r="F226" s="39">
        <f>IF(_xlfn.NORM.INV(S226,D226,'Regressão Grupo 2'!$B$7)&lt;=0,0,IF(_xlfn.NORM.INV(S226,D226,'Regressão Grupo 2'!$B$7)&gt;100%,100%,_xlfn.NORM.INV(S226,D226,'Regressão Grupo 2'!$B$7)))</f>
        <v>1</v>
      </c>
      <c r="G226" s="41">
        <v>1.6004074397471216E-2</v>
      </c>
      <c r="H226" s="41">
        <v>1.3244133190248015E-2</v>
      </c>
      <c r="I226" s="40">
        <f t="shared" si="38"/>
        <v>0</v>
      </c>
      <c r="J226" s="40">
        <f t="shared" si="39"/>
        <v>264.88266380496032</v>
      </c>
      <c r="K226" s="36">
        <v>0.22335758761173435</v>
      </c>
      <c r="L226" s="42">
        <f t="shared" si="45"/>
        <v>0</v>
      </c>
      <c r="M226" s="42">
        <f t="shared" si="45"/>
        <v>20000</v>
      </c>
      <c r="N226" s="42">
        <f t="shared" si="40"/>
        <v>4467.1517522346867</v>
      </c>
      <c r="O226" s="36">
        <v>6.3240759161486615</v>
      </c>
      <c r="P226" s="42">
        <f t="shared" si="41"/>
        <v>7101.8433632390779</v>
      </c>
      <c r="Q226" s="42"/>
      <c r="R226">
        <v>0.80892361217078157</v>
      </c>
      <c r="S226">
        <v>0.98278756065553763</v>
      </c>
    </row>
    <row r="227" spans="1:19" x14ac:dyDescent="0.25">
      <c r="A227" s="40">
        <f t="shared" si="42"/>
        <v>0</v>
      </c>
      <c r="B227" s="40">
        <f t="shared" si="43"/>
        <v>50</v>
      </c>
      <c r="C227" s="41">
        <f t="shared" si="36"/>
        <v>1.0313000000000001</v>
      </c>
      <c r="D227" s="41">
        <f t="shared" si="37"/>
        <v>0.88000000000000012</v>
      </c>
      <c r="E227" s="39">
        <f>IF(_xlfn.NORM.INV(R227,C227,'Regressão Grupo 2'!$B$7)&lt;=0,0,IF(_xlfn.NORM.INV(R227,C227,'Regressão Grupo 2'!$B$7)&gt;100%,100%,_xlfn.NORM.INV(R227,C227,'Regressão Grupo 2'!$B$7)))</f>
        <v>1</v>
      </c>
      <c r="F227" s="39">
        <f>IF(_xlfn.NORM.INV(S227,D227,'Regressão Grupo 2'!$B$7)&lt;=0,0,IF(_xlfn.NORM.INV(S227,D227,'Regressão Grupo 2'!$B$7)&gt;100%,100%,_xlfn.NORM.INV(S227,D227,'Regressão Grupo 2'!$B$7)))</f>
        <v>0.76199760838057307</v>
      </c>
      <c r="G227" s="41">
        <v>9.0051103229532043E-3</v>
      </c>
      <c r="H227" s="41">
        <v>7.6993228899504274E-3</v>
      </c>
      <c r="I227" s="40">
        <f t="shared" si="38"/>
        <v>0</v>
      </c>
      <c r="J227" s="40">
        <f t="shared" si="39"/>
        <v>117.33731256584055</v>
      </c>
      <c r="K227" s="36">
        <v>0.28396173487708476</v>
      </c>
      <c r="L227" s="42">
        <f t="shared" si="45"/>
        <v>0</v>
      </c>
      <c r="M227" s="42">
        <f t="shared" si="45"/>
        <v>20000</v>
      </c>
      <c r="N227" s="42">
        <f t="shared" si="40"/>
        <v>5679.2346975416949</v>
      </c>
      <c r="O227" s="36">
        <v>5.9813907980330585</v>
      </c>
      <c r="P227" s="42">
        <f t="shared" si="41"/>
        <v>-514.20939089691456</v>
      </c>
      <c r="Q227" s="42"/>
      <c r="R227">
        <v>0.80309457686086616</v>
      </c>
      <c r="S227">
        <v>0.19672231208227789</v>
      </c>
    </row>
    <row r="228" spans="1:19" x14ac:dyDescent="0.25">
      <c r="A228" s="40">
        <f t="shared" si="42"/>
        <v>0</v>
      </c>
      <c r="B228" s="40">
        <f t="shared" si="43"/>
        <v>50</v>
      </c>
      <c r="C228" s="41">
        <f t="shared" si="36"/>
        <v>1.0313000000000001</v>
      </c>
      <c r="D228" s="41">
        <f t="shared" si="37"/>
        <v>0.88000000000000012</v>
      </c>
      <c r="E228" s="39">
        <f>IF(_xlfn.NORM.INV(R228,C228,'Regressão Grupo 2'!$B$7)&lt;=0,0,IF(_xlfn.NORM.INV(R228,C228,'Regressão Grupo 2'!$B$7)&gt;100%,100%,_xlfn.NORM.INV(R228,C228,'Regressão Grupo 2'!$B$7)))</f>
        <v>0.96312138652686741</v>
      </c>
      <c r="F228" s="39">
        <f>IF(_xlfn.NORM.INV(S228,D228,'Regressão Grupo 2'!$B$7)&lt;=0,0,IF(_xlfn.NORM.INV(S228,D228,'Regressão Grupo 2'!$B$7)&gt;100%,100%,_xlfn.NORM.INV(S228,D228,'Regressão Grupo 2'!$B$7)))</f>
        <v>0.53273111545021989</v>
      </c>
      <c r="G228" s="41">
        <v>1.3331292065689528E-2</v>
      </c>
      <c r="H228" s="41">
        <v>2.1565343488237337E-2</v>
      </c>
      <c r="I228" s="40">
        <f t="shared" si="38"/>
        <v>0</v>
      </c>
      <c r="J228" s="40">
        <f t="shared" si="39"/>
        <v>229.77058983111624</v>
      </c>
      <c r="K228" s="36">
        <v>0.32265443508723968</v>
      </c>
      <c r="L228" s="42">
        <f t="shared" si="45"/>
        <v>0</v>
      </c>
      <c r="M228" s="42">
        <f t="shared" si="45"/>
        <v>20000</v>
      </c>
      <c r="N228" s="42">
        <f t="shared" si="40"/>
        <v>6453.088701744794</v>
      </c>
      <c r="O228" s="36">
        <v>3.5465737829839306</v>
      </c>
      <c r="P228" s="42">
        <f t="shared" si="41"/>
        <v>4220.5424398152272</v>
      </c>
      <c r="Q228" s="42"/>
      <c r="R228">
        <v>0.31098361156041138</v>
      </c>
      <c r="S228">
        <v>6.0121463667714469E-3</v>
      </c>
    </row>
    <row r="229" spans="1:19" x14ac:dyDescent="0.25">
      <c r="A229" s="40">
        <f t="shared" si="42"/>
        <v>0</v>
      </c>
      <c r="B229" s="40">
        <f t="shared" si="43"/>
        <v>50</v>
      </c>
      <c r="C229" s="41">
        <f t="shared" si="36"/>
        <v>1.0313000000000001</v>
      </c>
      <c r="D229" s="41">
        <f t="shared" si="37"/>
        <v>0.88000000000000012</v>
      </c>
      <c r="E229" s="39">
        <f>IF(_xlfn.NORM.INV(R229,C229,'Regressão Grupo 2'!$B$7)&lt;=0,0,IF(_xlfn.NORM.INV(R229,C229,'Regressão Grupo 2'!$B$7)&gt;100%,100%,_xlfn.NORM.INV(R229,C229,'Regressão Grupo 2'!$B$7)))</f>
        <v>1</v>
      </c>
      <c r="F229" s="39">
        <f>IF(_xlfn.NORM.INV(S229,D229,'Regressão Grupo 2'!$B$7)&lt;=0,0,IF(_xlfn.NORM.INV(S229,D229,'Regressão Grupo 2'!$B$7)&gt;100%,100%,_xlfn.NORM.INV(S229,D229,'Regressão Grupo 2'!$B$7)))</f>
        <v>0.84646493561620362</v>
      </c>
      <c r="G229" s="41">
        <v>1.4442495200281994E-2</v>
      </c>
      <c r="H229" s="41">
        <v>2.1036015969404277E-2</v>
      </c>
      <c r="I229" s="40">
        <f t="shared" si="38"/>
        <v>0</v>
      </c>
      <c r="J229" s="40">
        <f t="shared" si="39"/>
        <v>356.1249980632644</v>
      </c>
      <c r="K229" s="36">
        <v>0.3179081702450629</v>
      </c>
      <c r="L229" s="42">
        <f t="shared" si="45"/>
        <v>0</v>
      </c>
      <c r="M229" s="42">
        <f t="shared" si="45"/>
        <v>20000</v>
      </c>
      <c r="N229" s="42">
        <f t="shared" si="40"/>
        <v>6358.1634049012582</v>
      </c>
      <c r="O229" s="36">
        <v>7.4747394617469638</v>
      </c>
      <c r="P229" s="42">
        <f t="shared" si="41"/>
        <v>8786.1449219239184</v>
      </c>
      <c r="Q229" s="42"/>
      <c r="R229">
        <v>0.53736991485335861</v>
      </c>
      <c r="S229">
        <v>0.40418713950010682</v>
      </c>
    </row>
    <row r="230" spans="1:19" x14ac:dyDescent="0.25">
      <c r="A230" s="40">
        <f t="shared" si="42"/>
        <v>0</v>
      </c>
      <c r="B230" s="40">
        <f t="shared" si="43"/>
        <v>50</v>
      </c>
      <c r="C230" s="41">
        <f t="shared" si="36"/>
        <v>1.0313000000000001</v>
      </c>
      <c r="D230" s="41">
        <f t="shared" si="37"/>
        <v>0.88000000000000012</v>
      </c>
      <c r="E230" s="39">
        <f>IF(_xlfn.NORM.INV(R230,C230,'Regressão Grupo 2'!$B$7)&lt;=0,0,IF(_xlfn.NORM.INV(R230,C230,'Regressão Grupo 2'!$B$7)&gt;100%,100%,_xlfn.NORM.INV(R230,C230,'Regressão Grupo 2'!$B$7)))</f>
        <v>1</v>
      </c>
      <c r="F230" s="39">
        <f>IF(_xlfn.NORM.INV(S230,D230,'Regressão Grupo 2'!$B$7)&lt;=0,0,IF(_xlfn.NORM.INV(S230,D230,'Regressão Grupo 2'!$B$7)&gt;100%,100%,_xlfn.NORM.INV(S230,D230,'Regressão Grupo 2'!$B$7)))</f>
        <v>0.86589113201773182</v>
      </c>
      <c r="G230" s="41">
        <v>2.8361065236606139E-2</v>
      </c>
      <c r="H230" s="41">
        <v>1.1003390071571997E-2</v>
      </c>
      <c r="I230" s="40">
        <f t="shared" si="38"/>
        <v>0</v>
      </c>
      <c r="J230" s="40">
        <f t="shared" si="39"/>
        <v>190.55475770212294</v>
      </c>
      <c r="K230" s="36">
        <v>0.31111168175827153</v>
      </c>
      <c r="L230" s="42">
        <f t="shared" si="45"/>
        <v>0</v>
      </c>
      <c r="M230" s="42">
        <f t="shared" si="45"/>
        <v>20000</v>
      </c>
      <c r="N230" s="42">
        <f t="shared" si="40"/>
        <v>6222.2336351654303</v>
      </c>
      <c r="O230" s="36">
        <v>8.4344028023705651</v>
      </c>
      <c r="P230" s="42">
        <f t="shared" si="41"/>
        <v>1698.2886675728878</v>
      </c>
      <c r="Q230" s="42"/>
      <c r="R230">
        <v>0.99099703970458086</v>
      </c>
      <c r="S230">
        <v>0.45936460463270973</v>
      </c>
    </row>
    <row r="231" spans="1:19" x14ac:dyDescent="0.25">
      <c r="A231" s="40">
        <f t="shared" si="42"/>
        <v>0</v>
      </c>
      <c r="B231" s="40">
        <f t="shared" si="43"/>
        <v>50</v>
      </c>
      <c r="C231" s="41">
        <f t="shared" si="36"/>
        <v>1.0313000000000001</v>
      </c>
      <c r="D231" s="41">
        <f t="shared" si="37"/>
        <v>0.88000000000000012</v>
      </c>
      <c r="E231" s="39">
        <f>IF(_xlfn.NORM.INV(R231,C231,'Regressão Grupo 2'!$B$7)&lt;=0,0,IF(_xlfn.NORM.INV(R231,C231,'Regressão Grupo 2'!$B$7)&gt;100%,100%,_xlfn.NORM.INV(R231,C231,'Regressão Grupo 2'!$B$7)))</f>
        <v>1</v>
      </c>
      <c r="F231" s="39">
        <f>IF(_xlfn.NORM.INV(S231,D231,'Regressão Grupo 2'!$B$7)&lt;=0,0,IF(_xlfn.NORM.INV(S231,D231,'Regressão Grupo 2'!$B$7)&gt;100%,100%,_xlfn.NORM.INV(S231,D231,'Regressão Grupo 2'!$B$7)))</f>
        <v>0.75033941516412039</v>
      </c>
      <c r="G231" s="41">
        <v>1.1997167193309222E-2</v>
      </c>
      <c r="H231" s="41">
        <v>2.1610028297667547E-2</v>
      </c>
      <c r="I231" s="40">
        <f t="shared" si="38"/>
        <v>0</v>
      </c>
      <c r="J231" s="40">
        <f t="shared" si="39"/>
        <v>324.29711989103919</v>
      </c>
      <c r="K231" s="36">
        <v>0.17219891742729487</v>
      </c>
      <c r="L231" s="42">
        <f t="shared" ref="L231:M246" si="46">L230</f>
        <v>0</v>
      </c>
      <c r="M231" s="42">
        <f t="shared" si="46"/>
        <v>20000</v>
      </c>
      <c r="N231" s="42">
        <f t="shared" si="40"/>
        <v>3443.9783485458975</v>
      </c>
      <c r="O231" s="36">
        <v>5.1488126969268686</v>
      </c>
      <c r="P231" s="42">
        <f t="shared" si="41"/>
        <v>11101.132517534264</v>
      </c>
      <c r="Q231" s="42"/>
      <c r="R231">
        <v>0.49629200109866634</v>
      </c>
      <c r="S231">
        <v>0.17419965208899196</v>
      </c>
    </row>
    <row r="232" spans="1:19" x14ac:dyDescent="0.25">
      <c r="A232" s="40">
        <f t="shared" si="42"/>
        <v>0</v>
      </c>
      <c r="B232" s="40">
        <f t="shared" si="43"/>
        <v>50</v>
      </c>
      <c r="C232" s="41">
        <f t="shared" si="36"/>
        <v>1.0313000000000001</v>
      </c>
      <c r="D232" s="41">
        <f t="shared" si="37"/>
        <v>0.88000000000000012</v>
      </c>
      <c r="E232" s="39">
        <f>IF(_xlfn.NORM.INV(R232,C232,'Regressão Grupo 2'!$B$7)&lt;=0,0,IF(_xlfn.NORM.INV(R232,C232,'Regressão Grupo 2'!$B$7)&gt;100%,100%,_xlfn.NORM.INV(R232,C232,'Regressão Grupo 2'!$B$7)))</f>
        <v>1</v>
      </c>
      <c r="F232" s="39">
        <f>IF(_xlfn.NORM.INV(S232,D232,'Regressão Grupo 2'!$B$7)&lt;=0,0,IF(_xlfn.NORM.INV(S232,D232,'Regressão Grupo 2'!$B$7)&gt;100%,100%,_xlfn.NORM.INV(S232,D232,'Regressão Grupo 2'!$B$7)))</f>
        <v>0.81775642071261889</v>
      </c>
      <c r="G232" s="41">
        <v>1.168279396005659E-2</v>
      </c>
      <c r="H232" s="41">
        <v>2.7158948858517988E-2</v>
      </c>
      <c r="I232" s="40">
        <f t="shared" si="38"/>
        <v>0</v>
      </c>
      <c r="J232" s="40">
        <f t="shared" si="39"/>
        <v>444.18809617717471</v>
      </c>
      <c r="K232" s="36">
        <v>0.3825849986612968</v>
      </c>
      <c r="L232" s="42">
        <f t="shared" si="46"/>
        <v>0</v>
      </c>
      <c r="M232" s="42">
        <f t="shared" si="46"/>
        <v>20000</v>
      </c>
      <c r="N232" s="42">
        <f t="shared" si="40"/>
        <v>7651.6999732259364</v>
      </c>
      <c r="O232" s="36">
        <v>4.5327770077703118</v>
      </c>
      <c r="P232" s="42">
        <f t="shared" si="41"/>
        <v>12544.299246155635</v>
      </c>
      <c r="Q232" s="42"/>
      <c r="R232">
        <v>0.93005157628101442</v>
      </c>
      <c r="S232">
        <v>0.32630390331736198</v>
      </c>
    </row>
    <row r="233" spans="1:19" x14ac:dyDescent="0.25">
      <c r="A233" s="40">
        <f t="shared" si="42"/>
        <v>0</v>
      </c>
      <c r="B233" s="40">
        <f t="shared" si="43"/>
        <v>50</v>
      </c>
      <c r="C233" s="41">
        <f t="shared" si="36"/>
        <v>1.0313000000000001</v>
      </c>
      <c r="D233" s="41">
        <f t="shared" si="37"/>
        <v>0.88000000000000012</v>
      </c>
      <c r="E233" s="39">
        <f>IF(_xlfn.NORM.INV(R233,C233,'Regressão Grupo 2'!$B$7)&lt;=0,0,IF(_xlfn.NORM.INV(R233,C233,'Regressão Grupo 2'!$B$7)&gt;100%,100%,_xlfn.NORM.INV(R233,C233,'Regressão Grupo 2'!$B$7)))</f>
        <v>1</v>
      </c>
      <c r="F233" s="39">
        <f>IF(_xlfn.NORM.INV(S233,D233,'Regressão Grupo 2'!$B$7)&lt;=0,0,IF(_xlfn.NORM.INV(S233,D233,'Regressão Grupo 2'!$B$7)&gt;100%,100%,_xlfn.NORM.INV(S233,D233,'Regressão Grupo 2'!$B$7)))</f>
        <v>1</v>
      </c>
      <c r="G233" s="41">
        <v>1.2663668118642252E-2</v>
      </c>
      <c r="H233" s="41">
        <v>2.7903703331008164E-2</v>
      </c>
      <c r="I233" s="40">
        <f t="shared" si="38"/>
        <v>0</v>
      </c>
      <c r="J233" s="40">
        <f t="shared" si="39"/>
        <v>558.07406662016331</v>
      </c>
      <c r="K233" s="36">
        <v>0.21472007683776667</v>
      </c>
      <c r="L233" s="42">
        <f t="shared" si="46"/>
        <v>0</v>
      </c>
      <c r="M233" s="42">
        <f t="shared" si="46"/>
        <v>20000</v>
      </c>
      <c r="N233" s="42">
        <f t="shared" si="40"/>
        <v>4294.4015367553338</v>
      </c>
      <c r="O233" s="36">
        <v>4.5112381470867149</v>
      </c>
      <c r="P233" s="42">
        <f t="shared" si="41"/>
        <v>21091.696776016139</v>
      </c>
      <c r="Q233" s="42"/>
      <c r="R233">
        <v>0.54811243018890954</v>
      </c>
      <c r="S233">
        <v>0.94543290505691702</v>
      </c>
    </row>
    <row r="234" spans="1:19" x14ac:dyDescent="0.25">
      <c r="A234" s="40">
        <f t="shared" si="42"/>
        <v>0</v>
      </c>
      <c r="B234" s="40">
        <f t="shared" si="43"/>
        <v>50</v>
      </c>
      <c r="C234" s="41">
        <f t="shared" si="36"/>
        <v>1.0313000000000001</v>
      </c>
      <c r="D234" s="41">
        <f t="shared" si="37"/>
        <v>0.88000000000000012</v>
      </c>
      <c r="E234" s="39">
        <f>IF(_xlfn.NORM.INV(R234,C234,'Regressão Grupo 2'!$B$7)&lt;=0,0,IF(_xlfn.NORM.INV(R234,C234,'Regressão Grupo 2'!$B$7)&gt;100%,100%,_xlfn.NORM.INV(R234,C234,'Regressão Grupo 2'!$B$7)))</f>
        <v>0.90580032612682004</v>
      </c>
      <c r="F234" s="39">
        <f>IF(_xlfn.NORM.INV(S234,D234,'Regressão Grupo 2'!$B$7)&lt;=0,0,IF(_xlfn.NORM.INV(S234,D234,'Regressão Grupo 2'!$B$7)&gt;100%,100%,_xlfn.NORM.INV(S234,D234,'Regressão Grupo 2'!$B$7)))</f>
        <v>1</v>
      </c>
      <c r="G234" s="41">
        <v>2.4320352882413375E-2</v>
      </c>
      <c r="H234" s="41">
        <v>5.2203134718856658E-3</v>
      </c>
      <c r="I234" s="40">
        <f t="shared" si="38"/>
        <v>0</v>
      </c>
      <c r="J234" s="40">
        <f t="shared" si="39"/>
        <v>104.40626943771332</v>
      </c>
      <c r="K234" s="36">
        <v>0.44604087879260257</v>
      </c>
      <c r="L234" s="42">
        <f t="shared" si="46"/>
        <v>0</v>
      </c>
      <c r="M234" s="42">
        <f t="shared" si="46"/>
        <v>20000</v>
      </c>
      <c r="N234" s="42">
        <f t="shared" si="40"/>
        <v>8920.817575852052</v>
      </c>
      <c r="O234" s="36">
        <v>8.9433515499948548</v>
      </c>
      <c r="P234" s="42">
        <f t="shared" si="41"/>
        <v>-4634.2460755713391</v>
      </c>
      <c r="Q234" s="42"/>
      <c r="R234">
        <v>0.18204290902432324</v>
      </c>
      <c r="S234">
        <v>0.83639027069917904</v>
      </c>
    </row>
    <row r="235" spans="1:19" x14ac:dyDescent="0.25">
      <c r="A235" s="40">
        <f t="shared" si="42"/>
        <v>0</v>
      </c>
      <c r="B235" s="40">
        <f t="shared" si="43"/>
        <v>50</v>
      </c>
      <c r="C235" s="41">
        <f t="shared" si="36"/>
        <v>1.0313000000000001</v>
      </c>
      <c r="D235" s="41">
        <f t="shared" si="37"/>
        <v>0.88000000000000012</v>
      </c>
      <c r="E235" s="39">
        <f>IF(_xlfn.NORM.INV(R235,C235,'Regressão Grupo 2'!$B$7)&lt;=0,0,IF(_xlfn.NORM.INV(R235,C235,'Regressão Grupo 2'!$B$7)&gt;100%,100%,_xlfn.NORM.INV(R235,C235,'Regressão Grupo 2'!$B$7)))</f>
        <v>0.97086552125712366</v>
      </c>
      <c r="F235" s="39">
        <f>IF(_xlfn.NORM.INV(S235,D235,'Regressão Grupo 2'!$B$7)&lt;=0,0,IF(_xlfn.NORM.INV(S235,D235,'Regressão Grupo 2'!$B$7)&gt;100%,100%,_xlfn.NORM.INV(S235,D235,'Regressão Grupo 2'!$B$7)))</f>
        <v>0.8166070996662157</v>
      </c>
      <c r="G235" s="41">
        <v>2.5570623580310606E-2</v>
      </c>
      <c r="H235" s="41">
        <v>2.6247304454665648E-2</v>
      </c>
      <c r="I235" s="40">
        <f t="shared" si="38"/>
        <v>0</v>
      </c>
      <c r="J235" s="40">
        <f t="shared" si="39"/>
        <v>428.67470329561314</v>
      </c>
      <c r="K235" s="36">
        <v>0.40269638864567886</v>
      </c>
      <c r="L235" s="42">
        <f t="shared" si="46"/>
        <v>0</v>
      </c>
      <c r="M235" s="42">
        <f t="shared" si="46"/>
        <v>20000</v>
      </c>
      <c r="N235" s="42">
        <f t="shared" si="40"/>
        <v>8053.9277729135774</v>
      </c>
      <c r="O235" s="36">
        <v>4.5547138527727125</v>
      </c>
      <c r="P235" s="42">
        <f t="shared" si="41"/>
        <v>11427.31678243332</v>
      </c>
      <c r="Q235" s="42"/>
      <c r="R235">
        <v>0.33103427228614152</v>
      </c>
      <c r="S235">
        <v>0.32331308938871428</v>
      </c>
    </row>
    <row r="236" spans="1:19" x14ac:dyDescent="0.25">
      <c r="A236" s="40">
        <f t="shared" si="42"/>
        <v>0</v>
      </c>
      <c r="B236" s="40">
        <f t="shared" si="43"/>
        <v>50</v>
      </c>
      <c r="C236" s="41">
        <f t="shared" si="36"/>
        <v>1.0313000000000001</v>
      </c>
      <c r="D236" s="41">
        <f t="shared" si="37"/>
        <v>0.88000000000000012</v>
      </c>
      <c r="E236" s="39">
        <f>IF(_xlfn.NORM.INV(R236,C236,'Regressão Grupo 2'!$B$7)&lt;=0,0,IF(_xlfn.NORM.INV(R236,C236,'Regressão Grupo 2'!$B$7)&gt;100%,100%,_xlfn.NORM.INV(R236,C236,'Regressão Grupo 2'!$B$7)))</f>
        <v>1</v>
      </c>
      <c r="F236" s="39">
        <f>IF(_xlfn.NORM.INV(S236,D236,'Regressão Grupo 2'!$B$7)&lt;=0,0,IF(_xlfn.NORM.INV(S236,D236,'Regressão Grupo 2'!$B$7)&gt;100%,100%,_xlfn.NORM.INV(S236,D236,'Regressão Grupo 2'!$B$7)))</f>
        <v>0.80734144909106875</v>
      </c>
      <c r="G236" s="41">
        <v>1.4456132730485818E-2</v>
      </c>
      <c r="H236" s="41">
        <v>2.4287004520693815E-2</v>
      </c>
      <c r="I236" s="40">
        <f t="shared" si="38"/>
        <v>0</v>
      </c>
      <c r="J236" s="40">
        <f t="shared" si="39"/>
        <v>392.15810847636561</v>
      </c>
      <c r="K236" s="36">
        <v>0.3273265864415168</v>
      </c>
      <c r="L236" s="42">
        <f t="shared" si="46"/>
        <v>0</v>
      </c>
      <c r="M236" s="42">
        <f t="shared" si="46"/>
        <v>20000</v>
      </c>
      <c r="N236" s="42">
        <f t="shared" si="40"/>
        <v>6546.5317288303359</v>
      </c>
      <c r="O236" s="36">
        <v>7.9762436790895084</v>
      </c>
      <c r="P236" s="42">
        <f t="shared" si="41"/>
        <v>9933.4250610496365</v>
      </c>
      <c r="Q236" s="42"/>
      <c r="R236">
        <v>0.87038789025543994</v>
      </c>
      <c r="S236">
        <v>0.29963072603534041</v>
      </c>
    </row>
    <row r="237" spans="1:19" x14ac:dyDescent="0.25">
      <c r="A237" s="40">
        <f t="shared" si="42"/>
        <v>0</v>
      </c>
      <c r="B237" s="40">
        <f t="shared" si="43"/>
        <v>50</v>
      </c>
      <c r="C237" s="41">
        <f t="shared" si="36"/>
        <v>1.0313000000000001</v>
      </c>
      <c r="D237" s="41">
        <f t="shared" si="37"/>
        <v>0.88000000000000012</v>
      </c>
      <c r="E237" s="39">
        <f>IF(_xlfn.NORM.INV(R237,C237,'Regressão Grupo 2'!$B$7)&lt;=0,0,IF(_xlfn.NORM.INV(R237,C237,'Regressão Grupo 2'!$B$7)&gt;100%,100%,_xlfn.NORM.INV(R237,C237,'Regressão Grupo 2'!$B$7)))</f>
        <v>0.98698817760758317</v>
      </c>
      <c r="F237" s="39">
        <f>IF(_xlfn.NORM.INV(S237,D237,'Regressão Grupo 2'!$B$7)&lt;=0,0,IF(_xlfn.NORM.INV(S237,D237,'Regressão Grupo 2'!$B$7)&gt;100%,100%,_xlfn.NORM.INV(S237,D237,'Regressão Grupo 2'!$B$7)))</f>
        <v>1</v>
      </c>
      <c r="G237" s="41">
        <v>1.9480925767860421E-2</v>
      </c>
      <c r="H237" s="41">
        <v>1.1146877037927235E-2</v>
      </c>
      <c r="I237" s="40">
        <f t="shared" si="38"/>
        <v>0</v>
      </c>
      <c r="J237" s="40">
        <f t="shared" si="39"/>
        <v>222.93754075854471</v>
      </c>
      <c r="K237" s="36">
        <v>0.28868954024928706</v>
      </c>
      <c r="L237" s="42">
        <f t="shared" si="46"/>
        <v>0</v>
      </c>
      <c r="M237" s="42">
        <f t="shared" si="46"/>
        <v>20000</v>
      </c>
      <c r="N237" s="42">
        <f t="shared" si="40"/>
        <v>5773.7908049857415</v>
      </c>
      <c r="O237" s="36">
        <v>4.8503648097806273</v>
      </c>
      <c r="P237" s="42">
        <f t="shared" si="41"/>
        <v>4291.7578304672152</v>
      </c>
      <c r="Q237" s="42"/>
      <c r="R237">
        <v>0.37430951872310558</v>
      </c>
      <c r="S237">
        <v>0.84173100985747851</v>
      </c>
    </row>
    <row r="238" spans="1:19" x14ac:dyDescent="0.25">
      <c r="A238" s="40">
        <f t="shared" si="42"/>
        <v>0</v>
      </c>
      <c r="B238" s="40">
        <f t="shared" si="43"/>
        <v>50</v>
      </c>
      <c r="C238" s="41">
        <f t="shared" si="36"/>
        <v>1.0313000000000001</v>
      </c>
      <c r="D238" s="41">
        <f t="shared" si="37"/>
        <v>0.88000000000000012</v>
      </c>
      <c r="E238" s="39">
        <f>IF(_xlfn.NORM.INV(R238,C238,'Regressão Grupo 2'!$B$7)&lt;=0,0,IF(_xlfn.NORM.INV(R238,C238,'Regressão Grupo 2'!$B$7)&gt;100%,100%,_xlfn.NORM.INV(R238,C238,'Regressão Grupo 2'!$B$7)))</f>
        <v>1</v>
      </c>
      <c r="F238" s="39">
        <f>IF(_xlfn.NORM.INV(S238,D238,'Regressão Grupo 2'!$B$7)&lt;=0,0,IF(_xlfn.NORM.INV(S238,D238,'Regressão Grupo 2'!$B$7)&gt;100%,100%,_xlfn.NORM.INV(S238,D238,'Regressão Grupo 2'!$B$7)))</f>
        <v>0.76794818324237912</v>
      </c>
      <c r="G238" s="41">
        <v>1.5314710807797347E-2</v>
      </c>
      <c r="H238" s="41">
        <v>1.3353744123243857E-2</v>
      </c>
      <c r="I238" s="40">
        <f t="shared" si="38"/>
        <v>0</v>
      </c>
      <c r="J238" s="40">
        <f t="shared" si="39"/>
        <v>205.09967077857434</v>
      </c>
      <c r="K238" s="36">
        <v>0.36143892658367505</v>
      </c>
      <c r="L238" s="42">
        <f t="shared" si="46"/>
        <v>0</v>
      </c>
      <c r="M238" s="42">
        <f t="shared" si="46"/>
        <v>20000</v>
      </c>
      <c r="N238" s="42">
        <f t="shared" si="40"/>
        <v>7228.7785316735008</v>
      </c>
      <c r="O238" s="36">
        <v>3.3040088098965597</v>
      </c>
      <c r="P238" s="42">
        <f t="shared" si="41"/>
        <v>2348.553888095923</v>
      </c>
      <c r="Q238" s="42"/>
      <c r="R238">
        <v>0.52879421369060331</v>
      </c>
      <c r="S238">
        <v>0.20886867885372479</v>
      </c>
    </row>
    <row r="239" spans="1:19" x14ac:dyDescent="0.25">
      <c r="A239" s="40">
        <f t="shared" si="42"/>
        <v>0</v>
      </c>
      <c r="B239" s="40">
        <f t="shared" si="43"/>
        <v>50</v>
      </c>
      <c r="C239" s="41">
        <f t="shared" si="36"/>
        <v>1.0313000000000001</v>
      </c>
      <c r="D239" s="41">
        <f t="shared" si="37"/>
        <v>0.88000000000000012</v>
      </c>
      <c r="E239" s="39">
        <f>IF(_xlfn.NORM.INV(R239,C239,'Regressão Grupo 2'!$B$7)&lt;=0,0,IF(_xlfn.NORM.INV(R239,C239,'Regressão Grupo 2'!$B$7)&gt;100%,100%,_xlfn.NORM.INV(R239,C239,'Regressão Grupo 2'!$B$7)))</f>
        <v>1</v>
      </c>
      <c r="F239" s="39">
        <f>IF(_xlfn.NORM.INV(S239,D239,'Regressão Grupo 2'!$B$7)&lt;=0,0,IF(_xlfn.NORM.INV(S239,D239,'Regressão Grupo 2'!$B$7)&gt;100%,100%,_xlfn.NORM.INV(S239,D239,'Regressão Grupo 2'!$B$7)))</f>
        <v>0.72572100965422148</v>
      </c>
      <c r="G239" s="41">
        <v>2.269777104753767E-2</v>
      </c>
      <c r="H239" s="41">
        <v>1.9890373006634342E-2</v>
      </c>
      <c r="I239" s="40">
        <f t="shared" si="38"/>
        <v>0</v>
      </c>
      <c r="J239" s="40">
        <f t="shared" si="39"/>
        <v>288.69723161547495</v>
      </c>
      <c r="K239" s="36">
        <v>0.36318906567642961</v>
      </c>
      <c r="L239" s="42">
        <f t="shared" si="46"/>
        <v>0</v>
      </c>
      <c r="M239" s="42">
        <f t="shared" si="46"/>
        <v>20000</v>
      </c>
      <c r="N239" s="42">
        <f t="shared" si="40"/>
        <v>7263.7813135285924</v>
      </c>
      <c r="O239" s="36">
        <v>5.4885958106398691</v>
      </c>
      <c r="P239" s="42">
        <f t="shared" si="41"/>
        <v>5586.5378512571315</v>
      </c>
      <c r="Q239" s="42"/>
      <c r="R239">
        <v>0.41673024689474164</v>
      </c>
      <c r="S239">
        <v>0.13226722006897182</v>
      </c>
    </row>
    <row r="240" spans="1:19" x14ac:dyDescent="0.25">
      <c r="A240" s="40">
        <f t="shared" si="42"/>
        <v>0</v>
      </c>
      <c r="B240" s="40">
        <f t="shared" si="43"/>
        <v>50</v>
      </c>
      <c r="C240" s="41">
        <f t="shared" si="36"/>
        <v>1.0313000000000001</v>
      </c>
      <c r="D240" s="41">
        <f t="shared" si="37"/>
        <v>0.88000000000000012</v>
      </c>
      <c r="E240" s="39">
        <f>IF(_xlfn.NORM.INV(R240,C240,'Regressão Grupo 2'!$B$7)&lt;=0,0,IF(_xlfn.NORM.INV(R240,C240,'Regressão Grupo 2'!$B$7)&gt;100%,100%,_xlfn.NORM.INV(R240,C240,'Regressão Grupo 2'!$B$7)))</f>
        <v>0.92354234379849265</v>
      </c>
      <c r="F240" s="39">
        <f>IF(_xlfn.NORM.INV(S240,D240,'Regressão Grupo 2'!$B$7)&lt;=0,0,IF(_xlfn.NORM.INV(S240,D240,'Regressão Grupo 2'!$B$7)&gt;100%,100%,_xlfn.NORM.INV(S240,D240,'Regressão Grupo 2'!$B$7)))</f>
        <v>0.58249591640929377</v>
      </c>
      <c r="G240" s="41">
        <v>2.640977534840298E-2</v>
      </c>
      <c r="H240" s="41">
        <v>1.4036998514268687E-2</v>
      </c>
      <c r="I240" s="40">
        <f t="shared" si="38"/>
        <v>0</v>
      </c>
      <c r="J240" s="40">
        <f t="shared" si="39"/>
        <v>163.52988626409666</v>
      </c>
      <c r="K240" s="36">
        <v>0.26173035216061813</v>
      </c>
      <c r="L240" s="42">
        <f t="shared" si="46"/>
        <v>0</v>
      </c>
      <c r="M240" s="42">
        <f t="shared" si="46"/>
        <v>20000</v>
      </c>
      <c r="N240" s="42">
        <f t="shared" si="40"/>
        <v>5234.6070432123624</v>
      </c>
      <c r="O240" s="36">
        <v>4.492087036308221</v>
      </c>
      <c r="P240" s="42">
        <f t="shared" si="41"/>
        <v>2207.2967878565642</v>
      </c>
      <c r="Q240" s="42"/>
      <c r="R240">
        <v>0.21790215765861995</v>
      </c>
      <c r="S240">
        <v>1.5717032380138555E-2</v>
      </c>
    </row>
    <row r="241" spans="1:19" x14ac:dyDescent="0.25">
      <c r="A241" s="40">
        <f t="shared" si="42"/>
        <v>0</v>
      </c>
      <c r="B241" s="40">
        <f t="shared" si="43"/>
        <v>50</v>
      </c>
      <c r="C241" s="41">
        <f t="shared" si="36"/>
        <v>1.0313000000000001</v>
      </c>
      <c r="D241" s="41">
        <f t="shared" si="37"/>
        <v>0.88000000000000012</v>
      </c>
      <c r="E241" s="39">
        <f>IF(_xlfn.NORM.INV(R241,C241,'Regressão Grupo 2'!$B$7)&lt;=0,0,IF(_xlfn.NORM.INV(R241,C241,'Regressão Grupo 2'!$B$7)&gt;100%,100%,_xlfn.NORM.INV(R241,C241,'Regressão Grupo 2'!$B$7)))</f>
        <v>1</v>
      </c>
      <c r="F241" s="39">
        <f>IF(_xlfn.NORM.INV(S241,D241,'Regressão Grupo 2'!$B$7)&lt;=0,0,IF(_xlfn.NORM.INV(S241,D241,'Regressão Grupo 2'!$B$7)&gt;100%,100%,_xlfn.NORM.INV(S241,D241,'Regressão Grupo 2'!$B$7)))</f>
        <v>0.74164343740110195</v>
      </c>
      <c r="G241" s="41">
        <v>2.0648405682228314E-2</v>
      </c>
      <c r="H241" s="41">
        <v>1.0890769311723203E-2</v>
      </c>
      <c r="I241" s="40">
        <f t="shared" si="38"/>
        <v>0</v>
      </c>
      <c r="J241" s="40">
        <f t="shared" si="39"/>
        <v>161.5413517657766</v>
      </c>
      <c r="K241" s="36">
        <v>0.31336737029129969</v>
      </c>
      <c r="L241" s="42">
        <f t="shared" si="46"/>
        <v>0</v>
      </c>
      <c r="M241" s="42">
        <f t="shared" si="46"/>
        <v>20000</v>
      </c>
      <c r="N241" s="42">
        <f t="shared" si="40"/>
        <v>6267.3474058259935</v>
      </c>
      <c r="O241" s="36">
        <v>4.0651448804218111</v>
      </c>
      <c r="P241" s="42">
        <f t="shared" si="41"/>
        <v>1153.0311833557707</v>
      </c>
      <c r="Q241" s="42"/>
      <c r="R241">
        <v>0.70375682851649524</v>
      </c>
      <c r="S241">
        <v>0.15851313821832941</v>
      </c>
    </row>
    <row r="242" spans="1:19" x14ac:dyDescent="0.25">
      <c r="A242" s="40">
        <f t="shared" si="42"/>
        <v>0</v>
      </c>
      <c r="B242" s="40">
        <f t="shared" si="43"/>
        <v>50</v>
      </c>
      <c r="C242" s="41">
        <f t="shared" si="36"/>
        <v>1.0313000000000001</v>
      </c>
      <c r="D242" s="41">
        <f t="shared" si="37"/>
        <v>0.88000000000000012</v>
      </c>
      <c r="E242" s="39">
        <f>IF(_xlfn.NORM.INV(R242,C242,'Regressão Grupo 2'!$B$7)&lt;=0,0,IF(_xlfn.NORM.INV(R242,C242,'Regressão Grupo 2'!$B$7)&gt;100%,100%,_xlfn.NORM.INV(R242,C242,'Regressão Grupo 2'!$B$7)))</f>
        <v>1</v>
      </c>
      <c r="F242" s="39">
        <f>IF(_xlfn.NORM.INV(S242,D242,'Regressão Grupo 2'!$B$7)&lt;=0,0,IF(_xlfn.NORM.INV(S242,D242,'Regressão Grupo 2'!$B$7)&gt;100%,100%,_xlfn.NORM.INV(S242,D242,'Regressão Grupo 2'!$B$7)))</f>
        <v>0.87532898520182689</v>
      </c>
      <c r="G242" s="41">
        <v>1.238542643494003E-2</v>
      </c>
      <c r="H242" s="41">
        <v>2.0295899371116199E-2</v>
      </c>
      <c r="I242" s="40">
        <f t="shared" si="38"/>
        <v>0</v>
      </c>
      <c r="J242" s="40">
        <f t="shared" si="39"/>
        <v>355.31178000555082</v>
      </c>
      <c r="K242" s="36">
        <v>0.20416768391430384</v>
      </c>
      <c r="L242" s="42">
        <f t="shared" si="46"/>
        <v>0</v>
      </c>
      <c r="M242" s="42">
        <f t="shared" si="46"/>
        <v>20000</v>
      </c>
      <c r="N242" s="42">
        <f t="shared" si="40"/>
        <v>4083.353678286077</v>
      </c>
      <c r="O242" s="36">
        <v>3.632962616951021</v>
      </c>
      <c r="P242" s="42">
        <f t="shared" si="41"/>
        <v>12391.400907868972</v>
      </c>
      <c r="Q242" s="42"/>
      <c r="R242">
        <v>0.44804223761711476</v>
      </c>
      <c r="S242">
        <v>0.48652607806634723</v>
      </c>
    </row>
    <row r="243" spans="1:19" x14ac:dyDescent="0.25">
      <c r="A243" s="40">
        <f t="shared" si="42"/>
        <v>0</v>
      </c>
      <c r="B243" s="40">
        <f t="shared" si="43"/>
        <v>50</v>
      </c>
      <c r="C243" s="41">
        <f t="shared" si="36"/>
        <v>1.0313000000000001</v>
      </c>
      <c r="D243" s="41">
        <f t="shared" si="37"/>
        <v>0.88000000000000012</v>
      </c>
      <c r="E243" s="39">
        <f>IF(_xlfn.NORM.INV(R243,C243,'Regressão Grupo 2'!$B$7)&lt;=0,0,IF(_xlfn.NORM.INV(R243,C243,'Regressão Grupo 2'!$B$7)&gt;100%,100%,_xlfn.NORM.INV(R243,C243,'Regressão Grupo 2'!$B$7)))</f>
        <v>1</v>
      </c>
      <c r="F243" s="39">
        <f>IF(_xlfn.NORM.INV(S243,D243,'Regressão Grupo 2'!$B$7)&lt;=0,0,IF(_xlfn.NORM.INV(S243,D243,'Regressão Grupo 2'!$B$7)&gt;100%,100%,_xlfn.NORM.INV(S243,D243,'Regressão Grupo 2'!$B$7)))</f>
        <v>0.94104023508316237</v>
      </c>
      <c r="G243" s="41">
        <v>7.8815332287711874E-3</v>
      </c>
      <c r="H243" s="41">
        <v>1.854638068320557E-2</v>
      </c>
      <c r="I243" s="40">
        <f t="shared" si="38"/>
        <v>0</v>
      </c>
      <c r="J243" s="40">
        <f t="shared" si="39"/>
        <v>349.05780876131178</v>
      </c>
      <c r="K243" s="36">
        <v>0.30949344249807853</v>
      </c>
      <c r="L243" s="42">
        <f t="shared" si="46"/>
        <v>0</v>
      </c>
      <c r="M243" s="42">
        <f t="shared" si="46"/>
        <v>20000</v>
      </c>
      <c r="N243" s="42">
        <f t="shared" si="40"/>
        <v>6189.868849961571</v>
      </c>
      <c r="O243" s="36">
        <v>7.5562531272223907</v>
      </c>
      <c r="P243" s="42">
        <f t="shared" si="41"/>
        <v>8625.4524290699592</v>
      </c>
      <c r="Q243" s="42"/>
      <c r="R243">
        <v>0.54405346842860192</v>
      </c>
      <c r="S243">
        <v>0.67055269020661035</v>
      </c>
    </row>
    <row r="244" spans="1:19" x14ac:dyDescent="0.25">
      <c r="A244" s="40">
        <f t="shared" si="42"/>
        <v>0</v>
      </c>
      <c r="B244" s="40">
        <f t="shared" si="43"/>
        <v>50</v>
      </c>
      <c r="C244" s="41">
        <f t="shared" si="36"/>
        <v>1.0313000000000001</v>
      </c>
      <c r="D244" s="41">
        <f t="shared" si="37"/>
        <v>0.88000000000000012</v>
      </c>
      <c r="E244" s="39">
        <f>IF(_xlfn.NORM.INV(R244,C244,'Regressão Grupo 2'!$B$7)&lt;=0,0,IF(_xlfn.NORM.INV(R244,C244,'Regressão Grupo 2'!$B$7)&gt;100%,100%,_xlfn.NORM.INV(R244,C244,'Regressão Grupo 2'!$B$7)))</f>
        <v>1</v>
      </c>
      <c r="F244" s="39">
        <f>IF(_xlfn.NORM.INV(S244,D244,'Regressão Grupo 2'!$B$7)&lt;=0,0,IF(_xlfn.NORM.INV(S244,D244,'Regressão Grupo 2'!$B$7)&gt;100%,100%,_xlfn.NORM.INV(S244,D244,'Regressão Grupo 2'!$B$7)))</f>
        <v>0.64541168888449296</v>
      </c>
      <c r="G244" s="41">
        <v>2.7778776446206341E-2</v>
      </c>
      <c r="H244" s="41">
        <v>2.0100481786313365E-2</v>
      </c>
      <c r="I244" s="40">
        <f t="shared" si="38"/>
        <v>0</v>
      </c>
      <c r="J244" s="40">
        <f t="shared" si="39"/>
        <v>259.46171794192998</v>
      </c>
      <c r="K244" s="36">
        <v>0.25956088426954582</v>
      </c>
      <c r="L244" s="42">
        <f t="shared" si="46"/>
        <v>0</v>
      </c>
      <c r="M244" s="42">
        <f t="shared" si="46"/>
        <v>20000</v>
      </c>
      <c r="N244" s="42">
        <f t="shared" si="40"/>
        <v>5191.2176853909168</v>
      </c>
      <c r="O244" s="36">
        <v>8.145963681081188</v>
      </c>
      <c r="P244" s="42">
        <f t="shared" si="41"/>
        <v>5668.3024807196889</v>
      </c>
      <c r="Q244" s="42"/>
      <c r="R244">
        <v>0.44013794366283149</v>
      </c>
      <c r="S244">
        <v>4.4892727439191871E-2</v>
      </c>
    </row>
    <row r="245" spans="1:19" x14ac:dyDescent="0.25">
      <c r="A245" s="40">
        <f t="shared" si="42"/>
        <v>0</v>
      </c>
      <c r="B245" s="40">
        <f t="shared" si="43"/>
        <v>50</v>
      </c>
      <c r="C245" s="41">
        <f t="shared" si="36"/>
        <v>1.0313000000000001</v>
      </c>
      <c r="D245" s="41">
        <f t="shared" si="37"/>
        <v>0.88000000000000012</v>
      </c>
      <c r="E245" s="39">
        <f>IF(_xlfn.NORM.INV(R245,C245,'Regressão Grupo 2'!$B$7)&lt;=0,0,IF(_xlfn.NORM.INV(R245,C245,'Regressão Grupo 2'!$B$7)&gt;100%,100%,_xlfn.NORM.INV(R245,C245,'Regressão Grupo 2'!$B$7)))</f>
        <v>1</v>
      </c>
      <c r="F245" s="39">
        <f>IF(_xlfn.NORM.INV(S245,D245,'Regressão Grupo 2'!$B$7)&lt;=0,0,IF(_xlfn.NORM.INV(S245,D245,'Regressão Grupo 2'!$B$7)&gt;100%,100%,_xlfn.NORM.INV(S245,D245,'Regressão Grupo 2'!$B$7)))</f>
        <v>0.89272725038692513</v>
      </c>
      <c r="G245" s="41">
        <v>1.4113379939769204E-2</v>
      </c>
      <c r="H245" s="41">
        <v>1.3366940681680347E-2</v>
      </c>
      <c r="I245" s="40">
        <f t="shared" si="38"/>
        <v>0</v>
      </c>
      <c r="J245" s="40">
        <f t="shared" si="39"/>
        <v>238.66064401683252</v>
      </c>
      <c r="K245" s="36">
        <v>0.26881428659645434</v>
      </c>
      <c r="L245" s="42">
        <f t="shared" si="46"/>
        <v>0</v>
      </c>
      <c r="M245" s="42">
        <f t="shared" si="46"/>
        <v>20000</v>
      </c>
      <c r="N245" s="42">
        <f t="shared" si="40"/>
        <v>5376.285731929087</v>
      </c>
      <c r="O245" s="36">
        <v>4.9704923837163113</v>
      </c>
      <c r="P245" s="42">
        <f t="shared" si="41"/>
        <v>5370.4855555340437</v>
      </c>
      <c r="Q245" s="42"/>
      <c r="R245">
        <v>0.90749839777825247</v>
      </c>
      <c r="S245">
        <v>0.53666798913541058</v>
      </c>
    </row>
    <row r="246" spans="1:19" x14ac:dyDescent="0.25">
      <c r="A246" s="40">
        <f t="shared" si="42"/>
        <v>0</v>
      </c>
      <c r="B246" s="40">
        <f t="shared" si="43"/>
        <v>50</v>
      </c>
      <c r="C246" s="41">
        <f t="shared" si="36"/>
        <v>1.0313000000000001</v>
      </c>
      <c r="D246" s="41">
        <f t="shared" si="37"/>
        <v>0.88000000000000012</v>
      </c>
      <c r="E246" s="39">
        <f>IF(_xlfn.NORM.INV(R246,C246,'Regressão Grupo 2'!$B$7)&lt;=0,0,IF(_xlfn.NORM.INV(R246,C246,'Regressão Grupo 2'!$B$7)&gt;100%,100%,_xlfn.NORM.INV(R246,C246,'Regressão Grupo 2'!$B$7)))</f>
        <v>1</v>
      </c>
      <c r="F246" s="39">
        <f>IF(_xlfn.NORM.INV(S246,D246,'Regressão Grupo 2'!$B$7)&lt;=0,0,IF(_xlfn.NORM.INV(S246,D246,'Regressão Grupo 2'!$B$7)&gt;100%,100%,_xlfn.NORM.INV(S246,D246,'Regressão Grupo 2'!$B$7)))</f>
        <v>0.53815466203782358</v>
      </c>
      <c r="G246" s="41">
        <v>2.1132513379004101E-2</v>
      </c>
      <c r="H246" s="41">
        <v>1.8423532270670308E-2</v>
      </c>
      <c r="I246" s="40">
        <f t="shared" si="38"/>
        <v>0</v>
      </c>
      <c r="J246" s="40">
        <f t="shared" si="39"/>
        <v>198.29419565331034</v>
      </c>
      <c r="K246" s="36">
        <v>0.14920508785457423</v>
      </c>
      <c r="L246" s="42">
        <f t="shared" si="46"/>
        <v>0</v>
      </c>
      <c r="M246" s="42">
        <f t="shared" si="46"/>
        <v>20000</v>
      </c>
      <c r="N246" s="42">
        <f t="shared" si="40"/>
        <v>2984.1017570914846</v>
      </c>
      <c r="O246" s="36">
        <v>6.9302053359932598</v>
      </c>
      <c r="P246" s="42">
        <f t="shared" si="41"/>
        <v>5556.3885327609696</v>
      </c>
      <c r="Q246" s="42"/>
      <c r="R246">
        <v>0.75572985015411842</v>
      </c>
      <c r="S246">
        <v>6.7140720847193823E-3</v>
      </c>
    </row>
    <row r="247" spans="1:19" x14ac:dyDescent="0.25">
      <c r="A247" s="40">
        <f t="shared" si="42"/>
        <v>0</v>
      </c>
      <c r="B247" s="40">
        <f t="shared" si="43"/>
        <v>50</v>
      </c>
      <c r="C247" s="41">
        <f t="shared" si="36"/>
        <v>1.0313000000000001</v>
      </c>
      <c r="D247" s="41">
        <f t="shared" si="37"/>
        <v>0.88000000000000012</v>
      </c>
      <c r="E247" s="39">
        <f>IF(_xlfn.NORM.INV(R247,C247,'Regressão Grupo 2'!$B$7)&lt;=0,0,IF(_xlfn.NORM.INV(R247,C247,'Regressão Grupo 2'!$B$7)&gt;100%,100%,_xlfn.NORM.INV(R247,C247,'Regressão Grupo 2'!$B$7)))</f>
        <v>0.97616404866373263</v>
      </c>
      <c r="F247" s="39">
        <f>IF(_xlfn.NORM.INV(S247,D247,'Regressão Grupo 2'!$B$7)&lt;=0,0,IF(_xlfn.NORM.INV(S247,D247,'Regressão Grupo 2'!$B$7)&gt;100%,100%,_xlfn.NORM.INV(S247,D247,'Regressão Grupo 2'!$B$7)))</f>
        <v>0.70912918045756246</v>
      </c>
      <c r="G247" s="41">
        <v>1.963769243511513E-2</v>
      </c>
      <c r="H247" s="41">
        <v>1.5318744320442333E-2</v>
      </c>
      <c r="I247" s="40">
        <f t="shared" si="38"/>
        <v>0</v>
      </c>
      <c r="J247" s="40">
        <f t="shared" si="39"/>
        <v>217.2593721118842</v>
      </c>
      <c r="K247" s="36">
        <v>0.33249873432239063</v>
      </c>
      <c r="L247" s="42">
        <f t="shared" ref="L247:M262" si="47">L246</f>
        <v>0</v>
      </c>
      <c r="M247" s="42">
        <f t="shared" si="47"/>
        <v>20000</v>
      </c>
      <c r="N247" s="42">
        <f t="shared" si="40"/>
        <v>6649.9746864478129</v>
      </c>
      <c r="O247" s="36">
        <v>9.3566059048210342</v>
      </c>
      <c r="P247" s="42">
        <f t="shared" si="41"/>
        <v>2180.1835951666326</v>
      </c>
      <c r="Q247" s="42"/>
      <c r="R247">
        <v>0.34504226813562427</v>
      </c>
      <c r="S247">
        <v>0.10827967162083804</v>
      </c>
    </row>
    <row r="248" spans="1:19" x14ac:dyDescent="0.25">
      <c r="A248" s="40">
        <f t="shared" si="42"/>
        <v>0</v>
      </c>
      <c r="B248" s="40">
        <f t="shared" si="43"/>
        <v>50</v>
      </c>
      <c r="C248" s="41">
        <f t="shared" si="36"/>
        <v>1.0313000000000001</v>
      </c>
      <c r="D248" s="41">
        <f t="shared" si="37"/>
        <v>0.88000000000000012</v>
      </c>
      <c r="E248" s="39">
        <f>IF(_xlfn.NORM.INV(R248,C248,'Regressão Grupo 2'!$B$7)&lt;=0,0,IF(_xlfn.NORM.INV(R248,C248,'Regressão Grupo 2'!$B$7)&gt;100%,100%,_xlfn.NORM.INV(R248,C248,'Regressão Grupo 2'!$B$7)))</f>
        <v>1</v>
      </c>
      <c r="F248" s="39">
        <f>IF(_xlfn.NORM.INV(S248,D248,'Regressão Grupo 2'!$B$7)&lt;=0,0,IF(_xlfn.NORM.INV(S248,D248,'Regressão Grupo 2'!$B$7)&gt;100%,100%,_xlfn.NORM.INV(S248,D248,'Regressão Grupo 2'!$B$7)))</f>
        <v>0.71323015332636919</v>
      </c>
      <c r="G248" s="41">
        <v>2.2140043958903344E-2</v>
      </c>
      <c r="H248" s="41">
        <v>4.5635741027687041E-3</v>
      </c>
      <c r="I248" s="40">
        <f t="shared" si="38"/>
        <v>0</v>
      </c>
      <c r="J248" s="40">
        <f t="shared" si="39"/>
        <v>65.097573140679401</v>
      </c>
      <c r="K248" s="36">
        <v>0.32062228161681849</v>
      </c>
      <c r="L248" s="42">
        <f t="shared" si="47"/>
        <v>0</v>
      </c>
      <c r="M248" s="42">
        <f t="shared" si="47"/>
        <v>20000</v>
      </c>
      <c r="N248" s="42">
        <f t="shared" si="40"/>
        <v>6412.4456323363702</v>
      </c>
      <c r="O248" s="36">
        <v>10.832085196708119</v>
      </c>
      <c r="P248" s="42">
        <f t="shared" si="41"/>
        <v>-3862.7094336611776</v>
      </c>
      <c r="Q248" s="42"/>
      <c r="R248">
        <v>0.82735679189428391</v>
      </c>
      <c r="S248">
        <v>0.11389507736442152</v>
      </c>
    </row>
    <row r="249" spans="1:19" x14ac:dyDescent="0.25">
      <c r="A249" s="40">
        <f t="shared" si="42"/>
        <v>0</v>
      </c>
      <c r="B249" s="40">
        <f t="shared" si="43"/>
        <v>50</v>
      </c>
      <c r="C249" s="41">
        <f t="shared" si="36"/>
        <v>1.0313000000000001</v>
      </c>
      <c r="D249" s="41">
        <f t="shared" si="37"/>
        <v>0.88000000000000012</v>
      </c>
      <c r="E249" s="39">
        <f>IF(_xlfn.NORM.INV(R249,C249,'Regressão Grupo 2'!$B$7)&lt;=0,0,IF(_xlfn.NORM.INV(R249,C249,'Regressão Grupo 2'!$B$7)&gt;100%,100%,_xlfn.NORM.INV(R249,C249,'Regressão Grupo 2'!$B$7)))</f>
        <v>0.72103093676455021</v>
      </c>
      <c r="F249" s="39">
        <f>IF(_xlfn.NORM.INV(S249,D249,'Regressão Grupo 2'!$B$7)&lt;=0,0,IF(_xlfn.NORM.INV(S249,D249,'Regressão Grupo 2'!$B$7)&gt;100%,100%,_xlfn.NORM.INV(S249,D249,'Regressão Grupo 2'!$B$7)))</f>
        <v>0.79704174529700489</v>
      </c>
      <c r="G249" s="41">
        <v>1.5284243612245322E-2</v>
      </c>
      <c r="H249" s="41">
        <v>8.3588644567006327E-3</v>
      </c>
      <c r="I249" s="40">
        <f t="shared" si="38"/>
        <v>0</v>
      </c>
      <c r="J249" s="40">
        <f t="shared" si="39"/>
        <v>133.24727830539547</v>
      </c>
      <c r="K249" s="36">
        <v>0.3551740362230047</v>
      </c>
      <c r="L249" s="42">
        <f t="shared" si="47"/>
        <v>0</v>
      </c>
      <c r="M249" s="42">
        <f t="shared" si="47"/>
        <v>20000</v>
      </c>
      <c r="N249" s="42">
        <f t="shared" si="40"/>
        <v>7103.4807244600943</v>
      </c>
      <c r="O249" s="36">
        <v>5.6347764455864828</v>
      </c>
      <c r="P249" s="42">
        <f t="shared" si="41"/>
        <v>-1191.9354344240701</v>
      </c>
      <c r="Q249" s="42"/>
      <c r="R249">
        <v>1.2421033356730858E-2</v>
      </c>
      <c r="S249">
        <v>0.27426984466078674</v>
      </c>
    </row>
    <row r="250" spans="1:19" x14ac:dyDescent="0.25">
      <c r="A250" s="40">
        <f t="shared" si="42"/>
        <v>0</v>
      </c>
      <c r="B250" s="40">
        <f t="shared" si="43"/>
        <v>50</v>
      </c>
      <c r="C250" s="41">
        <f t="shared" si="36"/>
        <v>1.0313000000000001</v>
      </c>
      <c r="D250" s="41">
        <f t="shared" si="37"/>
        <v>0.88000000000000012</v>
      </c>
      <c r="E250" s="39">
        <f>IF(_xlfn.NORM.INV(R250,C250,'Regressão Grupo 2'!$B$7)&lt;=0,0,IF(_xlfn.NORM.INV(R250,C250,'Regressão Grupo 2'!$B$7)&gt;100%,100%,_xlfn.NORM.INV(R250,C250,'Regressão Grupo 2'!$B$7)))</f>
        <v>1</v>
      </c>
      <c r="F250" s="39">
        <f>IF(_xlfn.NORM.INV(S250,D250,'Regressão Grupo 2'!$B$7)&lt;=0,0,IF(_xlfn.NORM.INV(S250,D250,'Regressão Grupo 2'!$B$7)&gt;100%,100%,_xlfn.NORM.INV(S250,D250,'Regressão Grupo 2'!$B$7)))</f>
        <v>0.79659809110784263</v>
      </c>
      <c r="G250" s="41">
        <v>5.5244648583625692E-3</v>
      </c>
      <c r="H250" s="41">
        <v>9.7245988817037683E-3</v>
      </c>
      <c r="I250" s="40">
        <f t="shared" si="38"/>
        <v>0</v>
      </c>
      <c r="J250" s="40">
        <f t="shared" si="39"/>
        <v>154.93193811909367</v>
      </c>
      <c r="K250" s="36">
        <v>0.29033195609124995</v>
      </c>
      <c r="L250" s="42">
        <f t="shared" si="47"/>
        <v>0</v>
      </c>
      <c r="M250" s="42">
        <f t="shared" si="47"/>
        <v>20000</v>
      </c>
      <c r="N250" s="42">
        <f t="shared" si="40"/>
        <v>5806.6391218249992</v>
      </c>
      <c r="O250" s="36">
        <v>8.4065141008009157</v>
      </c>
      <c r="P250" s="42">
        <f t="shared" si="41"/>
        <v>637.52026166710857</v>
      </c>
      <c r="Q250" s="42"/>
      <c r="R250">
        <v>0.42063661610766928</v>
      </c>
      <c r="S250">
        <v>0.27320169682912687</v>
      </c>
    </row>
    <row r="251" spans="1:19" x14ac:dyDescent="0.25">
      <c r="A251" s="40">
        <f t="shared" si="42"/>
        <v>0</v>
      </c>
      <c r="B251" s="40">
        <f t="shared" si="43"/>
        <v>50</v>
      </c>
      <c r="C251" s="41">
        <f t="shared" si="36"/>
        <v>1.0313000000000001</v>
      </c>
      <c r="D251" s="41">
        <f t="shared" si="37"/>
        <v>0.88000000000000012</v>
      </c>
      <c r="E251" s="39">
        <f>IF(_xlfn.NORM.INV(R251,C251,'Regressão Grupo 2'!$B$7)&lt;=0,0,IF(_xlfn.NORM.INV(R251,C251,'Regressão Grupo 2'!$B$7)&gt;100%,100%,_xlfn.NORM.INV(R251,C251,'Regressão Grupo 2'!$B$7)))</f>
        <v>0.83548681655968737</v>
      </c>
      <c r="F251" s="39">
        <f>IF(_xlfn.NORM.INV(S251,D251,'Regressão Grupo 2'!$B$7)&lt;=0,0,IF(_xlfn.NORM.INV(S251,D251,'Regressão Grupo 2'!$B$7)&gt;100%,100%,_xlfn.NORM.INV(S251,D251,'Regressão Grupo 2'!$B$7)))</f>
        <v>0.83077088584095882</v>
      </c>
      <c r="G251" s="41">
        <v>2.7268563896252002E-2</v>
      </c>
      <c r="H251" s="41">
        <v>6.6592173879473386E-3</v>
      </c>
      <c r="I251" s="40">
        <f t="shared" si="38"/>
        <v>0</v>
      </c>
      <c r="J251" s="40">
        <f t="shared" si="39"/>
        <v>110.64567856785054</v>
      </c>
      <c r="K251" s="36">
        <v>0.27082275109738885</v>
      </c>
      <c r="L251" s="42">
        <f t="shared" si="47"/>
        <v>0</v>
      </c>
      <c r="M251" s="42">
        <f t="shared" si="47"/>
        <v>20000</v>
      </c>
      <c r="N251" s="42">
        <f t="shared" si="40"/>
        <v>5416.4550219477769</v>
      </c>
      <c r="O251" s="36">
        <v>6.3501581341959978</v>
      </c>
      <c r="P251" s="42">
        <f t="shared" si="41"/>
        <v>-586.78864932652232</v>
      </c>
      <c r="Q251" s="42"/>
      <c r="R251">
        <v>7.8371532334360797E-2</v>
      </c>
      <c r="S251">
        <v>0.36091189306314281</v>
      </c>
    </row>
    <row r="252" spans="1:19" x14ac:dyDescent="0.25">
      <c r="A252" s="40">
        <f t="shared" si="42"/>
        <v>0</v>
      </c>
      <c r="B252" s="40">
        <f t="shared" si="43"/>
        <v>50</v>
      </c>
      <c r="C252" s="41">
        <f t="shared" si="36"/>
        <v>1.0313000000000001</v>
      </c>
      <c r="D252" s="41">
        <f t="shared" si="37"/>
        <v>0.88000000000000012</v>
      </c>
      <c r="E252" s="39">
        <f>IF(_xlfn.NORM.INV(R252,C252,'Regressão Grupo 2'!$B$7)&lt;=0,0,IF(_xlfn.NORM.INV(R252,C252,'Regressão Grupo 2'!$B$7)&gt;100%,100%,_xlfn.NORM.INV(R252,C252,'Regressão Grupo 2'!$B$7)))</f>
        <v>1</v>
      </c>
      <c r="F252" s="39">
        <f>IF(_xlfn.NORM.INV(S252,D252,'Regressão Grupo 2'!$B$7)&lt;=0,0,IF(_xlfn.NORM.INV(S252,D252,'Regressão Grupo 2'!$B$7)&gt;100%,100%,_xlfn.NORM.INV(S252,D252,'Regressão Grupo 2'!$B$7)))</f>
        <v>1</v>
      </c>
      <c r="G252" s="41">
        <v>2.3094723351487011E-2</v>
      </c>
      <c r="H252" s="41">
        <v>1.2314224180533117E-2</v>
      </c>
      <c r="I252" s="40">
        <f t="shared" si="38"/>
        <v>0</v>
      </c>
      <c r="J252" s="40">
        <f t="shared" si="39"/>
        <v>246.28448361066233</v>
      </c>
      <c r="K252" s="36">
        <v>0.29866724606670569</v>
      </c>
      <c r="L252" s="42">
        <f t="shared" si="47"/>
        <v>0</v>
      </c>
      <c r="M252" s="42">
        <f t="shared" si="47"/>
        <v>20000</v>
      </c>
      <c r="N252" s="42">
        <f t="shared" si="40"/>
        <v>5973.3449213341137</v>
      </c>
      <c r="O252" s="36">
        <v>6.5357005533702068</v>
      </c>
      <c r="P252" s="42">
        <f t="shared" si="41"/>
        <v>4731.2376233783016</v>
      </c>
      <c r="Q252" s="42"/>
      <c r="R252">
        <v>0.55916013061922054</v>
      </c>
      <c r="S252">
        <v>0.90658284249397258</v>
      </c>
    </row>
    <row r="253" spans="1:19" x14ac:dyDescent="0.25">
      <c r="A253" s="40">
        <f t="shared" si="42"/>
        <v>0</v>
      </c>
      <c r="B253" s="40">
        <f t="shared" si="43"/>
        <v>50</v>
      </c>
      <c r="C253" s="41">
        <f t="shared" si="36"/>
        <v>1.0313000000000001</v>
      </c>
      <c r="D253" s="41">
        <f t="shared" si="37"/>
        <v>0.88000000000000012</v>
      </c>
      <c r="E253" s="39">
        <f>IF(_xlfn.NORM.INV(R253,C253,'Regressão Grupo 2'!$B$7)&lt;=0,0,IF(_xlfn.NORM.INV(R253,C253,'Regressão Grupo 2'!$B$7)&gt;100%,100%,_xlfn.NORM.INV(R253,C253,'Regressão Grupo 2'!$B$7)))</f>
        <v>0.95841061550059836</v>
      </c>
      <c r="F253" s="39">
        <f>IF(_xlfn.NORM.INV(S253,D253,'Regressão Grupo 2'!$B$7)&lt;=0,0,IF(_xlfn.NORM.INV(S253,D253,'Regressão Grupo 2'!$B$7)&gt;100%,100%,_xlfn.NORM.INV(S253,D253,'Regressão Grupo 2'!$B$7)))</f>
        <v>0.89176088174782053</v>
      </c>
      <c r="G253" s="41">
        <v>1.3729186344084389E-2</v>
      </c>
      <c r="H253" s="41">
        <v>1.2929520620323652E-2</v>
      </c>
      <c r="I253" s="40">
        <f t="shared" si="38"/>
        <v>0</v>
      </c>
      <c r="J253" s="40">
        <f t="shared" si="39"/>
        <v>230.60081417912895</v>
      </c>
      <c r="K253" s="36">
        <v>0.3153473310186764</v>
      </c>
      <c r="L253" s="42">
        <f t="shared" si="47"/>
        <v>0</v>
      </c>
      <c r="M253" s="42">
        <f t="shared" si="47"/>
        <v>20000</v>
      </c>
      <c r="N253" s="42">
        <f t="shared" si="40"/>
        <v>6306.9466203735283</v>
      </c>
      <c r="O253" s="36">
        <v>6.8881920738837668</v>
      </c>
      <c r="P253" s="42">
        <f t="shared" si="41"/>
        <v>3634.671388123099</v>
      </c>
      <c r="Q253" s="42"/>
      <c r="R253">
        <v>0.29905087435529648</v>
      </c>
      <c r="S253">
        <v>0.53389080477309492</v>
      </c>
    </row>
    <row r="254" spans="1:19" x14ac:dyDescent="0.25">
      <c r="A254" s="40">
        <f t="shared" si="42"/>
        <v>0</v>
      </c>
      <c r="B254" s="40">
        <f t="shared" si="43"/>
        <v>50</v>
      </c>
      <c r="C254" s="41">
        <f t="shared" si="36"/>
        <v>1.0313000000000001</v>
      </c>
      <c r="D254" s="41">
        <f t="shared" si="37"/>
        <v>0.88000000000000012</v>
      </c>
      <c r="E254" s="39">
        <f>IF(_xlfn.NORM.INV(R254,C254,'Regressão Grupo 2'!$B$7)&lt;=0,0,IF(_xlfn.NORM.INV(R254,C254,'Regressão Grupo 2'!$B$7)&gt;100%,100%,_xlfn.NORM.INV(R254,C254,'Regressão Grupo 2'!$B$7)))</f>
        <v>1</v>
      </c>
      <c r="F254" s="39">
        <f>IF(_xlfn.NORM.INV(S254,D254,'Regressão Grupo 2'!$B$7)&lt;=0,0,IF(_xlfn.NORM.INV(S254,D254,'Regressão Grupo 2'!$B$7)&gt;100%,100%,_xlfn.NORM.INV(S254,D254,'Regressão Grupo 2'!$B$7)))</f>
        <v>1</v>
      </c>
      <c r="G254" s="41">
        <v>1.1392898583838622E-2</v>
      </c>
      <c r="H254" s="41">
        <v>2.392676947190428E-2</v>
      </c>
      <c r="I254" s="40">
        <f t="shared" si="38"/>
        <v>0</v>
      </c>
      <c r="J254" s="40">
        <f t="shared" si="39"/>
        <v>478.53538943808559</v>
      </c>
      <c r="K254" s="36">
        <v>0.17627503281214085</v>
      </c>
      <c r="L254" s="42">
        <f t="shared" si="47"/>
        <v>0</v>
      </c>
      <c r="M254" s="42">
        <f t="shared" si="47"/>
        <v>20000</v>
      </c>
      <c r="N254" s="42">
        <f t="shared" si="40"/>
        <v>3525.5006562428171</v>
      </c>
      <c r="O254" s="36">
        <v>8.0064875894105754</v>
      </c>
      <c r="P254" s="42">
        <f t="shared" si="41"/>
        <v>16569.881159031676</v>
      </c>
      <c r="Q254" s="42"/>
      <c r="R254">
        <v>0.94354075746940524</v>
      </c>
      <c r="S254">
        <v>0.8189031647694327</v>
      </c>
    </row>
    <row r="255" spans="1:19" x14ac:dyDescent="0.25">
      <c r="A255" s="40">
        <f t="shared" si="42"/>
        <v>0</v>
      </c>
      <c r="B255" s="40">
        <f t="shared" si="43"/>
        <v>50</v>
      </c>
      <c r="C255" s="41">
        <f t="shared" si="36"/>
        <v>1.0313000000000001</v>
      </c>
      <c r="D255" s="41">
        <f t="shared" si="37"/>
        <v>0.88000000000000012</v>
      </c>
      <c r="E255" s="39">
        <f>IF(_xlfn.NORM.INV(R255,C255,'Regressão Grupo 2'!$B$7)&lt;=0,0,IF(_xlfn.NORM.INV(R255,C255,'Regressão Grupo 2'!$B$7)&gt;100%,100%,_xlfn.NORM.INV(R255,C255,'Regressão Grupo 2'!$B$7)))</f>
        <v>0.78845169736826737</v>
      </c>
      <c r="F255" s="39">
        <f>IF(_xlfn.NORM.INV(S255,D255,'Regressão Grupo 2'!$B$7)&lt;=0,0,IF(_xlfn.NORM.INV(S255,D255,'Regressão Grupo 2'!$B$7)&gt;100%,100%,_xlfn.NORM.INV(S255,D255,'Regressão Grupo 2'!$B$7)))</f>
        <v>1</v>
      </c>
      <c r="G255" s="41">
        <v>2.7230847942877955E-2</v>
      </c>
      <c r="H255" s="41">
        <v>2.1602295308701301E-2</v>
      </c>
      <c r="I255" s="40">
        <f t="shared" si="38"/>
        <v>0</v>
      </c>
      <c r="J255" s="40">
        <f t="shared" si="39"/>
        <v>432.04590617402602</v>
      </c>
      <c r="K255" s="36">
        <v>0.29219680391446817</v>
      </c>
      <c r="L255" s="42">
        <f t="shared" si="47"/>
        <v>0</v>
      </c>
      <c r="M255" s="42">
        <f t="shared" si="47"/>
        <v>20000</v>
      </c>
      <c r="N255" s="42">
        <f t="shared" si="40"/>
        <v>5843.9360782893636</v>
      </c>
      <c r="O255" s="36">
        <v>10.502838203140291</v>
      </c>
      <c r="P255" s="42">
        <f t="shared" si="41"/>
        <v>11220.650981537012</v>
      </c>
      <c r="Q255" s="42"/>
      <c r="R255">
        <v>3.9521469771416365E-2</v>
      </c>
      <c r="S255">
        <v>0.85854670857875304</v>
      </c>
    </row>
    <row r="256" spans="1:19" x14ac:dyDescent="0.25">
      <c r="A256" s="40">
        <f t="shared" si="42"/>
        <v>0</v>
      </c>
      <c r="B256" s="40">
        <f t="shared" si="43"/>
        <v>50</v>
      </c>
      <c r="C256" s="41">
        <f t="shared" si="36"/>
        <v>1.0313000000000001</v>
      </c>
      <c r="D256" s="41">
        <f t="shared" si="37"/>
        <v>0.88000000000000012</v>
      </c>
      <c r="E256" s="39">
        <f>IF(_xlfn.NORM.INV(R256,C256,'Regressão Grupo 2'!$B$7)&lt;=0,0,IF(_xlfn.NORM.INV(R256,C256,'Regressão Grupo 2'!$B$7)&gt;100%,100%,_xlfn.NORM.INV(R256,C256,'Regressão Grupo 2'!$B$7)))</f>
        <v>0.99478297745476207</v>
      </c>
      <c r="F256" s="39">
        <f>IF(_xlfn.NORM.INV(S256,D256,'Regressão Grupo 2'!$B$7)&lt;=0,0,IF(_xlfn.NORM.INV(S256,D256,'Regressão Grupo 2'!$B$7)&gt;100%,100%,_xlfn.NORM.INV(S256,D256,'Regressão Grupo 2'!$B$7)))</f>
        <v>1</v>
      </c>
      <c r="G256" s="41">
        <v>1.1660694512446664E-2</v>
      </c>
      <c r="H256" s="41">
        <v>2.6417353825326902E-2</v>
      </c>
      <c r="I256" s="40">
        <f t="shared" si="38"/>
        <v>0</v>
      </c>
      <c r="J256" s="40">
        <f t="shared" si="39"/>
        <v>528.34707650653809</v>
      </c>
      <c r="K256" s="36">
        <v>0.25492767800193672</v>
      </c>
      <c r="L256" s="42">
        <f t="shared" si="47"/>
        <v>0</v>
      </c>
      <c r="M256" s="42">
        <f t="shared" si="47"/>
        <v>20000</v>
      </c>
      <c r="N256" s="42">
        <f t="shared" si="40"/>
        <v>5098.5535600387348</v>
      </c>
      <c r="O256" s="36">
        <v>4.1387131360398</v>
      </c>
      <c r="P256" s="42">
        <f t="shared" si="41"/>
        <v>19132.123279362335</v>
      </c>
      <c r="Q256" s="42"/>
      <c r="R256">
        <v>0.3958555864131596</v>
      </c>
      <c r="S256">
        <v>0.98968474379711291</v>
      </c>
    </row>
    <row r="257" spans="1:19" x14ac:dyDescent="0.25">
      <c r="A257" s="40">
        <f t="shared" si="42"/>
        <v>0</v>
      </c>
      <c r="B257" s="40">
        <f t="shared" si="43"/>
        <v>50</v>
      </c>
      <c r="C257" s="41">
        <f t="shared" si="36"/>
        <v>1.0313000000000001</v>
      </c>
      <c r="D257" s="41">
        <f t="shared" si="37"/>
        <v>0.88000000000000012</v>
      </c>
      <c r="E257" s="39">
        <f>IF(_xlfn.NORM.INV(R257,C257,'Regressão Grupo 2'!$B$7)&lt;=0,0,IF(_xlfn.NORM.INV(R257,C257,'Regressão Grupo 2'!$B$7)&gt;100%,100%,_xlfn.NORM.INV(R257,C257,'Regressão Grupo 2'!$B$7)))</f>
        <v>1</v>
      </c>
      <c r="F257" s="39">
        <f>IF(_xlfn.NORM.INV(S257,D257,'Regressão Grupo 2'!$B$7)&lt;=0,0,IF(_xlfn.NORM.INV(S257,D257,'Regressão Grupo 2'!$B$7)&gt;100%,100%,_xlfn.NORM.INV(S257,D257,'Regressão Grupo 2'!$B$7)))</f>
        <v>0.94252464527582824</v>
      </c>
      <c r="G257" s="41">
        <v>2.0481077568228378E-2</v>
      </c>
      <c r="H257" s="41">
        <v>1.3100377556405057E-2</v>
      </c>
      <c r="I257" s="40">
        <f t="shared" si="38"/>
        <v>0</v>
      </c>
      <c r="J257" s="40">
        <f t="shared" si="39"/>
        <v>246.94857418660197</v>
      </c>
      <c r="K257" s="36">
        <v>0.29467303765771302</v>
      </c>
      <c r="L257" s="42">
        <f t="shared" si="47"/>
        <v>0</v>
      </c>
      <c r="M257" s="42">
        <f t="shared" si="47"/>
        <v>20000</v>
      </c>
      <c r="N257" s="42">
        <f t="shared" si="40"/>
        <v>5893.4607531542606</v>
      </c>
      <c r="O257" s="36">
        <v>6.4300160452750852</v>
      </c>
      <c r="P257" s="42">
        <f t="shared" si="41"/>
        <v>4866.0846617981824</v>
      </c>
      <c r="Q257" s="42"/>
      <c r="R257">
        <v>0.52400280770287178</v>
      </c>
      <c r="S257">
        <v>0.67442854091006199</v>
      </c>
    </row>
    <row r="258" spans="1:19" x14ac:dyDescent="0.25">
      <c r="A258" s="40">
        <f t="shared" si="42"/>
        <v>0</v>
      </c>
      <c r="B258" s="40">
        <f t="shared" si="43"/>
        <v>50</v>
      </c>
      <c r="C258" s="41">
        <f t="shared" si="36"/>
        <v>1.0313000000000001</v>
      </c>
      <c r="D258" s="41">
        <f t="shared" si="37"/>
        <v>0.88000000000000012</v>
      </c>
      <c r="E258" s="39">
        <f>IF(_xlfn.NORM.INV(R258,C258,'Regressão Grupo 2'!$B$7)&lt;=0,0,IF(_xlfn.NORM.INV(R258,C258,'Regressão Grupo 2'!$B$7)&gt;100%,100%,_xlfn.NORM.INV(R258,C258,'Regressão Grupo 2'!$B$7)))</f>
        <v>0.98204834529759655</v>
      </c>
      <c r="F258" s="39">
        <f>IF(_xlfn.NORM.INV(S258,D258,'Regressão Grupo 2'!$B$7)&lt;=0,0,IF(_xlfn.NORM.INV(S258,D258,'Regressão Grupo 2'!$B$7)&gt;100%,100%,_xlfn.NORM.INV(S258,D258,'Regressão Grupo 2'!$B$7)))</f>
        <v>0.76094369569893217</v>
      </c>
      <c r="G258" s="41">
        <v>1.3219663656056467E-2</v>
      </c>
      <c r="H258" s="41">
        <v>9.3884486058198723E-3</v>
      </c>
      <c r="I258" s="40">
        <f t="shared" si="38"/>
        <v>0</v>
      </c>
      <c r="J258" s="40">
        <f t="shared" si="39"/>
        <v>142.88161557984122</v>
      </c>
      <c r="K258" s="36">
        <v>0.21811756574861718</v>
      </c>
      <c r="L258" s="42">
        <f t="shared" si="47"/>
        <v>0</v>
      </c>
      <c r="M258" s="42">
        <f t="shared" si="47"/>
        <v>20000</v>
      </c>
      <c r="N258" s="42">
        <f t="shared" si="40"/>
        <v>4362.351314972344</v>
      </c>
      <c r="O258" s="36">
        <v>4.5554961228428024</v>
      </c>
      <c r="P258" s="42">
        <f t="shared" si="41"/>
        <v>2130.8328182202349</v>
      </c>
      <c r="Q258" s="42"/>
      <c r="R258">
        <v>0.36085085604419082</v>
      </c>
      <c r="S258">
        <v>0.19461653492843409</v>
      </c>
    </row>
    <row r="259" spans="1:19" x14ac:dyDescent="0.25">
      <c r="A259" s="40">
        <f t="shared" si="42"/>
        <v>0</v>
      </c>
      <c r="B259" s="40">
        <f t="shared" si="43"/>
        <v>50</v>
      </c>
      <c r="C259" s="41">
        <f t="shared" si="36"/>
        <v>1.0313000000000001</v>
      </c>
      <c r="D259" s="41">
        <f t="shared" si="37"/>
        <v>0.88000000000000012</v>
      </c>
      <c r="E259" s="39">
        <f>IF(_xlfn.NORM.INV(R259,C259,'Regressão Grupo 2'!$B$7)&lt;=0,0,IF(_xlfn.NORM.INV(R259,C259,'Regressão Grupo 2'!$B$7)&gt;100%,100%,_xlfn.NORM.INV(R259,C259,'Regressão Grupo 2'!$B$7)))</f>
        <v>1</v>
      </c>
      <c r="F259" s="39">
        <f>IF(_xlfn.NORM.INV(S259,D259,'Regressão Grupo 2'!$B$7)&lt;=0,0,IF(_xlfn.NORM.INV(S259,D259,'Regressão Grupo 2'!$B$7)&gt;100%,100%,_xlfn.NORM.INV(S259,D259,'Regressão Grupo 2'!$B$7)))</f>
        <v>0.85936559459257378</v>
      </c>
      <c r="G259" s="41">
        <v>9.4613202094014272E-3</v>
      </c>
      <c r="H259" s="41">
        <v>1.4198269609004617E-2</v>
      </c>
      <c r="I259" s="40">
        <f t="shared" si="38"/>
        <v>0</v>
      </c>
      <c r="J259" s="40">
        <f t="shared" si="39"/>
        <v>244.03008809455847</v>
      </c>
      <c r="K259" s="36">
        <v>0.33055958170714606</v>
      </c>
      <c r="L259" s="42">
        <f t="shared" si="47"/>
        <v>0</v>
      </c>
      <c r="M259" s="42">
        <f t="shared" si="47"/>
        <v>20000</v>
      </c>
      <c r="N259" s="42">
        <f t="shared" si="40"/>
        <v>6611.1916341429214</v>
      </c>
      <c r="O259" s="36">
        <v>5.1861461554849013</v>
      </c>
      <c r="P259" s="42">
        <f t="shared" si="41"/>
        <v>4324.7370673907653</v>
      </c>
      <c r="Q259" s="42"/>
      <c r="R259">
        <v>0.59572130497146525</v>
      </c>
      <c r="S259">
        <v>0.44068727683339948</v>
      </c>
    </row>
    <row r="260" spans="1:19" x14ac:dyDescent="0.25">
      <c r="A260" s="40">
        <f t="shared" si="42"/>
        <v>0</v>
      </c>
      <c r="B260" s="40">
        <f t="shared" si="43"/>
        <v>50</v>
      </c>
      <c r="C260" s="41">
        <f t="shared" si="36"/>
        <v>1.0313000000000001</v>
      </c>
      <c r="D260" s="41">
        <f t="shared" si="37"/>
        <v>0.88000000000000012</v>
      </c>
      <c r="E260" s="39">
        <f>IF(_xlfn.NORM.INV(R260,C260,'Regressão Grupo 2'!$B$7)&lt;=0,0,IF(_xlfn.NORM.INV(R260,C260,'Regressão Grupo 2'!$B$7)&gt;100%,100%,_xlfn.NORM.INV(R260,C260,'Regressão Grupo 2'!$B$7)))</f>
        <v>1</v>
      </c>
      <c r="F260" s="39">
        <f>IF(_xlfn.NORM.INV(S260,D260,'Regressão Grupo 2'!$B$7)&lt;=0,0,IF(_xlfn.NORM.INV(S260,D260,'Regressão Grupo 2'!$B$7)&gt;100%,100%,_xlfn.NORM.INV(S260,D260,'Regressão Grupo 2'!$B$7)))</f>
        <v>1</v>
      </c>
      <c r="G260" s="41">
        <v>1.7304556611472406E-2</v>
      </c>
      <c r="H260" s="41">
        <v>8.8179558443022502E-3</v>
      </c>
      <c r="I260" s="40">
        <f t="shared" si="38"/>
        <v>0</v>
      </c>
      <c r="J260" s="40">
        <f t="shared" si="39"/>
        <v>176.359116886045</v>
      </c>
      <c r="K260" s="36">
        <v>0.37206168400400863</v>
      </c>
      <c r="L260" s="42">
        <f t="shared" si="47"/>
        <v>0</v>
      </c>
      <c r="M260" s="42">
        <f t="shared" si="47"/>
        <v>20000</v>
      </c>
      <c r="N260" s="42">
        <f t="shared" si="40"/>
        <v>7441.2336800801722</v>
      </c>
      <c r="O260" s="36">
        <v>4.1222044844854207</v>
      </c>
      <c r="P260" s="42">
        <f t="shared" si="41"/>
        <v>649.73382171453522</v>
      </c>
      <c r="Q260" s="42"/>
      <c r="R260">
        <v>0.99484237189855651</v>
      </c>
      <c r="S260">
        <v>0.86376537369914852</v>
      </c>
    </row>
    <row r="261" spans="1:19" x14ac:dyDescent="0.25">
      <c r="A261" s="40">
        <f t="shared" si="42"/>
        <v>0</v>
      </c>
      <c r="B261" s="40">
        <f t="shared" si="43"/>
        <v>50</v>
      </c>
      <c r="C261" s="41">
        <f t="shared" si="36"/>
        <v>1.0313000000000001</v>
      </c>
      <c r="D261" s="41">
        <f t="shared" si="37"/>
        <v>0.88000000000000012</v>
      </c>
      <c r="E261" s="39">
        <f>IF(_xlfn.NORM.INV(R261,C261,'Regressão Grupo 2'!$B$7)&lt;=0,0,IF(_xlfn.NORM.INV(R261,C261,'Regressão Grupo 2'!$B$7)&gt;100%,100%,_xlfn.NORM.INV(R261,C261,'Regressão Grupo 2'!$B$7)))</f>
        <v>1</v>
      </c>
      <c r="F261" s="39">
        <f>IF(_xlfn.NORM.INV(S261,D261,'Regressão Grupo 2'!$B$7)&lt;=0,0,IF(_xlfn.NORM.INV(S261,D261,'Regressão Grupo 2'!$B$7)&gt;100%,100%,_xlfn.NORM.INV(S261,D261,'Regressão Grupo 2'!$B$7)))</f>
        <v>0.95582302069841252</v>
      </c>
      <c r="G261" s="41">
        <v>1.4661417588967263E-2</v>
      </c>
      <c r="H261" s="41">
        <v>2.2965676025955298E-2</v>
      </c>
      <c r="I261" s="40">
        <f t="shared" si="38"/>
        <v>0</v>
      </c>
      <c r="J261" s="40">
        <f t="shared" si="39"/>
        <v>439.02243663019408</v>
      </c>
      <c r="K261" s="36">
        <v>0.32285193934370293</v>
      </c>
      <c r="L261" s="42">
        <f t="shared" si="47"/>
        <v>0</v>
      </c>
      <c r="M261" s="42">
        <f t="shared" si="47"/>
        <v>20000</v>
      </c>
      <c r="N261" s="42">
        <f t="shared" si="40"/>
        <v>6457.038786874059</v>
      </c>
      <c r="O261" s="36">
        <v>3.5320688316019231</v>
      </c>
      <c r="P261" s="42">
        <f t="shared" si="41"/>
        <v>13943.425579840205</v>
      </c>
      <c r="Q261" s="42"/>
      <c r="R261">
        <v>0.76781517990661341</v>
      </c>
      <c r="S261">
        <v>0.7082735679189428</v>
      </c>
    </row>
    <row r="262" spans="1:19" x14ac:dyDescent="0.25">
      <c r="A262" s="40">
        <f t="shared" si="42"/>
        <v>0</v>
      </c>
      <c r="B262" s="40">
        <f t="shared" si="43"/>
        <v>50</v>
      </c>
      <c r="C262" s="41">
        <f t="shared" ref="C262:C325" si="48">-0.0071*A262 + 1.0313</f>
        <v>1.0313000000000001</v>
      </c>
      <c r="D262" s="41">
        <f t="shared" ref="D262:D325" si="49">-0.0059*B262+1.175</f>
        <v>0.88000000000000012</v>
      </c>
      <c r="E262" s="39">
        <f>IF(_xlfn.NORM.INV(R262,C262,'Regressão Grupo 2'!$B$7)&lt;=0,0,IF(_xlfn.NORM.INV(R262,C262,'Regressão Grupo 2'!$B$7)&gt;100%,100%,_xlfn.NORM.INV(R262,C262,'Regressão Grupo 2'!$B$7)))</f>
        <v>1</v>
      </c>
      <c r="F262" s="39">
        <f>IF(_xlfn.NORM.INV(S262,D262,'Regressão Grupo 2'!$B$7)&lt;=0,0,IF(_xlfn.NORM.INV(S262,D262,'Regressão Grupo 2'!$B$7)&gt;100%,100%,_xlfn.NORM.INV(S262,D262,'Regressão Grupo 2'!$B$7)))</f>
        <v>0.68758698497589588</v>
      </c>
      <c r="G262" s="41">
        <v>1.8985286737848089E-2</v>
      </c>
      <c r="H262" s="41">
        <v>5.1187364403401849E-3</v>
      </c>
      <c r="I262" s="40">
        <f t="shared" ref="I262:I325" si="50">IF(E262*G262*L262&gt;0,E262*G262*L262,0)</f>
        <v>0</v>
      </c>
      <c r="J262" s="40">
        <f t="shared" ref="J262:J325" si="51">IF(F262*H262*M262&gt;0,F262*H262*M262,0)</f>
        <v>70.391531117995157</v>
      </c>
      <c r="K262" s="36">
        <v>0.25974171653130007</v>
      </c>
      <c r="L262" s="42">
        <f t="shared" si="47"/>
        <v>0</v>
      </c>
      <c r="M262" s="42">
        <f t="shared" si="47"/>
        <v>20000</v>
      </c>
      <c r="N262" s="42">
        <f t="shared" ref="N262:N325" si="52">(L262+M262)*K262</f>
        <v>5194.8343306260012</v>
      </c>
      <c r="O262" s="36">
        <v>5.7633392997361277</v>
      </c>
      <c r="P262" s="42">
        <f t="shared" ref="P262:P325" si="53">SUMPRODUCT(A262:B262,I262:J262)-SUM(I262:J262)*O262-N262</f>
        <v>-2080.9480523871835</v>
      </c>
      <c r="Q262" s="42"/>
      <c r="R262">
        <v>0.87377544480727565</v>
      </c>
      <c r="S262">
        <v>8.2033753471480453E-2</v>
      </c>
    </row>
    <row r="263" spans="1:19" x14ac:dyDescent="0.25">
      <c r="A263" s="40">
        <f t="shared" ref="A263:A326" si="54">A262</f>
        <v>0</v>
      </c>
      <c r="B263" s="40">
        <f t="shared" ref="B263:B326" si="55">B262</f>
        <v>50</v>
      </c>
      <c r="C263" s="41">
        <f t="shared" si="48"/>
        <v>1.0313000000000001</v>
      </c>
      <c r="D263" s="41">
        <f t="shared" si="49"/>
        <v>0.88000000000000012</v>
      </c>
      <c r="E263" s="39">
        <f>IF(_xlfn.NORM.INV(R263,C263,'Regressão Grupo 2'!$B$7)&lt;=0,0,IF(_xlfn.NORM.INV(R263,C263,'Regressão Grupo 2'!$B$7)&gt;100%,100%,_xlfn.NORM.INV(R263,C263,'Regressão Grupo 2'!$B$7)))</f>
        <v>1</v>
      </c>
      <c r="F263" s="39">
        <f>IF(_xlfn.NORM.INV(S263,D263,'Regressão Grupo 2'!$B$7)&lt;=0,0,IF(_xlfn.NORM.INV(S263,D263,'Regressão Grupo 2'!$B$7)&gt;100%,100%,_xlfn.NORM.INV(S263,D263,'Regressão Grupo 2'!$B$7)))</f>
        <v>0.83615560350648865</v>
      </c>
      <c r="G263" s="41">
        <v>2.2002551202463951E-2</v>
      </c>
      <c r="H263" s="41">
        <v>2.1903992441193149E-2</v>
      </c>
      <c r="I263" s="40">
        <f t="shared" si="50"/>
        <v>0</v>
      </c>
      <c r="J263" s="40">
        <f t="shared" si="51"/>
        <v>366.30292037734847</v>
      </c>
      <c r="K263" s="36">
        <v>0.31050307318127113</v>
      </c>
      <c r="L263" s="42">
        <f t="shared" ref="L263:M278" si="56">L262</f>
        <v>0</v>
      </c>
      <c r="M263" s="42">
        <f t="shared" si="56"/>
        <v>20000</v>
      </c>
      <c r="N263" s="42">
        <f t="shared" si="52"/>
        <v>6210.0614636254222</v>
      </c>
      <c r="O263" s="36">
        <v>6.7726798322408674</v>
      </c>
      <c r="P263" s="42">
        <f t="shared" si="53"/>
        <v>9624.2321539114018</v>
      </c>
      <c r="Q263" s="42"/>
      <c r="R263">
        <v>0.84640034180730617</v>
      </c>
      <c r="S263">
        <v>0.37559129612109743</v>
      </c>
    </row>
    <row r="264" spans="1:19" x14ac:dyDescent="0.25">
      <c r="A264" s="40">
        <f t="shared" si="54"/>
        <v>0</v>
      </c>
      <c r="B264" s="40">
        <f t="shared" si="55"/>
        <v>50</v>
      </c>
      <c r="C264" s="41">
        <f t="shared" si="48"/>
        <v>1.0313000000000001</v>
      </c>
      <c r="D264" s="41">
        <f t="shared" si="49"/>
        <v>0.88000000000000012</v>
      </c>
      <c r="E264" s="39">
        <f>IF(_xlfn.NORM.INV(R264,C264,'Regressão Grupo 2'!$B$7)&lt;=0,0,IF(_xlfn.NORM.INV(R264,C264,'Regressão Grupo 2'!$B$7)&gt;100%,100%,_xlfn.NORM.INV(R264,C264,'Regressão Grupo 2'!$B$7)))</f>
        <v>1</v>
      </c>
      <c r="F264" s="39">
        <f>IF(_xlfn.NORM.INV(S264,D264,'Regressão Grupo 2'!$B$7)&lt;=0,0,IF(_xlfn.NORM.INV(S264,D264,'Regressão Grupo 2'!$B$7)&gt;100%,100%,_xlfn.NORM.INV(S264,D264,'Regressão Grupo 2'!$B$7)))</f>
        <v>0.72985060107021771</v>
      </c>
      <c r="G264" s="41">
        <v>2.093338336391555E-2</v>
      </c>
      <c r="H264" s="41">
        <v>1.5249878257515666E-2</v>
      </c>
      <c r="I264" s="40">
        <f t="shared" si="50"/>
        <v>0</v>
      </c>
      <c r="J264" s="40">
        <f t="shared" si="51"/>
        <v>222.60265624990907</v>
      </c>
      <c r="K264" s="36">
        <v>0.3913021230096041</v>
      </c>
      <c r="L264" s="42">
        <f t="shared" si="56"/>
        <v>0</v>
      </c>
      <c r="M264" s="42">
        <f t="shared" si="56"/>
        <v>20000</v>
      </c>
      <c r="N264" s="42">
        <f t="shared" si="52"/>
        <v>7826.0424601920822</v>
      </c>
      <c r="O264" s="36">
        <v>7.715466861194594</v>
      </c>
      <c r="P264" s="42">
        <f t="shared" si="53"/>
        <v>1586.6069347933062</v>
      </c>
      <c r="Q264" s="42"/>
      <c r="R264">
        <v>0.85195471053193761</v>
      </c>
      <c r="S264">
        <v>0.13876766258735923</v>
      </c>
    </row>
    <row r="265" spans="1:19" x14ac:dyDescent="0.25">
      <c r="A265" s="40">
        <f t="shared" si="54"/>
        <v>0</v>
      </c>
      <c r="B265" s="40">
        <f t="shared" si="55"/>
        <v>50</v>
      </c>
      <c r="C265" s="41">
        <f t="shared" si="48"/>
        <v>1.0313000000000001</v>
      </c>
      <c r="D265" s="41">
        <f t="shared" si="49"/>
        <v>0.88000000000000012</v>
      </c>
      <c r="E265" s="39">
        <f>IF(_xlfn.NORM.INV(R265,C265,'Regressão Grupo 2'!$B$7)&lt;=0,0,IF(_xlfn.NORM.INV(R265,C265,'Regressão Grupo 2'!$B$7)&gt;100%,100%,_xlfn.NORM.INV(R265,C265,'Regressão Grupo 2'!$B$7)))</f>
        <v>1</v>
      </c>
      <c r="F265" s="39">
        <f>IF(_xlfn.NORM.INV(S265,D265,'Regressão Grupo 2'!$B$7)&lt;=0,0,IF(_xlfn.NORM.INV(S265,D265,'Regressão Grupo 2'!$B$7)&gt;100%,100%,_xlfn.NORM.INV(S265,D265,'Regressão Grupo 2'!$B$7)))</f>
        <v>1</v>
      </c>
      <c r="G265" s="41">
        <v>1.6559815099209143E-2</v>
      </c>
      <c r="H265" s="41">
        <v>1.0546203591910521E-2</v>
      </c>
      <c r="I265" s="40">
        <f t="shared" si="50"/>
        <v>0</v>
      </c>
      <c r="J265" s="40">
        <f t="shared" si="51"/>
        <v>210.92407183821041</v>
      </c>
      <c r="K265" s="36">
        <v>0.36624576325754155</v>
      </c>
      <c r="L265" s="42">
        <f t="shared" si="56"/>
        <v>0</v>
      </c>
      <c r="M265" s="42">
        <f t="shared" si="56"/>
        <v>20000</v>
      </c>
      <c r="N265" s="42">
        <f t="shared" si="52"/>
        <v>7324.9152651508311</v>
      </c>
      <c r="O265" s="36">
        <v>7.1807452771075635</v>
      </c>
      <c r="P265" s="42">
        <f t="shared" si="53"/>
        <v>1706.6962940791627</v>
      </c>
      <c r="Q265" s="42"/>
      <c r="R265">
        <v>0.90746787926877648</v>
      </c>
      <c r="S265">
        <v>0.88329721976378672</v>
      </c>
    </row>
    <row r="266" spans="1:19" x14ac:dyDescent="0.25">
      <c r="A266" s="40">
        <f t="shared" si="54"/>
        <v>0</v>
      </c>
      <c r="B266" s="40">
        <f t="shared" si="55"/>
        <v>50</v>
      </c>
      <c r="C266" s="41">
        <f t="shared" si="48"/>
        <v>1.0313000000000001</v>
      </c>
      <c r="D266" s="41">
        <f t="shared" si="49"/>
        <v>0.88000000000000012</v>
      </c>
      <c r="E266" s="39">
        <f>IF(_xlfn.NORM.INV(R266,C266,'Regressão Grupo 2'!$B$7)&lt;=0,0,IF(_xlfn.NORM.INV(R266,C266,'Regressão Grupo 2'!$B$7)&gt;100%,100%,_xlfn.NORM.INV(R266,C266,'Regressão Grupo 2'!$B$7)))</f>
        <v>0.85562822771905056</v>
      </c>
      <c r="F266" s="39">
        <f>IF(_xlfn.NORM.INV(S266,D266,'Regressão Grupo 2'!$B$7)&lt;=0,0,IF(_xlfn.NORM.INV(S266,D266,'Regressão Grupo 2'!$B$7)&gt;100%,100%,_xlfn.NORM.INV(S266,D266,'Regressão Grupo 2'!$B$7)))</f>
        <v>0.89116648174985302</v>
      </c>
      <c r="G266" s="41">
        <v>2.2003186219640907E-2</v>
      </c>
      <c r="H266" s="41">
        <v>1.4884518503045533E-2</v>
      </c>
      <c r="I266" s="40">
        <f t="shared" si="50"/>
        <v>0</v>
      </c>
      <c r="J266" s="40">
        <f t="shared" si="51"/>
        <v>265.29167973799355</v>
      </c>
      <c r="K266" s="36">
        <v>0.25662168925836093</v>
      </c>
      <c r="L266" s="42">
        <f t="shared" si="56"/>
        <v>0</v>
      </c>
      <c r="M266" s="42">
        <f t="shared" si="56"/>
        <v>20000</v>
      </c>
      <c r="N266" s="42">
        <f t="shared" si="52"/>
        <v>5132.433785167219</v>
      </c>
      <c r="O266" s="36">
        <v>3.1196421353356727</v>
      </c>
      <c r="P266" s="42">
        <f t="shared" si="53"/>
        <v>7304.5350994678374</v>
      </c>
      <c r="Q266" s="42"/>
      <c r="R266">
        <v>0.10196234015930662</v>
      </c>
      <c r="S266">
        <v>0.53218176824243901</v>
      </c>
    </row>
    <row r="267" spans="1:19" x14ac:dyDescent="0.25">
      <c r="A267" s="40">
        <f t="shared" si="54"/>
        <v>0</v>
      </c>
      <c r="B267" s="40">
        <f t="shared" si="55"/>
        <v>50</v>
      </c>
      <c r="C267" s="41">
        <f t="shared" si="48"/>
        <v>1.0313000000000001</v>
      </c>
      <c r="D267" s="41">
        <f t="shared" si="49"/>
        <v>0.88000000000000012</v>
      </c>
      <c r="E267" s="39">
        <f>IF(_xlfn.NORM.INV(R267,C267,'Regressão Grupo 2'!$B$7)&lt;=0,0,IF(_xlfn.NORM.INV(R267,C267,'Regressão Grupo 2'!$B$7)&gt;100%,100%,_xlfn.NORM.INV(R267,C267,'Regressão Grupo 2'!$B$7)))</f>
        <v>1</v>
      </c>
      <c r="F267" s="39">
        <f>IF(_xlfn.NORM.INV(S267,D267,'Regressão Grupo 2'!$B$7)&lt;=0,0,IF(_xlfn.NORM.INV(S267,D267,'Regressão Grupo 2'!$B$7)&gt;100%,100%,_xlfn.NORM.INV(S267,D267,'Regressão Grupo 2'!$B$7)))</f>
        <v>0.88172952572062513</v>
      </c>
      <c r="G267" s="41">
        <v>1.5760526363833988E-2</v>
      </c>
      <c r="H267" s="41">
        <v>2.5385713123231415E-2</v>
      </c>
      <c r="I267" s="40">
        <f t="shared" si="50"/>
        <v>0</v>
      </c>
      <c r="J267" s="40">
        <f t="shared" si="51"/>
        <v>447.66665584453369</v>
      </c>
      <c r="K267" s="36">
        <v>0.17339326865697749</v>
      </c>
      <c r="L267" s="42">
        <f t="shared" si="56"/>
        <v>0</v>
      </c>
      <c r="M267" s="42">
        <f t="shared" si="56"/>
        <v>20000</v>
      </c>
      <c r="N267" s="42">
        <f t="shared" si="52"/>
        <v>3467.8653731395498</v>
      </c>
      <c r="O267" s="36">
        <v>4.9755144151355433</v>
      </c>
      <c r="P267" s="42">
        <f t="shared" si="53"/>
        <v>16688.095519757135</v>
      </c>
      <c r="Q267" s="42"/>
      <c r="R267">
        <v>0.9081087679677724</v>
      </c>
      <c r="S267">
        <v>0.50498977629932551</v>
      </c>
    </row>
    <row r="268" spans="1:19" x14ac:dyDescent="0.25">
      <c r="A268" s="40">
        <f t="shared" si="54"/>
        <v>0</v>
      </c>
      <c r="B268" s="40">
        <f t="shared" si="55"/>
        <v>50</v>
      </c>
      <c r="C268" s="41">
        <f t="shared" si="48"/>
        <v>1.0313000000000001</v>
      </c>
      <c r="D268" s="41">
        <f t="shared" si="49"/>
        <v>0.88000000000000012</v>
      </c>
      <c r="E268" s="39">
        <f>IF(_xlfn.NORM.INV(R268,C268,'Regressão Grupo 2'!$B$7)&lt;=0,0,IF(_xlfn.NORM.INV(R268,C268,'Regressão Grupo 2'!$B$7)&gt;100%,100%,_xlfn.NORM.INV(R268,C268,'Regressão Grupo 2'!$B$7)))</f>
        <v>1</v>
      </c>
      <c r="F268" s="39">
        <f>IF(_xlfn.NORM.INV(S268,D268,'Regressão Grupo 2'!$B$7)&lt;=0,0,IF(_xlfn.NORM.INV(S268,D268,'Regressão Grupo 2'!$B$7)&gt;100%,100%,_xlfn.NORM.INV(S268,D268,'Regressão Grupo 2'!$B$7)))</f>
        <v>1</v>
      </c>
      <c r="G268" s="41">
        <v>1.8641319012572672E-2</v>
      </c>
      <c r="H268" s="41">
        <v>1.663711403356773E-2</v>
      </c>
      <c r="I268" s="40">
        <f t="shared" si="50"/>
        <v>0</v>
      </c>
      <c r="J268" s="40">
        <f t="shared" si="51"/>
        <v>332.74228067135459</v>
      </c>
      <c r="K268" s="36">
        <v>0.32520880213100534</v>
      </c>
      <c r="L268" s="42">
        <f t="shared" si="56"/>
        <v>0</v>
      </c>
      <c r="M268" s="42">
        <f t="shared" si="56"/>
        <v>20000</v>
      </c>
      <c r="N268" s="42">
        <f t="shared" si="52"/>
        <v>6504.1760426201072</v>
      </c>
      <c r="O268" s="36">
        <v>4.6222727436370805</v>
      </c>
      <c r="P268" s="42">
        <f t="shared" si="53"/>
        <v>8594.9124163447814</v>
      </c>
      <c r="Q268" s="42"/>
      <c r="R268">
        <v>0.86800744651631212</v>
      </c>
      <c r="S268">
        <v>0.8350779747917112</v>
      </c>
    </row>
    <row r="269" spans="1:19" x14ac:dyDescent="0.25">
      <c r="A269" s="40">
        <f t="shared" si="54"/>
        <v>0</v>
      </c>
      <c r="B269" s="40">
        <f t="shared" si="55"/>
        <v>50</v>
      </c>
      <c r="C269" s="41">
        <f t="shared" si="48"/>
        <v>1.0313000000000001</v>
      </c>
      <c r="D269" s="41">
        <f t="shared" si="49"/>
        <v>0.88000000000000012</v>
      </c>
      <c r="E269" s="39">
        <f>IF(_xlfn.NORM.INV(R269,C269,'Regressão Grupo 2'!$B$7)&lt;=0,0,IF(_xlfn.NORM.INV(R269,C269,'Regressão Grupo 2'!$B$7)&gt;100%,100%,_xlfn.NORM.INV(R269,C269,'Regressão Grupo 2'!$B$7)))</f>
        <v>1</v>
      </c>
      <c r="F269" s="39">
        <f>IF(_xlfn.NORM.INV(S269,D269,'Regressão Grupo 2'!$B$7)&lt;=0,0,IF(_xlfn.NORM.INV(S269,D269,'Regressão Grupo 2'!$B$7)&gt;100%,100%,_xlfn.NORM.INV(S269,D269,'Regressão Grupo 2'!$B$7)))</f>
        <v>0.84130964309487688</v>
      </c>
      <c r="G269" s="41">
        <v>1.7562275162204519E-2</v>
      </c>
      <c r="H269" s="41">
        <v>1.5933094537746492E-2</v>
      </c>
      <c r="I269" s="40">
        <f t="shared" si="50"/>
        <v>0</v>
      </c>
      <c r="J269" s="40">
        <f t="shared" si="51"/>
        <v>268.0933215789687</v>
      </c>
      <c r="K269" s="36">
        <v>0.36030793131335237</v>
      </c>
      <c r="L269" s="42">
        <f t="shared" si="56"/>
        <v>0</v>
      </c>
      <c r="M269" s="42">
        <f t="shared" si="56"/>
        <v>20000</v>
      </c>
      <c r="N269" s="42">
        <f t="shared" si="52"/>
        <v>7206.1586262670471</v>
      </c>
      <c r="O269" s="36">
        <v>2.3703093419966459</v>
      </c>
      <c r="P269" s="42">
        <f t="shared" si="53"/>
        <v>5563.0433480158472</v>
      </c>
      <c r="Q269" s="42"/>
      <c r="R269">
        <v>0.71416364024781032</v>
      </c>
      <c r="S269">
        <v>0.38981292153691216</v>
      </c>
    </row>
    <row r="270" spans="1:19" x14ac:dyDescent="0.25">
      <c r="A270" s="40">
        <f t="shared" si="54"/>
        <v>0</v>
      </c>
      <c r="B270" s="40">
        <f t="shared" si="55"/>
        <v>50</v>
      </c>
      <c r="C270" s="41">
        <f t="shared" si="48"/>
        <v>1.0313000000000001</v>
      </c>
      <c r="D270" s="41">
        <f t="shared" si="49"/>
        <v>0.88000000000000012</v>
      </c>
      <c r="E270" s="39">
        <f>IF(_xlfn.NORM.INV(R270,C270,'Regressão Grupo 2'!$B$7)&lt;=0,0,IF(_xlfn.NORM.INV(R270,C270,'Regressão Grupo 2'!$B$7)&gt;100%,100%,_xlfn.NORM.INV(R270,C270,'Regressão Grupo 2'!$B$7)))</f>
        <v>1</v>
      </c>
      <c r="F270" s="39">
        <f>IF(_xlfn.NORM.INV(S270,D270,'Regressão Grupo 2'!$B$7)&lt;=0,0,IF(_xlfn.NORM.INV(S270,D270,'Regressão Grupo 2'!$B$7)&gt;100%,100%,_xlfn.NORM.INV(S270,D270,'Regressão Grupo 2'!$B$7)))</f>
        <v>0.81860975724115892</v>
      </c>
      <c r="G270" s="41">
        <v>2.1939352026451038E-2</v>
      </c>
      <c r="H270" s="41">
        <v>1.111474428116954E-2</v>
      </c>
      <c r="I270" s="40">
        <f t="shared" si="50"/>
        <v>0</v>
      </c>
      <c r="J270" s="40">
        <f t="shared" si="51"/>
        <v>181.97276235611514</v>
      </c>
      <c r="K270" s="36">
        <v>0.2506211770233373</v>
      </c>
      <c r="L270" s="42">
        <f t="shared" si="56"/>
        <v>0</v>
      </c>
      <c r="M270" s="42">
        <f t="shared" si="56"/>
        <v>20000</v>
      </c>
      <c r="N270" s="42">
        <f t="shared" si="52"/>
        <v>5012.4235404667461</v>
      </c>
      <c r="O270" s="36">
        <v>6.9666258176265972</v>
      </c>
      <c r="P270" s="42">
        <f t="shared" si="53"/>
        <v>2818.4784330040693</v>
      </c>
      <c r="Q270" s="42"/>
      <c r="R270">
        <v>0.96273689992980738</v>
      </c>
      <c r="S270">
        <v>0.32853175450910976</v>
      </c>
    </row>
    <row r="271" spans="1:19" x14ac:dyDescent="0.25">
      <c r="A271" s="40">
        <f t="shared" si="54"/>
        <v>0</v>
      </c>
      <c r="B271" s="40">
        <f t="shared" si="55"/>
        <v>50</v>
      </c>
      <c r="C271" s="41">
        <f t="shared" si="48"/>
        <v>1.0313000000000001</v>
      </c>
      <c r="D271" s="41">
        <f t="shared" si="49"/>
        <v>0.88000000000000012</v>
      </c>
      <c r="E271" s="39">
        <f>IF(_xlfn.NORM.INV(R271,C271,'Regressão Grupo 2'!$B$7)&lt;=0,0,IF(_xlfn.NORM.INV(R271,C271,'Regressão Grupo 2'!$B$7)&gt;100%,100%,_xlfn.NORM.INV(R271,C271,'Regressão Grupo 2'!$B$7)))</f>
        <v>1</v>
      </c>
      <c r="F271" s="39">
        <f>IF(_xlfn.NORM.INV(S271,D271,'Regressão Grupo 2'!$B$7)&lt;=0,0,IF(_xlfn.NORM.INV(S271,D271,'Regressão Grupo 2'!$B$7)&gt;100%,100%,_xlfn.NORM.INV(S271,D271,'Regressão Grupo 2'!$B$7)))</f>
        <v>0.88463926322042619</v>
      </c>
      <c r="G271" s="41">
        <v>2.8475823214984968E-2</v>
      </c>
      <c r="H271" s="41">
        <v>1.3245539958225283E-2</v>
      </c>
      <c r="I271" s="40">
        <f t="shared" si="50"/>
        <v>0</v>
      </c>
      <c r="J271" s="40">
        <f t="shared" si="51"/>
        <v>234.35049419202258</v>
      </c>
      <c r="K271" s="36">
        <v>0.32171001378835207</v>
      </c>
      <c r="L271" s="42">
        <f t="shared" si="56"/>
        <v>0</v>
      </c>
      <c r="M271" s="42">
        <f t="shared" si="56"/>
        <v>20000</v>
      </c>
      <c r="N271" s="42">
        <f t="shared" si="52"/>
        <v>6434.2002757670416</v>
      </c>
      <c r="O271" s="36">
        <v>9.6427501320901357</v>
      </c>
      <c r="P271" s="42">
        <f t="shared" si="53"/>
        <v>3023.5411750085732</v>
      </c>
      <c r="Q271" s="42"/>
      <c r="R271">
        <v>0.8247932370983001</v>
      </c>
      <c r="S271">
        <v>0.51338236640522472</v>
      </c>
    </row>
    <row r="272" spans="1:19" x14ac:dyDescent="0.25">
      <c r="A272" s="40">
        <f t="shared" si="54"/>
        <v>0</v>
      </c>
      <c r="B272" s="40">
        <f t="shared" si="55"/>
        <v>50</v>
      </c>
      <c r="C272" s="41">
        <f t="shared" si="48"/>
        <v>1.0313000000000001</v>
      </c>
      <c r="D272" s="41">
        <f t="shared" si="49"/>
        <v>0.88000000000000012</v>
      </c>
      <c r="E272" s="39">
        <f>IF(_xlfn.NORM.INV(R272,C272,'Regressão Grupo 2'!$B$7)&lt;=0,0,IF(_xlfn.NORM.INV(R272,C272,'Regressão Grupo 2'!$B$7)&gt;100%,100%,_xlfn.NORM.INV(R272,C272,'Regressão Grupo 2'!$B$7)))</f>
        <v>1</v>
      </c>
      <c r="F272" s="39">
        <f>IF(_xlfn.NORM.INV(S272,D272,'Regressão Grupo 2'!$B$7)&lt;=0,0,IF(_xlfn.NORM.INV(S272,D272,'Regressão Grupo 2'!$B$7)&gt;100%,100%,_xlfn.NORM.INV(S272,D272,'Regressão Grupo 2'!$B$7)))</f>
        <v>1</v>
      </c>
      <c r="G272" s="41">
        <v>1.6283446517064211E-2</v>
      </c>
      <c r="H272" s="41">
        <v>1.5638779858144547E-2</v>
      </c>
      <c r="I272" s="40">
        <f t="shared" si="50"/>
        <v>0</v>
      </c>
      <c r="J272" s="40">
        <f t="shared" si="51"/>
        <v>312.77559716289096</v>
      </c>
      <c r="K272" s="36">
        <v>0.45894550530418132</v>
      </c>
      <c r="L272" s="42">
        <f t="shared" si="56"/>
        <v>0</v>
      </c>
      <c r="M272" s="42">
        <f t="shared" si="56"/>
        <v>20000</v>
      </c>
      <c r="N272" s="42">
        <f t="shared" si="52"/>
        <v>9178.9101060836256</v>
      </c>
      <c r="O272" s="36">
        <v>5.8274422603527727</v>
      </c>
      <c r="P272" s="42">
        <f t="shared" si="53"/>
        <v>4637.1880191468172</v>
      </c>
      <c r="Q272" s="42"/>
      <c r="R272">
        <v>0.54008606219672228</v>
      </c>
      <c r="S272">
        <v>0.80895413068025757</v>
      </c>
    </row>
    <row r="273" spans="1:19" x14ac:dyDescent="0.25">
      <c r="A273" s="40">
        <f t="shared" si="54"/>
        <v>0</v>
      </c>
      <c r="B273" s="40">
        <f t="shared" si="55"/>
        <v>50</v>
      </c>
      <c r="C273" s="41">
        <f t="shared" si="48"/>
        <v>1.0313000000000001</v>
      </c>
      <c r="D273" s="41">
        <f t="shared" si="49"/>
        <v>0.88000000000000012</v>
      </c>
      <c r="E273" s="39">
        <f>IF(_xlfn.NORM.INV(R273,C273,'Regressão Grupo 2'!$B$7)&lt;=0,0,IF(_xlfn.NORM.INV(R273,C273,'Regressão Grupo 2'!$B$7)&gt;100%,100%,_xlfn.NORM.INV(R273,C273,'Regressão Grupo 2'!$B$7)))</f>
        <v>1</v>
      </c>
      <c r="F273" s="39">
        <f>IF(_xlfn.NORM.INV(S273,D273,'Regressão Grupo 2'!$B$7)&lt;=0,0,IF(_xlfn.NORM.INV(S273,D273,'Regressão Grupo 2'!$B$7)&gt;100%,100%,_xlfn.NORM.INV(S273,D273,'Regressão Grupo 2'!$B$7)))</f>
        <v>0.76000618267965092</v>
      </c>
      <c r="G273" s="41">
        <v>1.2725340557974736E-2</v>
      </c>
      <c r="H273" s="41">
        <v>1.8646054151140318E-2</v>
      </c>
      <c r="I273" s="40">
        <f t="shared" si="50"/>
        <v>0</v>
      </c>
      <c r="J273" s="40">
        <f t="shared" si="51"/>
        <v>283.42232874892426</v>
      </c>
      <c r="K273" s="36">
        <v>0.36660118717453055</v>
      </c>
      <c r="L273" s="42">
        <f t="shared" si="56"/>
        <v>0</v>
      </c>
      <c r="M273" s="42">
        <f t="shared" si="56"/>
        <v>20000</v>
      </c>
      <c r="N273" s="42">
        <f t="shared" si="52"/>
        <v>7332.0237434906112</v>
      </c>
      <c r="O273" s="36">
        <v>3.5115617182589425</v>
      </c>
      <c r="P273" s="42">
        <f t="shared" si="53"/>
        <v>5843.8376942210789</v>
      </c>
      <c r="Q273" s="42"/>
      <c r="R273">
        <v>0.57588427381206697</v>
      </c>
      <c r="S273">
        <v>0.19275490585039826</v>
      </c>
    </row>
    <row r="274" spans="1:19" x14ac:dyDescent="0.25">
      <c r="A274" s="40">
        <f t="shared" si="54"/>
        <v>0</v>
      </c>
      <c r="B274" s="40">
        <f t="shared" si="55"/>
        <v>50</v>
      </c>
      <c r="C274" s="41">
        <f t="shared" si="48"/>
        <v>1.0313000000000001</v>
      </c>
      <c r="D274" s="41">
        <f t="shared" si="49"/>
        <v>0.88000000000000012</v>
      </c>
      <c r="E274" s="39">
        <f>IF(_xlfn.NORM.INV(R274,C274,'Regressão Grupo 2'!$B$7)&lt;=0,0,IF(_xlfn.NORM.INV(R274,C274,'Regressão Grupo 2'!$B$7)&gt;100%,100%,_xlfn.NORM.INV(R274,C274,'Regressão Grupo 2'!$B$7)))</f>
        <v>0.90181990713686211</v>
      </c>
      <c r="F274" s="39">
        <f>IF(_xlfn.NORM.INV(S274,D274,'Regressão Grupo 2'!$B$7)&lt;=0,0,IF(_xlfn.NORM.INV(S274,D274,'Regressão Grupo 2'!$B$7)&gt;100%,100%,_xlfn.NORM.INV(S274,D274,'Regressão Grupo 2'!$B$7)))</f>
        <v>0.87149532793311479</v>
      </c>
      <c r="G274" s="41">
        <v>1.6598321575890067E-2</v>
      </c>
      <c r="H274" s="41">
        <v>8.8161975327151129E-3</v>
      </c>
      <c r="I274" s="40">
        <f t="shared" si="50"/>
        <v>0</v>
      </c>
      <c r="J274" s="40">
        <f t="shared" si="51"/>
        <v>153.66549919793349</v>
      </c>
      <c r="K274" s="36">
        <v>0.1835499301035764</v>
      </c>
      <c r="L274" s="42">
        <f t="shared" si="56"/>
        <v>0</v>
      </c>
      <c r="M274" s="42">
        <f t="shared" si="56"/>
        <v>20000</v>
      </c>
      <c r="N274" s="42">
        <f t="shared" si="52"/>
        <v>3670.9986020715278</v>
      </c>
      <c r="O274" s="36">
        <v>2.9418481130122691</v>
      </c>
      <c r="P274" s="42">
        <f t="shared" si="53"/>
        <v>3560.2157989746174</v>
      </c>
      <c r="Q274" s="42"/>
      <c r="R274">
        <v>0.17453535569322795</v>
      </c>
      <c r="S274">
        <v>0.47547837763603623</v>
      </c>
    </row>
    <row r="275" spans="1:19" x14ac:dyDescent="0.25">
      <c r="A275" s="40">
        <f t="shared" si="54"/>
        <v>0</v>
      </c>
      <c r="B275" s="40">
        <f t="shared" si="55"/>
        <v>50</v>
      </c>
      <c r="C275" s="41">
        <f t="shared" si="48"/>
        <v>1.0313000000000001</v>
      </c>
      <c r="D275" s="41">
        <f t="shared" si="49"/>
        <v>0.88000000000000012</v>
      </c>
      <c r="E275" s="39">
        <f>IF(_xlfn.NORM.INV(R275,C275,'Regressão Grupo 2'!$B$7)&lt;=0,0,IF(_xlfn.NORM.INV(R275,C275,'Regressão Grupo 2'!$B$7)&gt;100%,100%,_xlfn.NORM.INV(R275,C275,'Regressão Grupo 2'!$B$7)))</f>
        <v>0.85636068800208032</v>
      </c>
      <c r="F275" s="39">
        <f>IF(_xlfn.NORM.INV(S275,D275,'Regressão Grupo 2'!$B$7)&lt;=0,0,IF(_xlfn.NORM.INV(S275,D275,'Regressão Grupo 2'!$B$7)&gt;100%,100%,_xlfn.NORM.INV(S275,D275,'Regressão Grupo 2'!$B$7)))</f>
        <v>0.81639552532815918</v>
      </c>
      <c r="G275" s="41">
        <v>1.0527194841283638E-2</v>
      </c>
      <c r="H275" s="41">
        <v>2.3367265789372704E-2</v>
      </c>
      <c r="I275" s="40">
        <f t="shared" si="50"/>
        <v>0</v>
      </c>
      <c r="J275" s="40">
        <f t="shared" si="51"/>
        <v>381.53862459195301</v>
      </c>
      <c r="K275" s="36">
        <v>0.24406397158849633</v>
      </c>
      <c r="L275" s="42">
        <f t="shared" si="56"/>
        <v>0</v>
      </c>
      <c r="M275" s="42">
        <f t="shared" si="56"/>
        <v>20000</v>
      </c>
      <c r="N275" s="42">
        <f t="shared" si="52"/>
        <v>4881.2794317699263</v>
      </c>
      <c r="O275" s="36">
        <v>3.1918419213348095</v>
      </c>
      <c r="P275" s="42">
        <f t="shared" si="53"/>
        <v>12977.840821246704</v>
      </c>
      <c r="Q275" s="42"/>
      <c r="R275">
        <v>0.10290841395306254</v>
      </c>
      <c r="S275">
        <v>0.32276375621814629</v>
      </c>
    </row>
    <row r="276" spans="1:19" x14ac:dyDescent="0.25">
      <c r="A276" s="40">
        <f t="shared" si="54"/>
        <v>0</v>
      </c>
      <c r="B276" s="40">
        <f t="shared" si="55"/>
        <v>50</v>
      </c>
      <c r="C276" s="41">
        <f t="shared" si="48"/>
        <v>1.0313000000000001</v>
      </c>
      <c r="D276" s="41">
        <f t="shared" si="49"/>
        <v>0.88000000000000012</v>
      </c>
      <c r="E276" s="39">
        <f>IF(_xlfn.NORM.INV(R276,C276,'Regressão Grupo 2'!$B$7)&lt;=0,0,IF(_xlfn.NORM.INV(R276,C276,'Regressão Grupo 2'!$B$7)&gt;100%,100%,_xlfn.NORM.INV(R276,C276,'Regressão Grupo 2'!$B$7)))</f>
        <v>1</v>
      </c>
      <c r="F276" s="39">
        <f>IF(_xlfn.NORM.INV(S276,D276,'Regressão Grupo 2'!$B$7)&lt;=0,0,IF(_xlfn.NORM.INV(S276,D276,'Regressão Grupo 2'!$B$7)&gt;100%,100%,_xlfn.NORM.INV(S276,D276,'Regressão Grupo 2'!$B$7)))</f>
        <v>0.80891546088980859</v>
      </c>
      <c r="G276" s="41">
        <v>1.6192652305816117E-2</v>
      </c>
      <c r="H276" s="41">
        <v>2.4820289232125047E-2</v>
      </c>
      <c r="I276" s="40">
        <f t="shared" si="50"/>
        <v>0</v>
      </c>
      <c r="J276" s="40">
        <f t="shared" si="51"/>
        <v>401.55031407245571</v>
      </c>
      <c r="K276" s="36">
        <v>0.24914614523837125</v>
      </c>
      <c r="L276" s="42">
        <f t="shared" si="56"/>
        <v>0</v>
      </c>
      <c r="M276" s="42">
        <f t="shared" si="56"/>
        <v>20000</v>
      </c>
      <c r="N276" s="42">
        <f t="shared" si="52"/>
        <v>4982.9229047674253</v>
      </c>
      <c r="O276" s="36">
        <v>6.3413287703876353</v>
      </c>
      <c r="P276" s="42">
        <f t="shared" si="53"/>
        <v>12548.230239469505</v>
      </c>
      <c r="Q276" s="42"/>
      <c r="R276">
        <v>0.7780693990905484</v>
      </c>
      <c r="S276">
        <v>0.30359813226722004</v>
      </c>
    </row>
    <row r="277" spans="1:19" x14ac:dyDescent="0.25">
      <c r="A277" s="40">
        <f t="shared" si="54"/>
        <v>0</v>
      </c>
      <c r="B277" s="40">
        <f t="shared" si="55"/>
        <v>50</v>
      </c>
      <c r="C277" s="41">
        <f t="shared" si="48"/>
        <v>1.0313000000000001</v>
      </c>
      <c r="D277" s="41">
        <f t="shared" si="49"/>
        <v>0.88000000000000012</v>
      </c>
      <c r="E277" s="39">
        <f>IF(_xlfn.NORM.INV(R277,C277,'Regressão Grupo 2'!$B$7)&lt;=0,0,IF(_xlfn.NORM.INV(R277,C277,'Regressão Grupo 2'!$B$7)&gt;100%,100%,_xlfn.NORM.INV(R277,C277,'Regressão Grupo 2'!$B$7)))</f>
        <v>1</v>
      </c>
      <c r="F277" s="39">
        <f>IF(_xlfn.NORM.INV(S277,D277,'Regressão Grupo 2'!$B$7)&lt;=0,0,IF(_xlfn.NORM.INV(S277,D277,'Regressão Grupo 2'!$B$7)&gt;100%,100%,_xlfn.NORM.INV(S277,D277,'Regressão Grupo 2'!$B$7)))</f>
        <v>1</v>
      </c>
      <c r="G277" s="41">
        <v>1.5650327373164019E-2</v>
      </c>
      <c r="H277" s="41">
        <v>2.0710518835982773E-2</v>
      </c>
      <c r="I277" s="40">
        <f t="shared" si="50"/>
        <v>0</v>
      </c>
      <c r="J277" s="40">
        <f t="shared" si="51"/>
        <v>414.21037671965547</v>
      </c>
      <c r="K277" s="36">
        <v>0.37536255964197007</v>
      </c>
      <c r="L277" s="42">
        <f t="shared" si="56"/>
        <v>0</v>
      </c>
      <c r="M277" s="42">
        <f t="shared" si="56"/>
        <v>20000</v>
      </c>
      <c r="N277" s="42">
        <f t="shared" si="52"/>
        <v>7507.2511928394015</v>
      </c>
      <c r="O277" s="36">
        <v>5.5165144834698401</v>
      </c>
      <c r="P277" s="42">
        <f t="shared" si="53"/>
        <v>10918.270100765894</v>
      </c>
      <c r="Q277" s="42"/>
      <c r="R277">
        <v>0.84514908291879021</v>
      </c>
      <c r="S277">
        <v>0.98861659596545304</v>
      </c>
    </row>
    <row r="278" spans="1:19" x14ac:dyDescent="0.25">
      <c r="A278" s="40">
        <f t="shared" si="54"/>
        <v>0</v>
      </c>
      <c r="B278" s="40">
        <f t="shared" si="55"/>
        <v>50</v>
      </c>
      <c r="C278" s="41">
        <f t="shared" si="48"/>
        <v>1.0313000000000001</v>
      </c>
      <c r="D278" s="41">
        <f t="shared" si="49"/>
        <v>0.88000000000000012</v>
      </c>
      <c r="E278" s="39">
        <f>IF(_xlfn.NORM.INV(R278,C278,'Regressão Grupo 2'!$B$7)&lt;=0,0,IF(_xlfn.NORM.INV(R278,C278,'Regressão Grupo 2'!$B$7)&gt;100%,100%,_xlfn.NORM.INV(R278,C278,'Regressão Grupo 2'!$B$7)))</f>
        <v>0.99138709908220157</v>
      </c>
      <c r="F278" s="39">
        <f>IF(_xlfn.NORM.INV(S278,D278,'Regressão Grupo 2'!$B$7)&lt;=0,0,IF(_xlfn.NORM.INV(S278,D278,'Regressão Grupo 2'!$B$7)&gt;100%,100%,_xlfn.NORM.INV(S278,D278,'Regressão Grupo 2'!$B$7)))</f>
        <v>1</v>
      </c>
      <c r="G278" s="41">
        <v>2.1556652823568841E-2</v>
      </c>
      <c r="H278" s="41">
        <v>1.9321035480353559E-2</v>
      </c>
      <c r="I278" s="40">
        <f t="shared" si="50"/>
        <v>0</v>
      </c>
      <c r="J278" s="40">
        <f t="shared" si="51"/>
        <v>386.42070960707116</v>
      </c>
      <c r="K278" s="36">
        <v>0.21782812364024581</v>
      </c>
      <c r="L278" s="42">
        <f t="shared" si="56"/>
        <v>0</v>
      </c>
      <c r="M278" s="42">
        <f t="shared" si="56"/>
        <v>20000</v>
      </c>
      <c r="N278" s="42">
        <f t="shared" si="52"/>
        <v>4356.5624728049161</v>
      </c>
      <c r="O278" s="36">
        <v>4.787280306690425</v>
      </c>
      <c r="P278" s="42">
        <f t="shared" si="53"/>
        <v>13114.568754349373</v>
      </c>
      <c r="Q278" s="42"/>
      <c r="R278">
        <v>0.38642536698507646</v>
      </c>
      <c r="S278">
        <v>0.81148716696676537</v>
      </c>
    </row>
    <row r="279" spans="1:19" x14ac:dyDescent="0.25">
      <c r="A279" s="40">
        <f t="shared" si="54"/>
        <v>0</v>
      </c>
      <c r="B279" s="40">
        <f t="shared" si="55"/>
        <v>50</v>
      </c>
      <c r="C279" s="41">
        <f t="shared" si="48"/>
        <v>1.0313000000000001</v>
      </c>
      <c r="D279" s="41">
        <f t="shared" si="49"/>
        <v>0.88000000000000012</v>
      </c>
      <c r="E279" s="39">
        <f>IF(_xlfn.NORM.INV(R279,C279,'Regressão Grupo 2'!$B$7)&lt;=0,0,IF(_xlfn.NORM.INV(R279,C279,'Regressão Grupo 2'!$B$7)&gt;100%,100%,_xlfn.NORM.INV(R279,C279,'Regressão Grupo 2'!$B$7)))</f>
        <v>1</v>
      </c>
      <c r="F279" s="39">
        <f>IF(_xlfn.NORM.INV(S279,D279,'Regressão Grupo 2'!$B$7)&lt;=0,0,IF(_xlfn.NORM.INV(S279,D279,'Regressão Grupo 2'!$B$7)&gt;100%,100%,_xlfn.NORM.INV(S279,D279,'Regressão Grupo 2'!$B$7)))</f>
        <v>0.91938385591896388</v>
      </c>
      <c r="G279" s="41">
        <v>1.8208936819497056E-2</v>
      </c>
      <c r="H279" s="41">
        <v>2.5044382499847716E-2</v>
      </c>
      <c r="I279" s="40">
        <f t="shared" si="50"/>
        <v>0</v>
      </c>
      <c r="J279" s="40">
        <f t="shared" si="51"/>
        <v>460.50801903638825</v>
      </c>
      <c r="K279" s="36">
        <v>0.23623192133522172</v>
      </c>
      <c r="L279" s="42">
        <f t="shared" ref="L279:M294" si="57">L278</f>
        <v>0</v>
      </c>
      <c r="M279" s="42">
        <f t="shared" si="57"/>
        <v>20000</v>
      </c>
      <c r="N279" s="42">
        <f t="shared" si="52"/>
        <v>4724.6384267044341</v>
      </c>
      <c r="O279" s="36">
        <v>6.6871438795429476</v>
      </c>
      <c r="P279" s="42">
        <f t="shared" si="53"/>
        <v>15221.279144135347</v>
      </c>
      <c r="Q279" s="42"/>
      <c r="R279">
        <v>0.87170018616290779</v>
      </c>
      <c r="S279">
        <v>0.61210974456007572</v>
      </c>
    </row>
    <row r="280" spans="1:19" x14ac:dyDescent="0.25">
      <c r="A280" s="40">
        <f t="shared" si="54"/>
        <v>0</v>
      </c>
      <c r="B280" s="40">
        <f t="shared" si="55"/>
        <v>50</v>
      </c>
      <c r="C280" s="41">
        <f t="shared" si="48"/>
        <v>1.0313000000000001</v>
      </c>
      <c r="D280" s="41">
        <f t="shared" si="49"/>
        <v>0.88000000000000012</v>
      </c>
      <c r="E280" s="39">
        <f>IF(_xlfn.NORM.INV(R280,C280,'Regressão Grupo 2'!$B$7)&lt;=0,0,IF(_xlfn.NORM.INV(R280,C280,'Regressão Grupo 2'!$B$7)&gt;100%,100%,_xlfn.NORM.INV(R280,C280,'Regressão Grupo 2'!$B$7)))</f>
        <v>0.97647314480572489</v>
      </c>
      <c r="F280" s="39">
        <f>IF(_xlfn.NORM.INV(S280,D280,'Regressão Grupo 2'!$B$7)&lt;=0,0,IF(_xlfn.NORM.INV(S280,D280,'Regressão Grupo 2'!$B$7)&gt;100%,100%,_xlfn.NORM.INV(S280,D280,'Regressão Grupo 2'!$B$7)))</f>
        <v>0.92400014920117002</v>
      </c>
      <c r="G280" s="41">
        <v>1.9989646079273223E-2</v>
      </c>
      <c r="H280" s="41">
        <v>1.5516437659057277E-2</v>
      </c>
      <c r="I280" s="40">
        <f t="shared" si="50"/>
        <v>0</v>
      </c>
      <c r="J280" s="40">
        <f t="shared" si="51"/>
        <v>286.74381424079155</v>
      </c>
      <c r="K280" s="36">
        <v>0.30135286846028331</v>
      </c>
      <c r="L280" s="42">
        <f t="shared" si="57"/>
        <v>0</v>
      </c>
      <c r="M280" s="42">
        <f t="shared" si="57"/>
        <v>20000</v>
      </c>
      <c r="N280" s="42">
        <f t="shared" si="52"/>
        <v>6027.057369205666</v>
      </c>
      <c r="O280" s="36">
        <v>4.4759186470327936</v>
      </c>
      <c r="P280" s="42">
        <f t="shared" si="53"/>
        <v>7026.6913577522446</v>
      </c>
      <c r="Q280" s="42"/>
      <c r="R280">
        <v>0.34586626789147618</v>
      </c>
      <c r="S280">
        <v>0.62483596301156652</v>
      </c>
    </row>
    <row r="281" spans="1:19" x14ac:dyDescent="0.25">
      <c r="A281" s="40">
        <f t="shared" si="54"/>
        <v>0</v>
      </c>
      <c r="B281" s="40">
        <f t="shared" si="55"/>
        <v>50</v>
      </c>
      <c r="C281" s="41">
        <f t="shared" si="48"/>
        <v>1.0313000000000001</v>
      </c>
      <c r="D281" s="41">
        <f t="shared" si="49"/>
        <v>0.88000000000000012</v>
      </c>
      <c r="E281" s="39">
        <f>IF(_xlfn.NORM.INV(R281,C281,'Regressão Grupo 2'!$B$7)&lt;=0,0,IF(_xlfn.NORM.INV(R281,C281,'Regressão Grupo 2'!$B$7)&gt;100%,100%,_xlfn.NORM.INV(R281,C281,'Regressão Grupo 2'!$B$7)))</f>
        <v>1</v>
      </c>
      <c r="F281" s="39">
        <f>IF(_xlfn.NORM.INV(S281,D281,'Regressão Grupo 2'!$B$7)&lt;=0,0,IF(_xlfn.NORM.INV(S281,D281,'Regressão Grupo 2'!$B$7)&gt;100%,100%,_xlfn.NORM.INV(S281,D281,'Regressão Grupo 2'!$B$7)))</f>
        <v>0.80240035978736513</v>
      </c>
      <c r="G281" s="41">
        <v>1.7671538291576874E-2</v>
      </c>
      <c r="H281" s="41">
        <v>2.107415297384312E-2</v>
      </c>
      <c r="I281" s="40">
        <f t="shared" si="50"/>
        <v>0</v>
      </c>
      <c r="J281" s="40">
        <f t="shared" si="51"/>
        <v>338.1981585685138</v>
      </c>
      <c r="K281" s="36">
        <v>0.38455924201775343</v>
      </c>
      <c r="L281" s="42">
        <f t="shared" si="57"/>
        <v>0</v>
      </c>
      <c r="M281" s="42">
        <f t="shared" si="57"/>
        <v>20000</v>
      </c>
      <c r="N281" s="42">
        <f t="shared" si="52"/>
        <v>7691.1848403550684</v>
      </c>
      <c r="O281" s="36">
        <v>6.0745070539561201</v>
      </c>
      <c r="P281" s="42">
        <f t="shared" si="53"/>
        <v>7164.3359882112163</v>
      </c>
      <c r="Q281" s="42"/>
      <c r="R281">
        <v>0.81154820398571736</v>
      </c>
      <c r="S281">
        <v>0.28733176671651356</v>
      </c>
    </row>
    <row r="282" spans="1:19" x14ac:dyDescent="0.25">
      <c r="A282" s="40">
        <f t="shared" si="54"/>
        <v>0</v>
      </c>
      <c r="B282" s="40">
        <f t="shared" si="55"/>
        <v>50</v>
      </c>
      <c r="C282" s="41">
        <f t="shared" si="48"/>
        <v>1.0313000000000001</v>
      </c>
      <c r="D282" s="41">
        <f t="shared" si="49"/>
        <v>0.88000000000000012</v>
      </c>
      <c r="E282" s="39">
        <f>IF(_xlfn.NORM.INV(R282,C282,'Regressão Grupo 2'!$B$7)&lt;=0,0,IF(_xlfn.NORM.INV(R282,C282,'Regressão Grupo 2'!$B$7)&gt;100%,100%,_xlfn.NORM.INV(R282,C282,'Regressão Grupo 2'!$B$7)))</f>
        <v>1</v>
      </c>
      <c r="F282" s="39">
        <f>IF(_xlfn.NORM.INV(S282,D282,'Regressão Grupo 2'!$B$7)&lt;=0,0,IF(_xlfn.NORM.INV(S282,D282,'Regressão Grupo 2'!$B$7)&gt;100%,100%,_xlfn.NORM.INV(S282,D282,'Regressão Grupo 2'!$B$7)))</f>
        <v>0.97212309633676675</v>
      </c>
      <c r="G282" s="41">
        <v>1.54040352736381E-2</v>
      </c>
      <c r="H282" s="41">
        <v>2.6074533048087416E-2</v>
      </c>
      <c r="I282" s="40">
        <f t="shared" si="50"/>
        <v>0</v>
      </c>
      <c r="J282" s="40">
        <f t="shared" si="51"/>
        <v>506.95311604484186</v>
      </c>
      <c r="K282" s="36">
        <v>0.35028911478582681</v>
      </c>
      <c r="L282" s="42">
        <f t="shared" si="57"/>
        <v>0</v>
      </c>
      <c r="M282" s="42">
        <f t="shared" si="57"/>
        <v>20000</v>
      </c>
      <c r="N282" s="42">
        <f t="shared" si="52"/>
        <v>7005.7822957165363</v>
      </c>
      <c r="O282" s="36">
        <v>4.0839775821821771</v>
      </c>
      <c r="P282" s="42">
        <f t="shared" si="53"/>
        <v>16271.488345381022</v>
      </c>
      <c r="Q282" s="42"/>
      <c r="R282">
        <v>0.93139439069795826</v>
      </c>
      <c r="S282">
        <v>0.74736777855769521</v>
      </c>
    </row>
    <row r="283" spans="1:19" x14ac:dyDescent="0.25">
      <c r="A283" s="40">
        <f t="shared" si="54"/>
        <v>0</v>
      </c>
      <c r="B283" s="40">
        <f t="shared" si="55"/>
        <v>50</v>
      </c>
      <c r="C283" s="41">
        <f t="shared" si="48"/>
        <v>1.0313000000000001</v>
      </c>
      <c r="D283" s="41">
        <f t="shared" si="49"/>
        <v>0.88000000000000012</v>
      </c>
      <c r="E283" s="39">
        <f>IF(_xlfn.NORM.INV(R283,C283,'Regressão Grupo 2'!$B$7)&lt;=0,0,IF(_xlfn.NORM.INV(R283,C283,'Regressão Grupo 2'!$B$7)&gt;100%,100%,_xlfn.NORM.INV(R283,C283,'Regressão Grupo 2'!$B$7)))</f>
        <v>1</v>
      </c>
      <c r="F283" s="39">
        <f>IF(_xlfn.NORM.INV(S283,D283,'Regressão Grupo 2'!$B$7)&lt;=0,0,IF(_xlfn.NORM.INV(S283,D283,'Regressão Grupo 2'!$B$7)&gt;100%,100%,_xlfn.NORM.INV(S283,D283,'Regressão Grupo 2'!$B$7)))</f>
        <v>0.86675214268428946</v>
      </c>
      <c r="G283" s="41">
        <v>1.3028626157217236E-2</v>
      </c>
      <c r="H283" s="41">
        <v>9.1067110488204789E-3</v>
      </c>
      <c r="I283" s="40">
        <f t="shared" si="50"/>
        <v>0</v>
      </c>
      <c r="J283" s="40">
        <f t="shared" si="51"/>
        <v>157.86522628743685</v>
      </c>
      <c r="K283" s="36">
        <v>0.2781029938606287</v>
      </c>
      <c r="L283" s="42">
        <f t="shared" si="57"/>
        <v>0</v>
      </c>
      <c r="M283" s="42">
        <f t="shared" si="57"/>
        <v>20000</v>
      </c>
      <c r="N283" s="42">
        <f t="shared" si="52"/>
        <v>5562.0598772125741</v>
      </c>
      <c r="O283" s="36">
        <v>10.247565643917884</v>
      </c>
      <c r="P283" s="42">
        <f t="shared" si="53"/>
        <v>713.46716788680806</v>
      </c>
      <c r="Q283" s="42"/>
      <c r="R283">
        <v>0.66805017242957854</v>
      </c>
      <c r="S283">
        <v>0.46183660390026549</v>
      </c>
    </row>
    <row r="284" spans="1:19" x14ac:dyDescent="0.25">
      <c r="A284" s="40">
        <f t="shared" si="54"/>
        <v>0</v>
      </c>
      <c r="B284" s="40">
        <f t="shared" si="55"/>
        <v>50</v>
      </c>
      <c r="C284" s="41">
        <f t="shared" si="48"/>
        <v>1.0313000000000001</v>
      </c>
      <c r="D284" s="41">
        <f t="shared" si="49"/>
        <v>0.88000000000000012</v>
      </c>
      <c r="E284" s="39">
        <f>IF(_xlfn.NORM.INV(R284,C284,'Regressão Grupo 2'!$B$7)&lt;=0,0,IF(_xlfn.NORM.INV(R284,C284,'Regressão Grupo 2'!$B$7)&gt;100%,100%,_xlfn.NORM.INV(R284,C284,'Regressão Grupo 2'!$B$7)))</f>
        <v>1</v>
      </c>
      <c r="F284" s="39">
        <f>IF(_xlfn.NORM.INV(S284,D284,'Regressão Grupo 2'!$B$7)&lt;=0,0,IF(_xlfn.NORM.INV(S284,D284,'Regressão Grupo 2'!$B$7)&gt;100%,100%,_xlfn.NORM.INV(S284,D284,'Regressão Grupo 2'!$B$7)))</f>
        <v>1</v>
      </c>
      <c r="G284" s="41">
        <v>1.1079021401449483E-2</v>
      </c>
      <c r="H284" s="41">
        <v>1.1653067576235444E-2</v>
      </c>
      <c r="I284" s="40">
        <f t="shared" si="50"/>
        <v>0</v>
      </c>
      <c r="J284" s="40">
        <f t="shared" si="51"/>
        <v>233.0613515247089</v>
      </c>
      <c r="K284" s="36">
        <v>0.28688677645419414</v>
      </c>
      <c r="L284" s="42">
        <f t="shared" si="57"/>
        <v>0</v>
      </c>
      <c r="M284" s="42">
        <f t="shared" si="57"/>
        <v>20000</v>
      </c>
      <c r="N284" s="42">
        <f t="shared" si="52"/>
        <v>5737.7355290838823</v>
      </c>
      <c r="O284" s="36">
        <v>4.1148092841336918</v>
      </c>
      <c r="P284" s="42">
        <f t="shared" si="53"/>
        <v>4956.3290341249431</v>
      </c>
      <c r="Q284" s="42"/>
      <c r="R284">
        <v>0.92797631763664667</v>
      </c>
      <c r="S284">
        <v>0.94189275795770133</v>
      </c>
    </row>
    <row r="285" spans="1:19" x14ac:dyDescent="0.25">
      <c r="A285" s="40">
        <f t="shared" si="54"/>
        <v>0</v>
      </c>
      <c r="B285" s="40">
        <f t="shared" si="55"/>
        <v>50</v>
      </c>
      <c r="C285" s="41">
        <f t="shared" si="48"/>
        <v>1.0313000000000001</v>
      </c>
      <c r="D285" s="41">
        <f t="shared" si="49"/>
        <v>0.88000000000000012</v>
      </c>
      <c r="E285" s="39">
        <f>IF(_xlfn.NORM.INV(R285,C285,'Regressão Grupo 2'!$B$7)&lt;=0,0,IF(_xlfn.NORM.INV(R285,C285,'Regressão Grupo 2'!$B$7)&gt;100%,100%,_xlfn.NORM.INV(R285,C285,'Regressão Grupo 2'!$B$7)))</f>
        <v>0.95859286939152499</v>
      </c>
      <c r="F285" s="39">
        <f>IF(_xlfn.NORM.INV(S285,D285,'Regressão Grupo 2'!$B$7)&lt;=0,0,IF(_xlfn.NORM.INV(S285,D285,'Regressão Grupo 2'!$B$7)&gt;100%,100%,_xlfn.NORM.INV(S285,D285,'Regressão Grupo 2'!$B$7)))</f>
        <v>0.92214581566435538</v>
      </c>
      <c r="G285" s="41">
        <v>2.0691280056891949E-2</v>
      </c>
      <c r="H285" s="41">
        <v>2.3965895661112836E-2</v>
      </c>
      <c r="I285" s="40">
        <f t="shared" si="50"/>
        <v>0</v>
      </c>
      <c r="J285" s="40">
        <f t="shared" si="51"/>
        <v>442.00100805087459</v>
      </c>
      <c r="K285" s="36">
        <v>0.27999354297924467</v>
      </c>
      <c r="L285" s="42">
        <f t="shared" si="57"/>
        <v>0</v>
      </c>
      <c r="M285" s="42">
        <f t="shared" si="57"/>
        <v>20000</v>
      </c>
      <c r="N285" s="42">
        <f t="shared" si="52"/>
        <v>5599.870859584893</v>
      </c>
      <c r="O285" s="36">
        <v>3.8000845233622562</v>
      </c>
      <c r="P285" s="42">
        <f t="shared" si="53"/>
        <v>14820.538352954192</v>
      </c>
      <c r="Q285" s="42"/>
      <c r="R285">
        <v>0.29950865199743643</v>
      </c>
      <c r="S285">
        <v>0.61973937192907502</v>
      </c>
    </row>
    <row r="286" spans="1:19" x14ac:dyDescent="0.25">
      <c r="A286" s="40">
        <f t="shared" si="54"/>
        <v>0</v>
      </c>
      <c r="B286" s="40">
        <f t="shared" si="55"/>
        <v>50</v>
      </c>
      <c r="C286" s="41">
        <f t="shared" si="48"/>
        <v>1.0313000000000001</v>
      </c>
      <c r="D286" s="41">
        <f t="shared" si="49"/>
        <v>0.88000000000000012</v>
      </c>
      <c r="E286" s="39">
        <f>IF(_xlfn.NORM.INV(R286,C286,'Regressão Grupo 2'!$B$7)&lt;=0,0,IF(_xlfn.NORM.INV(R286,C286,'Regressão Grupo 2'!$B$7)&gt;100%,100%,_xlfn.NORM.INV(R286,C286,'Regressão Grupo 2'!$B$7)))</f>
        <v>0.91771361552676134</v>
      </c>
      <c r="F286" s="39">
        <f>IF(_xlfn.NORM.INV(S286,D286,'Regressão Grupo 2'!$B$7)&lt;=0,0,IF(_xlfn.NORM.INV(S286,D286,'Regressão Grupo 2'!$B$7)&gt;100%,100%,_xlfn.NORM.INV(S286,D286,'Regressão Grupo 2'!$B$7)))</f>
        <v>0.7239940946752349</v>
      </c>
      <c r="G286" s="41">
        <v>1.4305172372930802E-2</v>
      </c>
      <c r="H286" s="41">
        <v>2.6516298915192204E-2</v>
      </c>
      <c r="I286" s="40">
        <f t="shared" si="50"/>
        <v>0</v>
      </c>
      <c r="J286" s="40">
        <f t="shared" si="51"/>
        <v>383.95287654484986</v>
      </c>
      <c r="K286" s="36">
        <v>0.35789384758541543</v>
      </c>
      <c r="L286" s="42">
        <f t="shared" si="57"/>
        <v>0</v>
      </c>
      <c r="M286" s="42">
        <f t="shared" si="57"/>
        <v>20000</v>
      </c>
      <c r="N286" s="42">
        <f t="shared" si="52"/>
        <v>7157.8769517083083</v>
      </c>
      <c r="O286" s="36">
        <v>8.018132169432695</v>
      </c>
      <c r="P286" s="42">
        <f t="shared" si="53"/>
        <v>8961.1819645637042</v>
      </c>
      <c r="Q286" s="42"/>
      <c r="R286">
        <v>0.20569475386822109</v>
      </c>
      <c r="S286">
        <v>0.12961210974456008</v>
      </c>
    </row>
    <row r="287" spans="1:19" x14ac:dyDescent="0.25">
      <c r="A287" s="40">
        <f t="shared" si="54"/>
        <v>0</v>
      </c>
      <c r="B287" s="40">
        <f t="shared" si="55"/>
        <v>50</v>
      </c>
      <c r="C287" s="41">
        <f t="shared" si="48"/>
        <v>1.0313000000000001</v>
      </c>
      <c r="D287" s="41">
        <f t="shared" si="49"/>
        <v>0.88000000000000012</v>
      </c>
      <c r="E287" s="39">
        <f>IF(_xlfn.NORM.INV(R287,C287,'Regressão Grupo 2'!$B$7)&lt;=0,0,IF(_xlfn.NORM.INV(R287,C287,'Regressão Grupo 2'!$B$7)&gt;100%,100%,_xlfn.NORM.INV(R287,C287,'Regressão Grupo 2'!$B$7)))</f>
        <v>1</v>
      </c>
      <c r="F287" s="39">
        <f>IF(_xlfn.NORM.INV(S287,D287,'Regressão Grupo 2'!$B$7)&lt;=0,0,IF(_xlfn.NORM.INV(S287,D287,'Regressão Grupo 2'!$B$7)&gt;100%,100%,_xlfn.NORM.INV(S287,D287,'Regressão Grupo 2'!$B$7)))</f>
        <v>0.71982552050386017</v>
      </c>
      <c r="G287" s="41">
        <v>2.3830981372316595E-2</v>
      </c>
      <c r="H287" s="41">
        <v>2.1234340035411373E-2</v>
      </c>
      <c r="I287" s="40">
        <f t="shared" si="50"/>
        <v>0</v>
      </c>
      <c r="J287" s="40">
        <f t="shared" si="51"/>
        <v>305.70039737091895</v>
      </c>
      <c r="K287" s="36">
        <v>0.27821077657325</v>
      </c>
      <c r="L287" s="42">
        <f t="shared" si="57"/>
        <v>0</v>
      </c>
      <c r="M287" s="42">
        <f t="shared" si="57"/>
        <v>20000</v>
      </c>
      <c r="N287" s="42">
        <f t="shared" si="52"/>
        <v>5564.2155314649999</v>
      </c>
      <c r="O287" s="36">
        <v>4.5715844158221959</v>
      </c>
      <c r="P287" s="42">
        <f t="shared" si="53"/>
        <v>8323.2691645494015</v>
      </c>
      <c r="Q287" s="42"/>
      <c r="R287">
        <v>0.84701071199682609</v>
      </c>
      <c r="S287">
        <v>0.12335581530198066</v>
      </c>
    </row>
    <row r="288" spans="1:19" x14ac:dyDescent="0.25">
      <c r="A288" s="40">
        <f t="shared" si="54"/>
        <v>0</v>
      </c>
      <c r="B288" s="40">
        <f t="shared" si="55"/>
        <v>50</v>
      </c>
      <c r="C288" s="41">
        <f t="shared" si="48"/>
        <v>1.0313000000000001</v>
      </c>
      <c r="D288" s="41">
        <f t="shared" si="49"/>
        <v>0.88000000000000012</v>
      </c>
      <c r="E288" s="39">
        <f>IF(_xlfn.NORM.INV(R288,C288,'Regressão Grupo 2'!$B$7)&lt;=0,0,IF(_xlfn.NORM.INV(R288,C288,'Regressão Grupo 2'!$B$7)&gt;100%,100%,_xlfn.NORM.INV(R288,C288,'Regressão Grupo 2'!$B$7)))</f>
        <v>1</v>
      </c>
      <c r="F288" s="39">
        <f>IF(_xlfn.NORM.INV(S288,D288,'Regressão Grupo 2'!$B$7)&lt;=0,0,IF(_xlfn.NORM.INV(S288,D288,'Regressão Grupo 2'!$B$7)&gt;100%,100%,_xlfn.NORM.INV(S288,D288,'Regressão Grupo 2'!$B$7)))</f>
        <v>0.76994887267865975</v>
      </c>
      <c r="G288" s="41">
        <v>1.5284057593301275E-2</v>
      </c>
      <c r="H288" s="41">
        <v>1.1608590203478569E-2</v>
      </c>
      <c r="I288" s="40">
        <f t="shared" si="50"/>
        <v>0</v>
      </c>
      <c r="J288" s="40">
        <f t="shared" si="51"/>
        <v>178.76041881113716</v>
      </c>
      <c r="K288" s="36">
        <v>0.28154812990663169</v>
      </c>
      <c r="L288" s="42">
        <f t="shared" si="57"/>
        <v>0</v>
      </c>
      <c r="M288" s="42">
        <f t="shared" si="57"/>
        <v>20000</v>
      </c>
      <c r="N288" s="42">
        <f t="shared" si="52"/>
        <v>5630.9625981326335</v>
      </c>
      <c r="O288" s="36">
        <v>6.6473197660344541</v>
      </c>
      <c r="P288" s="42">
        <f t="shared" si="53"/>
        <v>2118.7806770763555</v>
      </c>
      <c r="Q288" s="42"/>
      <c r="R288">
        <v>0.82076479384746848</v>
      </c>
      <c r="S288">
        <v>0.21304971465193639</v>
      </c>
    </row>
    <row r="289" spans="1:19" x14ac:dyDescent="0.25">
      <c r="A289" s="40">
        <f t="shared" si="54"/>
        <v>0</v>
      </c>
      <c r="B289" s="40">
        <f t="shared" si="55"/>
        <v>50</v>
      </c>
      <c r="C289" s="41">
        <f t="shared" si="48"/>
        <v>1.0313000000000001</v>
      </c>
      <c r="D289" s="41">
        <f t="shared" si="49"/>
        <v>0.88000000000000012</v>
      </c>
      <c r="E289" s="39">
        <f>IF(_xlfn.NORM.INV(R289,C289,'Regressão Grupo 2'!$B$7)&lt;=0,0,IF(_xlfn.NORM.INV(R289,C289,'Regressão Grupo 2'!$B$7)&gt;100%,100%,_xlfn.NORM.INV(R289,C289,'Regressão Grupo 2'!$B$7)))</f>
        <v>1</v>
      </c>
      <c r="F289" s="39">
        <f>IF(_xlfn.NORM.INV(S289,D289,'Regressão Grupo 2'!$B$7)&lt;=0,0,IF(_xlfn.NORM.INV(S289,D289,'Regressão Grupo 2'!$B$7)&gt;100%,100%,_xlfn.NORM.INV(S289,D289,'Regressão Grupo 2'!$B$7)))</f>
        <v>1</v>
      </c>
      <c r="G289" s="41">
        <v>5.2011408416360837E-3</v>
      </c>
      <c r="H289" s="41">
        <v>5.207016460515029E-3</v>
      </c>
      <c r="I289" s="40">
        <f t="shared" si="50"/>
        <v>0</v>
      </c>
      <c r="J289" s="40">
        <f t="shared" si="51"/>
        <v>104.14032921030058</v>
      </c>
      <c r="K289" s="36">
        <v>0.41710373418587965</v>
      </c>
      <c r="L289" s="42">
        <f t="shared" si="57"/>
        <v>0</v>
      </c>
      <c r="M289" s="42">
        <f t="shared" si="57"/>
        <v>20000</v>
      </c>
      <c r="N289" s="42">
        <f t="shared" si="52"/>
        <v>8342.0746837175939</v>
      </c>
      <c r="O289" s="36">
        <v>8.3900233065889402</v>
      </c>
      <c r="P289" s="42">
        <f t="shared" si="53"/>
        <v>-4008.7980124328324</v>
      </c>
      <c r="Q289" s="42"/>
      <c r="R289">
        <v>0.89086581011383403</v>
      </c>
      <c r="S289">
        <v>0.86910611285744799</v>
      </c>
    </row>
    <row r="290" spans="1:19" x14ac:dyDescent="0.25">
      <c r="A290" s="40">
        <f t="shared" si="54"/>
        <v>0</v>
      </c>
      <c r="B290" s="40">
        <f t="shared" si="55"/>
        <v>50</v>
      </c>
      <c r="C290" s="41">
        <f t="shared" si="48"/>
        <v>1.0313000000000001</v>
      </c>
      <c r="D290" s="41">
        <f t="shared" si="49"/>
        <v>0.88000000000000012</v>
      </c>
      <c r="E290" s="39">
        <f>IF(_xlfn.NORM.INV(R290,C290,'Regressão Grupo 2'!$B$7)&lt;=0,0,IF(_xlfn.NORM.INV(R290,C290,'Regressão Grupo 2'!$B$7)&gt;100%,100%,_xlfn.NORM.INV(R290,C290,'Regressão Grupo 2'!$B$7)))</f>
        <v>1</v>
      </c>
      <c r="F290" s="39">
        <f>IF(_xlfn.NORM.INV(S290,D290,'Regressão Grupo 2'!$B$7)&lt;=0,0,IF(_xlfn.NORM.INV(S290,D290,'Regressão Grupo 2'!$B$7)&gt;100%,100%,_xlfn.NORM.INV(S290,D290,'Regressão Grupo 2'!$B$7)))</f>
        <v>0.77727326619139525</v>
      </c>
      <c r="G290" s="41">
        <v>1.2623794762520412E-2</v>
      </c>
      <c r="H290" s="41">
        <v>8.2071131139754856E-3</v>
      </c>
      <c r="I290" s="40">
        <f t="shared" si="50"/>
        <v>0</v>
      </c>
      <c r="J290" s="40">
        <f t="shared" si="51"/>
        <v>127.58339232203916</v>
      </c>
      <c r="K290" s="36">
        <v>0.26925820014956764</v>
      </c>
      <c r="L290" s="42">
        <f t="shared" si="57"/>
        <v>0</v>
      </c>
      <c r="M290" s="42">
        <f t="shared" si="57"/>
        <v>20000</v>
      </c>
      <c r="N290" s="42">
        <f t="shared" si="52"/>
        <v>5385.1640029913524</v>
      </c>
      <c r="O290" s="36">
        <v>6.4082811914717155</v>
      </c>
      <c r="P290" s="42">
        <f t="shared" si="53"/>
        <v>176.41535974912495</v>
      </c>
      <c r="Q290" s="42"/>
      <c r="R290">
        <v>0.6725669118320261</v>
      </c>
      <c r="S290">
        <v>0.22876674703207495</v>
      </c>
    </row>
    <row r="291" spans="1:19" x14ac:dyDescent="0.25">
      <c r="A291" s="40">
        <f t="shared" si="54"/>
        <v>0</v>
      </c>
      <c r="B291" s="40">
        <f t="shared" si="55"/>
        <v>50</v>
      </c>
      <c r="C291" s="41">
        <f t="shared" si="48"/>
        <v>1.0313000000000001</v>
      </c>
      <c r="D291" s="41">
        <f t="shared" si="49"/>
        <v>0.88000000000000012</v>
      </c>
      <c r="E291" s="39">
        <f>IF(_xlfn.NORM.INV(R291,C291,'Regressão Grupo 2'!$B$7)&lt;=0,0,IF(_xlfn.NORM.INV(R291,C291,'Regressão Grupo 2'!$B$7)&gt;100%,100%,_xlfn.NORM.INV(R291,C291,'Regressão Grupo 2'!$B$7)))</f>
        <v>1</v>
      </c>
      <c r="F291" s="39">
        <f>IF(_xlfn.NORM.INV(S291,D291,'Regressão Grupo 2'!$B$7)&lt;=0,0,IF(_xlfn.NORM.INV(S291,D291,'Regressão Grupo 2'!$B$7)&gt;100%,100%,_xlfn.NORM.INV(S291,D291,'Regressão Grupo 2'!$B$7)))</f>
        <v>1</v>
      </c>
      <c r="G291" s="41">
        <v>1.9158764709897087E-2</v>
      </c>
      <c r="H291" s="41">
        <v>1.4715491061634965E-2</v>
      </c>
      <c r="I291" s="40">
        <f t="shared" si="50"/>
        <v>0</v>
      </c>
      <c r="J291" s="40">
        <f t="shared" si="51"/>
        <v>294.30982123269928</v>
      </c>
      <c r="K291" s="36">
        <v>0.30260607368900577</v>
      </c>
      <c r="L291" s="42">
        <f t="shared" si="57"/>
        <v>0</v>
      </c>
      <c r="M291" s="42">
        <f t="shared" si="57"/>
        <v>20000</v>
      </c>
      <c r="N291" s="42">
        <f t="shared" si="52"/>
        <v>6052.1214737801156</v>
      </c>
      <c r="O291" s="36">
        <v>8.2770698061254855</v>
      </c>
      <c r="P291" s="42">
        <f t="shared" si="53"/>
        <v>6227.3466528834842</v>
      </c>
      <c r="Q291" s="42"/>
      <c r="R291">
        <v>0.61668752098147528</v>
      </c>
      <c r="S291">
        <v>0.91378521073030794</v>
      </c>
    </row>
    <row r="292" spans="1:19" x14ac:dyDescent="0.25">
      <c r="A292" s="40">
        <f t="shared" si="54"/>
        <v>0</v>
      </c>
      <c r="B292" s="40">
        <f t="shared" si="55"/>
        <v>50</v>
      </c>
      <c r="C292" s="41">
        <f t="shared" si="48"/>
        <v>1.0313000000000001</v>
      </c>
      <c r="D292" s="41">
        <f t="shared" si="49"/>
        <v>0.88000000000000012</v>
      </c>
      <c r="E292" s="39">
        <f>IF(_xlfn.NORM.INV(R292,C292,'Regressão Grupo 2'!$B$7)&lt;=0,0,IF(_xlfn.NORM.INV(R292,C292,'Regressão Grupo 2'!$B$7)&gt;100%,100%,_xlfn.NORM.INV(R292,C292,'Regressão Grupo 2'!$B$7)))</f>
        <v>0.93762595328817266</v>
      </c>
      <c r="F292" s="39">
        <f>IF(_xlfn.NORM.INV(S292,D292,'Regressão Grupo 2'!$B$7)&lt;=0,0,IF(_xlfn.NORM.INV(S292,D292,'Regressão Grupo 2'!$B$7)&gt;100%,100%,_xlfn.NORM.INV(S292,D292,'Regressão Grupo 2'!$B$7)))</f>
        <v>0.78090412400788134</v>
      </c>
      <c r="G292" s="41">
        <v>1.760123298021643E-2</v>
      </c>
      <c r="H292" s="41">
        <v>2.4174264963217451E-2</v>
      </c>
      <c r="I292" s="40">
        <f t="shared" si="50"/>
        <v>0</v>
      </c>
      <c r="J292" s="40">
        <f t="shared" si="51"/>
        <v>377.55566409271484</v>
      </c>
      <c r="K292" s="36">
        <v>0.36482499974827376</v>
      </c>
      <c r="L292" s="42">
        <f t="shared" si="57"/>
        <v>0</v>
      </c>
      <c r="M292" s="42">
        <f t="shared" si="57"/>
        <v>20000</v>
      </c>
      <c r="N292" s="42">
        <f t="shared" si="52"/>
        <v>7296.4999949654748</v>
      </c>
      <c r="O292" s="36">
        <v>5.5370305448565889</v>
      </c>
      <c r="P292" s="42">
        <f t="shared" si="53"/>
        <v>9490.745965205293</v>
      </c>
      <c r="Q292" s="42"/>
      <c r="R292">
        <v>0.24906155583361309</v>
      </c>
      <c r="S292">
        <v>0.2367931150242622</v>
      </c>
    </row>
    <row r="293" spans="1:19" x14ac:dyDescent="0.25">
      <c r="A293" s="40">
        <f t="shared" si="54"/>
        <v>0</v>
      </c>
      <c r="B293" s="40">
        <f t="shared" si="55"/>
        <v>50</v>
      </c>
      <c r="C293" s="41">
        <f t="shared" si="48"/>
        <v>1.0313000000000001</v>
      </c>
      <c r="D293" s="41">
        <f t="shared" si="49"/>
        <v>0.88000000000000012</v>
      </c>
      <c r="E293" s="39">
        <f>IF(_xlfn.NORM.INV(R293,C293,'Regressão Grupo 2'!$B$7)&lt;=0,0,IF(_xlfn.NORM.INV(R293,C293,'Regressão Grupo 2'!$B$7)&gt;100%,100%,_xlfn.NORM.INV(R293,C293,'Regressão Grupo 2'!$B$7)))</f>
        <v>1</v>
      </c>
      <c r="F293" s="39">
        <f>IF(_xlfn.NORM.INV(S293,D293,'Regressão Grupo 2'!$B$7)&lt;=0,0,IF(_xlfn.NORM.INV(S293,D293,'Regressão Grupo 2'!$B$7)&gt;100%,100%,_xlfn.NORM.INV(S293,D293,'Regressão Grupo 2'!$B$7)))</f>
        <v>0.96408809421668296</v>
      </c>
      <c r="G293" s="41">
        <v>2.0080685683152365E-2</v>
      </c>
      <c r="H293" s="41">
        <v>2.5991954431004795E-2</v>
      </c>
      <c r="I293" s="40">
        <f t="shared" si="50"/>
        <v>0</v>
      </c>
      <c r="J293" s="40">
        <f t="shared" si="51"/>
        <v>501.17067624708562</v>
      </c>
      <c r="K293" s="36">
        <v>0.37089522419136978</v>
      </c>
      <c r="L293" s="42">
        <f t="shared" si="57"/>
        <v>0</v>
      </c>
      <c r="M293" s="42">
        <f t="shared" si="57"/>
        <v>20000</v>
      </c>
      <c r="N293" s="42">
        <f t="shared" si="52"/>
        <v>7417.9044838273958</v>
      </c>
      <c r="O293" s="36">
        <v>5.6353721892092716</v>
      </c>
      <c r="P293" s="42">
        <f t="shared" si="53"/>
        <v>14816.346037556857</v>
      </c>
      <c r="Q293" s="42"/>
      <c r="R293">
        <v>0.77257606738486895</v>
      </c>
      <c r="S293">
        <v>0.72844630268257693</v>
      </c>
    </row>
    <row r="294" spans="1:19" x14ac:dyDescent="0.25">
      <c r="A294" s="40">
        <f t="shared" si="54"/>
        <v>0</v>
      </c>
      <c r="B294" s="40">
        <f t="shared" si="55"/>
        <v>50</v>
      </c>
      <c r="C294" s="41">
        <f t="shared" si="48"/>
        <v>1.0313000000000001</v>
      </c>
      <c r="D294" s="41">
        <f t="shared" si="49"/>
        <v>0.88000000000000012</v>
      </c>
      <c r="E294" s="39">
        <f>IF(_xlfn.NORM.INV(R294,C294,'Regressão Grupo 2'!$B$7)&lt;=0,0,IF(_xlfn.NORM.INV(R294,C294,'Regressão Grupo 2'!$B$7)&gt;100%,100%,_xlfn.NORM.INV(R294,C294,'Regressão Grupo 2'!$B$7)))</f>
        <v>1</v>
      </c>
      <c r="F294" s="39">
        <f>IF(_xlfn.NORM.INV(S294,D294,'Regressão Grupo 2'!$B$7)&lt;=0,0,IF(_xlfn.NORM.INV(S294,D294,'Regressão Grupo 2'!$B$7)&gt;100%,100%,_xlfn.NORM.INV(S294,D294,'Regressão Grupo 2'!$B$7)))</f>
        <v>1</v>
      </c>
      <c r="G294" s="41">
        <v>2.1997617003591007E-2</v>
      </c>
      <c r="H294" s="41">
        <v>2.5030133930529504E-2</v>
      </c>
      <c r="I294" s="40">
        <f t="shared" si="50"/>
        <v>0</v>
      </c>
      <c r="J294" s="40">
        <f t="shared" si="51"/>
        <v>500.60267861059009</v>
      </c>
      <c r="K294" s="36">
        <v>0.28450672164292795</v>
      </c>
      <c r="L294" s="42">
        <f t="shared" si="57"/>
        <v>0</v>
      </c>
      <c r="M294" s="42">
        <f t="shared" si="57"/>
        <v>20000</v>
      </c>
      <c r="N294" s="42">
        <f t="shared" si="52"/>
        <v>5690.1344328585592</v>
      </c>
      <c r="O294" s="36">
        <v>8.697694075745952</v>
      </c>
      <c r="P294" s="42">
        <f t="shared" si="53"/>
        <v>14985.910545617062</v>
      </c>
      <c r="Q294" s="42"/>
      <c r="R294">
        <v>0.49116489150669879</v>
      </c>
      <c r="S294">
        <v>0.85250404370250554</v>
      </c>
    </row>
    <row r="295" spans="1:19" x14ac:dyDescent="0.25">
      <c r="A295" s="40">
        <f t="shared" si="54"/>
        <v>0</v>
      </c>
      <c r="B295" s="40">
        <f t="shared" si="55"/>
        <v>50</v>
      </c>
      <c r="C295" s="41">
        <f t="shared" si="48"/>
        <v>1.0313000000000001</v>
      </c>
      <c r="D295" s="41">
        <f t="shared" si="49"/>
        <v>0.88000000000000012</v>
      </c>
      <c r="E295" s="39">
        <f>IF(_xlfn.NORM.INV(R295,C295,'Regressão Grupo 2'!$B$7)&lt;=0,0,IF(_xlfn.NORM.INV(R295,C295,'Regressão Grupo 2'!$B$7)&gt;100%,100%,_xlfn.NORM.INV(R295,C295,'Regressão Grupo 2'!$B$7)))</f>
        <v>1</v>
      </c>
      <c r="F295" s="39">
        <f>IF(_xlfn.NORM.INV(S295,D295,'Regressão Grupo 2'!$B$7)&lt;=0,0,IF(_xlfn.NORM.INV(S295,D295,'Regressão Grupo 2'!$B$7)&gt;100%,100%,_xlfn.NORM.INV(S295,D295,'Regressão Grupo 2'!$B$7)))</f>
        <v>0.78012307222912414</v>
      </c>
      <c r="G295" s="41">
        <v>1.7082658576045073E-2</v>
      </c>
      <c r="H295" s="41">
        <v>1.9942087130079909E-2</v>
      </c>
      <c r="I295" s="40">
        <f t="shared" si="50"/>
        <v>0</v>
      </c>
      <c r="J295" s="40">
        <f t="shared" si="51"/>
        <v>311.14564557157632</v>
      </c>
      <c r="K295" s="36">
        <v>0.35140869078449627</v>
      </c>
      <c r="L295" s="42">
        <f t="shared" ref="L295:M310" si="58">L294</f>
        <v>0</v>
      </c>
      <c r="M295" s="42">
        <f t="shared" si="58"/>
        <v>20000</v>
      </c>
      <c r="N295" s="42">
        <f t="shared" si="52"/>
        <v>7028.1738156899255</v>
      </c>
      <c r="O295" s="36">
        <v>8.2208327473074387</v>
      </c>
      <c r="P295" s="42">
        <f t="shared" si="53"/>
        <v>5971.2321505919617</v>
      </c>
      <c r="Q295" s="42"/>
      <c r="R295">
        <v>0.69850764488662376</v>
      </c>
      <c r="S295">
        <v>0.23505355998413038</v>
      </c>
    </row>
    <row r="296" spans="1:19" x14ac:dyDescent="0.25">
      <c r="A296" s="40">
        <f t="shared" si="54"/>
        <v>0</v>
      </c>
      <c r="B296" s="40">
        <f t="shared" si="55"/>
        <v>50</v>
      </c>
      <c r="C296" s="41">
        <f t="shared" si="48"/>
        <v>1.0313000000000001</v>
      </c>
      <c r="D296" s="41">
        <f t="shared" si="49"/>
        <v>0.88000000000000012</v>
      </c>
      <c r="E296" s="39">
        <f>IF(_xlfn.NORM.INV(R296,C296,'Regressão Grupo 2'!$B$7)&lt;=0,0,IF(_xlfn.NORM.INV(R296,C296,'Regressão Grupo 2'!$B$7)&gt;100%,100%,_xlfn.NORM.INV(R296,C296,'Regressão Grupo 2'!$B$7)))</f>
        <v>0.96170828820498744</v>
      </c>
      <c r="F296" s="39">
        <f>IF(_xlfn.NORM.INV(S296,D296,'Regressão Grupo 2'!$B$7)&lt;=0,0,IF(_xlfn.NORM.INV(S296,D296,'Regressão Grupo 2'!$B$7)&gt;100%,100%,_xlfn.NORM.INV(S296,D296,'Regressão Grupo 2'!$B$7)))</f>
        <v>1</v>
      </c>
      <c r="G296" s="41">
        <v>2.5065137650226797E-2</v>
      </c>
      <c r="H296" s="41">
        <v>2.0622922173923815E-2</v>
      </c>
      <c r="I296" s="40">
        <f t="shared" si="50"/>
        <v>0</v>
      </c>
      <c r="J296" s="40">
        <f t="shared" si="51"/>
        <v>412.45844347847628</v>
      </c>
      <c r="K296" s="36">
        <v>0.19684760413881802</v>
      </c>
      <c r="L296" s="42">
        <f t="shared" si="58"/>
        <v>0</v>
      </c>
      <c r="M296" s="42">
        <f t="shared" si="58"/>
        <v>20000</v>
      </c>
      <c r="N296" s="42">
        <f t="shared" si="52"/>
        <v>3936.9520827763604</v>
      </c>
      <c r="O296" s="36">
        <v>3.3135269098665523</v>
      </c>
      <c r="P296" s="42">
        <f t="shared" si="53"/>
        <v>15319.277939479847</v>
      </c>
      <c r="Q296" s="42"/>
      <c r="R296">
        <v>0.3073824274422437</v>
      </c>
      <c r="S296">
        <v>0.82720419934690392</v>
      </c>
    </row>
    <row r="297" spans="1:19" x14ac:dyDescent="0.25">
      <c r="A297" s="40">
        <f t="shared" si="54"/>
        <v>0</v>
      </c>
      <c r="B297" s="40">
        <f t="shared" si="55"/>
        <v>50</v>
      </c>
      <c r="C297" s="41">
        <f t="shared" si="48"/>
        <v>1.0313000000000001</v>
      </c>
      <c r="D297" s="41">
        <f t="shared" si="49"/>
        <v>0.88000000000000012</v>
      </c>
      <c r="E297" s="39">
        <f>IF(_xlfn.NORM.INV(R297,C297,'Regressão Grupo 2'!$B$7)&lt;=0,0,IF(_xlfn.NORM.INV(R297,C297,'Regressão Grupo 2'!$B$7)&gt;100%,100%,_xlfn.NORM.INV(R297,C297,'Regressão Grupo 2'!$B$7)))</f>
        <v>0.91946837630510492</v>
      </c>
      <c r="F297" s="39">
        <f>IF(_xlfn.NORM.INV(S297,D297,'Regressão Grupo 2'!$B$7)&lt;=0,0,IF(_xlfn.NORM.INV(S297,D297,'Regressão Grupo 2'!$B$7)&gt;100%,100%,_xlfn.NORM.INV(S297,D297,'Regressão Grupo 2'!$B$7)))</f>
        <v>0.80047359222632608</v>
      </c>
      <c r="G297" s="41">
        <v>1.8854533625732195E-2</v>
      </c>
      <c r="H297" s="41">
        <v>1.2450676403285186E-2</v>
      </c>
      <c r="I297" s="40">
        <f t="shared" si="50"/>
        <v>0</v>
      </c>
      <c r="J297" s="40">
        <f t="shared" si="51"/>
        <v>199.32875332370492</v>
      </c>
      <c r="K297" s="36">
        <v>0.33668589945255167</v>
      </c>
      <c r="L297" s="42">
        <f t="shared" si="58"/>
        <v>0</v>
      </c>
      <c r="M297" s="42">
        <f t="shared" si="58"/>
        <v>20000</v>
      </c>
      <c r="N297" s="42">
        <f t="shared" si="52"/>
        <v>6733.7179890510333</v>
      </c>
      <c r="O297" s="36">
        <v>3.6356685974875953</v>
      </c>
      <c r="P297" s="42">
        <f t="shared" si="53"/>
        <v>2508.0263880988668</v>
      </c>
      <c r="Q297" s="42"/>
      <c r="R297">
        <v>0.20932645649586473</v>
      </c>
      <c r="S297">
        <v>0.28260139774773402</v>
      </c>
    </row>
    <row r="298" spans="1:19" x14ac:dyDescent="0.25">
      <c r="A298" s="40">
        <f t="shared" si="54"/>
        <v>0</v>
      </c>
      <c r="B298" s="40">
        <f t="shared" si="55"/>
        <v>50</v>
      </c>
      <c r="C298" s="41">
        <f t="shared" si="48"/>
        <v>1.0313000000000001</v>
      </c>
      <c r="D298" s="41">
        <f t="shared" si="49"/>
        <v>0.88000000000000012</v>
      </c>
      <c r="E298" s="39">
        <f>IF(_xlfn.NORM.INV(R298,C298,'Regressão Grupo 2'!$B$7)&lt;=0,0,IF(_xlfn.NORM.INV(R298,C298,'Regressão Grupo 2'!$B$7)&gt;100%,100%,_xlfn.NORM.INV(R298,C298,'Regressão Grupo 2'!$B$7)))</f>
        <v>1</v>
      </c>
      <c r="F298" s="39">
        <f>IF(_xlfn.NORM.INV(S298,D298,'Regressão Grupo 2'!$B$7)&lt;=0,0,IF(_xlfn.NORM.INV(S298,D298,'Regressão Grupo 2'!$B$7)&gt;100%,100%,_xlfn.NORM.INV(S298,D298,'Regressão Grupo 2'!$B$7)))</f>
        <v>0.90933411919887752</v>
      </c>
      <c r="G298" s="41">
        <v>2.5991709062902282E-2</v>
      </c>
      <c r="H298" s="41">
        <v>1.9846769688848975E-2</v>
      </c>
      <c r="I298" s="40">
        <f t="shared" si="50"/>
        <v>0</v>
      </c>
      <c r="J298" s="40">
        <f t="shared" si="51"/>
        <v>360.94689667904925</v>
      </c>
      <c r="K298" s="36">
        <v>0.26501843205005848</v>
      </c>
      <c r="L298" s="42">
        <f t="shared" si="58"/>
        <v>0</v>
      </c>
      <c r="M298" s="42">
        <f t="shared" si="58"/>
        <v>20000</v>
      </c>
      <c r="N298" s="42">
        <f t="shared" si="52"/>
        <v>5300.3686410011696</v>
      </c>
      <c r="O298" s="36">
        <v>4.5221272423959169</v>
      </c>
      <c r="P298" s="42">
        <f t="shared" si="53"/>
        <v>11114.728398420699</v>
      </c>
      <c r="Q298" s="42"/>
      <c r="R298">
        <v>0.77043977172154909</v>
      </c>
      <c r="S298">
        <v>0.58400219733268233</v>
      </c>
    </row>
    <row r="299" spans="1:19" x14ac:dyDescent="0.25">
      <c r="A299" s="40">
        <f t="shared" si="54"/>
        <v>0</v>
      </c>
      <c r="B299" s="40">
        <f t="shared" si="55"/>
        <v>50</v>
      </c>
      <c r="C299" s="41">
        <f t="shared" si="48"/>
        <v>1.0313000000000001</v>
      </c>
      <c r="D299" s="41">
        <f t="shared" si="49"/>
        <v>0.88000000000000012</v>
      </c>
      <c r="E299" s="39">
        <f>IF(_xlfn.NORM.INV(R299,C299,'Regressão Grupo 2'!$B$7)&lt;=0,0,IF(_xlfn.NORM.INV(R299,C299,'Regressão Grupo 2'!$B$7)&gt;100%,100%,_xlfn.NORM.INV(R299,C299,'Regressão Grupo 2'!$B$7)))</f>
        <v>1</v>
      </c>
      <c r="F299" s="39">
        <f>IF(_xlfn.NORM.INV(S299,D299,'Regressão Grupo 2'!$B$7)&lt;=0,0,IF(_xlfn.NORM.INV(S299,D299,'Regressão Grupo 2'!$B$7)&gt;100%,100%,_xlfn.NORM.INV(S299,D299,'Regressão Grupo 2'!$B$7)))</f>
        <v>0.96018877764183519</v>
      </c>
      <c r="G299" s="41">
        <v>2.1253020262859749E-2</v>
      </c>
      <c r="H299" s="41">
        <v>6.4644546622197778E-3</v>
      </c>
      <c r="I299" s="40">
        <f t="shared" si="50"/>
        <v>0</v>
      </c>
      <c r="J299" s="40">
        <f t="shared" si="51"/>
        <v>124.14193640475742</v>
      </c>
      <c r="K299" s="36">
        <v>0.2658194210536256</v>
      </c>
      <c r="L299" s="42">
        <f t="shared" si="58"/>
        <v>0</v>
      </c>
      <c r="M299" s="42">
        <f t="shared" si="58"/>
        <v>20000</v>
      </c>
      <c r="N299" s="42">
        <f t="shared" si="52"/>
        <v>5316.3884210725118</v>
      </c>
      <c r="O299" s="36">
        <v>7.3765204428366058</v>
      </c>
      <c r="P299" s="42">
        <f t="shared" si="53"/>
        <v>-25.027132537656144</v>
      </c>
      <c r="Q299" s="42"/>
      <c r="R299">
        <v>0.61241492965483568</v>
      </c>
      <c r="S299">
        <v>0.71901608325449384</v>
      </c>
    </row>
    <row r="300" spans="1:19" x14ac:dyDescent="0.25">
      <c r="A300" s="40">
        <f t="shared" si="54"/>
        <v>0</v>
      </c>
      <c r="B300" s="40">
        <f t="shared" si="55"/>
        <v>50</v>
      </c>
      <c r="C300" s="41">
        <f t="shared" si="48"/>
        <v>1.0313000000000001</v>
      </c>
      <c r="D300" s="41">
        <f t="shared" si="49"/>
        <v>0.88000000000000012</v>
      </c>
      <c r="E300" s="39">
        <f>IF(_xlfn.NORM.INV(R300,C300,'Regressão Grupo 2'!$B$7)&lt;=0,0,IF(_xlfn.NORM.INV(R300,C300,'Regressão Grupo 2'!$B$7)&gt;100%,100%,_xlfn.NORM.INV(R300,C300,'Regressão Grupo 2'!$B$7)))</f>
        <v>1</v>
      </c>
      <c r="F300" s="39">
        <f>IF(_xlfn.NORM.INV(S300,D300,'Regressão Grupo 2'!$B$7)&lt;=0,0,IF(_xlfn.NORM.INV(S300,D300,'Regressão Grupo 2'!$B$7)&gt;100%,100%,_xlfn.NORM.INV(S300,D300,'Regressão Grupo 2'!$B$7)))</f>
        <v>0.7139067706642348</v>
      </c>
      <c r="G300" s="41">
        <v>1.9634144553775473E-2</v>
      </c>
      <c r="H300" s="41">
        <v>1.6297538253732261E-2</v>
      </c>
      <c r="I300" s="40">
        <f t="shared" si="50"/>
        <v>0</v>
      </c>
      <c r="J300" s="40">
        <f t="shared" si="51"/>
        <v>232.69845808997661</v>
      </c>
      <c r="K300" s="36">
        <v>0.41032978397195036</v>
      </c>
      <c r="L300" s="42">
        <f t="shared" si="58"/>
        <v>0</v>
      </c>
      <c r="M300" s="42">
        <f t="shared" si="58"/>
        <v>20000</v>
      </c>
      <c r="N300" s="42">
        <f t="shared" si="52"/>
        <v>8206.5956794390077</v>
      </c>
      <c r="O300" s="36">
        <v>3.8533350511869982</v>
      </c>
      <c r="P300" s="42">
        <f t="shared" si="53"/>
        <v>2531.6621001445492</v>
      </c>
      <c r="Q300" s="42"/>
      <c r="R300">
        <v>0.5263832514419996</v>
      </c>
      <c r="S300">
        <v>0.11484115115817743</v>
      </c>
    </row>
    <row r="301" spans="1:19" x14ac:dyDescent="0.25">
      <c r="A301" s="40">
        <f t="shared" si="54"/>
        <v>0</v>
      </c>
      <c r="B301" s="40">
        <f t="shared" si="55"/>
        <v>50</v>
      </c>
      <c r="C301" s="41">
        <f t="shared" si="48"/>
        <v>1.0313000000000001</v>
      </c>
      <c r="D301" s="41">
        <f t="shared" si="49"/>
        <v>0.88000000000000012</v>
      </c>
      <c r="E301" s="39">
        <f>IF(_xlfn.NORM.INV(R301,C301,'Regressão Grupo 2'!$B$7)&lt;=0,0,IF(_xlfn.NORM.INV(R301,C301,'Regressão Grupo 2'!$B$7)&gt;100%,100%,_xlfn.NORM.INV(R301,C301,'Regressão Grupo 2'!$B$7)))</f>
        <v>1</v>
      </c>
      <c r="F301" s="39">
        <f>IF(_xlfn.NORM.INV(S301,D301,'Regressão Grupo 2'!$B$7)&lt;=0,0,IF(_xlfn.NORM.INV(S301,D301,'Regressão Grupo 2'!$B$7)&gt;100%,100%,_xlfn.NORM.INV(S301,D301,'Regressão Grupo 2'!$B$7)))</f>
        <v>0.95856733263079275</v>
      </c>
      <c r="G301" s="41">
        <v>2.5045759260529776E-2</v>
      </c>
      <c r="H301" s="41">
        <v>1.2672151536664018E-2</v>
      </c>
      <c r="I301" s="40">
        <f t="shared" si="50"/>
        <v>0</v>
      </c>
      <c r="J301" s="40">
        <f t="shared" si="51"/>
        <v>242.94220994386461</v>
      </c>
      <c r="K301" s="36">
        <v>0.36277635776707096</v>
      </c>
      <c r="L301" s="42">
        <f t="shared" si="58"/>
        <v>0</v>
      </c>
      <c r="M301" s="42">
        <f t="shared" si="58"/>
        <v>20000</v>
      </c>
      <c r="N301" s="42">
        <f t="shared" si="52"/>
        <v>7255.5271553414195</v>
      </c>
      <c r="O301" s="36">
        <v>7.3999292976646478</v>
      </c>
      <c r="P301" s="42">
        <f t="shared" si="53"/>
        <v>3093.8281648488128</v>
      </c>
      <c r="Q301" s="42"/>
      <c r="R301">
        <v>0.64131595812860498</v>
      </c>
      <c r="S301">
        <v>0.71504867702261421</v>
      </c>
    </row>
    <row r="302" spans="1:19" x14ac:dyDescent="0.25">
      <c r="A302" s="40">
        <f t="shared" si="54"/>
        <v>0</v>
      </c>
      <c r="B302" s="40">
        <f t="shared" si="55"/>
        <v>50</v>
      </c>
      <c r="C302" s="41">
        <f t="shared" si="48"/>
        <v>1.0313000000000001</v>
      </c>
      <c r="D302" s="41">
        <f t="shared" si="49"/>
        <v>0.88000000000000012</v>
      </c>
      <c r="E302" s="39">
        <f>IF(_xlfn.NORM.INV(R302,C302,'Regressão Grupo 2'!$B$7)&lt;=0,0,IF(_xlfn.NORM.INV(R302,C302,'Regressão Grupo 2'!$B$7)&gt;100%,100%,_xlfn.NORM.INV(R302,C302,'Regressão Grupo 2'!$B$7)))</f>
        <v>1</v>
      </c>
      <c r="F302" s="39">
        <f>IF(_xlfn.NORM.INV(S302,D302,'Regressão Grupo 2'!$B$7)&lt;=0,0,IF(_xlfn.NORM.INV(S302,D302,'Regressão Grupo 2'!$B$7)&gt;100%,100%,_xlfn.NORM.INV(S302,D302,'Regressão Grupo 2'!$B$7)))</f>
        <v>0.7338504403493038</v>
      </c>
      <c r="G302" s="41">
        <v>1.7109546399237792E-2</v>
      </c>
      <c r="H302" s="41">
        <v>1.6592975145772758E-2</v>
      </c>
      <c r="I302" s="40">
        <f t="shared" si="50"/>
        <v>0</v>
      </c>
      <c r="J302" s="40">
        <f t="shared" si="51"/>
        <v>243.53524234860785</v>
      </c>
      <c r="K302" s="36">
        <v>0.33214180259687998</v>
      </c>
      <c r="L302" s="42">
        <f t="shared" si="58"/>
        <v>0</v>
      </c>
      <c r="M302" s="42">
        <f t="shared" si="58"/>
        <v>20000</v>
      </c>
      <c r="N302" s="42">
        <f t="shared" si="52"/>
        <v>6642.8360519375992</v>
      </c>
      <c r="O302" s="36">
        <v>8.1011639686510328</v>
      </c>
      <c r="P302" s="42">
        <f t="shared" si="53"/>
        <v>3561.0071350815551</v>
      </c>
      <c r="Q302" s="42"/>
      <c r="R302">
        <v>0.44813379314554275</v>
      </c>
      <c r="S302">
        <v>0.14526810510574664</v>
      </c>
    </row>
    <row r="303" spans="1:19" x14ac:dyDescent="0.25">
      <c r="A303" s="40">
        <f t="shared" si="54"/>
        <v>0</v>
      </c>
      <c r="B303" s="40">
        <f t="shared" si="55"/>
        <v>50</v>
      </c>
      <c r="C303" s="41">
        <f t="shared" si="48"/>
        <v>1.0313000000000001</v>
      </c>
      <c r="D303" s="41">
        <f t="shared" si="49"/>
        <v>0.88000000000000012</v>
      </c>
      <c r="E303" s="39">
        <f>IF(_xlfn.NORM.INV(R303,C303,'Regressão Grupo 2'!$B$7)&lt;=0,0,IF(_xlfn.NORM.INV(R303,C303,'Regressão Grupo 2'!$B$7)&gt;100%,100%,_xlfn.NORM.INV(R303,C303,'Regressão Grupo 2'!$B$7)))</f>
        <v>1</v>
      </c>
      <c r="F303" s="39">
        <f>IF(_xlfn.NORM.INV(S303,D303,'Regressão Grupo 2'!$B$7)&lt;=0,0,IF(_xlfn.NORM.INV(S303,D303,'Regressão Grupo 2'!$B$7)&gt;100%,100%,_xlfn.NORM.INV(S303,D303,'Regressão Grupo 2'!$B$7)))</f>
        <v>0.8787570843425262</v>
      </c>
      <c r="G303" s="41">
        <v>1.9393069854719884E-2</v>
      </c>
      <c r="H303" s="41">
        <v>2.0938359663071164E-2</v>
      </c>
      <c r="I303" s="40">
        <f t="shared" si="50"/>
        <v>0</v>
      </c>
      <c r="J303" s="40">
        <f t="shared" si="51"/>
        <v>367.99463776871147</v>
      </c>
      <c r="K303" s="36">
        <v>0.29325182457145216</v>
      </c>
      <c r="L303" s="42">
        <f t="shared" si="58"/>
        <v>0</v>
      </c>
      <c r="M303" s="42">
        <f t="shared" si="58"/>
        <v>20000</v>
      </c>
      <c r="N303" s="42">
        <f t="shared" si="52"/>
        <v>5865.0364914290431</v>
      </c>
      <c r="O303" s="36">
        <v>3.0919474325627343</v>
      </c>
      <c r="P303" s="42">
        <f t="shared" si="53"/>
        <v>11396.87532156071</v>
      </c>
      <c r="Q303" s="42"/>
      <c r="R303">
        <v>0.58687093722342598</v>
      </c>
      <c r="S303">
        <v>0.49641407513657032</v>
      </c>
    </row>
    <row r="304" spans="1:19" x14ac:dyDescent="0.25">
      <c r="A304" s="40">
        <f t="shared" si="54"/>
        <v>0</v>
      </c>
      <c r="B304" s="40">
        <f t="shared" si="55"/>
        <v>50</v>
      </c>
      <c r="C304" s="41">
        <f t="shared" si="48"/>
        <v>1.0313000000000001</v>
      </c>
      <c r="D304" s="41">
        <f t="shared" si="49"/>
        <v>0.88000000000000012</v>
      </c>
      <c r="E304" s="39">
        <f>IF(_xlfn.NORM.INV(R304,C304,'Regressão Grupo 2'!$B$7)&lt;=0,0,IF(_xlfn.NORM.INV(R304,C304,'Regressão Grupo 2'!$B$7)&gt;100%,100%,_xlfn.NORM.INV(R304,C304,'Regressão Grupo 2'!$B$7)))</f>
        <v>0.82113965087595453</v>
      </c>
      <c r="F304" s="39">
        <f>IF(_xlfn.NORM.INV(S304,D304,'Regressão Grupo 2'!$B$7)&lt;=0,0,IF(_xlfn.NORM.INV(S304,D304,'Regressão Grupo 2'!$B$7)&gt;100%,100%,_xlfn.NORM.INV(S304,D304,'Regressão Grupo 2'!$B$7)))</f>
        <v>1</v>
      </c>
      <c r="G304" s="41">
        <v>1.059913572620653E-2</v>
      </c>
      <c r="H304" s="41">
        <v>1.2407092529437632E-2</v>
      </c>
      <c r="I304" s="40">
        <f t="shared" si="50"/>
        <v>0</v>
      </c>
      <c r="J304" s="40">
        <f t="shared" si="51"/>
        <v>248.14185058875265</v>
      </c>
      <c r="K304" s="36">
        <v>0.15527529224748099</v>
      </c>
      <c r="L304" s="42">
        <f t="shared" si="58"/>
        <v>0</v>
      </c>
      <c r="M304" s="42">
        <f t="shared" si="58"/>
        <v>20000</v>
      </c>
      <c r="N304" s="42">
        <f t="shared" si="52"/>
        <v>3105.5058449496196</v>
      </c>
      <c r="O304" s="36">
        <v>5.1091684230933518</v>
      </c>
      <c r="P304" s="42">
        <f t="shared" si="53"/>
        <v>8033.7881770120093</v>
      </c>
      <c r="Q304" s="42"/>
      <c r="R304">
        <v>6.4271980956450092E-2</v>
      </c>
      <c r="S304">
        <v>0.9727774895474105</v>
      </c>
    </row>
    <row r="305" spans="1:19" x14ac:dyDescent="0.25">
      <c r="A305" s="40">
        <f t="shared" si="54"/>
        <v>0</v>
      </c>
      <c r="B305" s="40">
        <f t="shared" si="55"/>
        <v>50</v>
      </c>
      <c r="C305" s="41">
        <f t="shared" si="48"/>
        <v>1.0313000000000001</v>
      </c>
      <c r="D305" s="41">
        <f t="shared" si="49"/>
        <v>0.88000000000000012</v>
      </c>
      <c r="E305" s="39">
        <f>IF(_xlfn.NORM.INV(R305,C305,'Regressão Grupo 2'!$B$7)&lt;=0,0,IF(_xlfn.NORM.INV(R305,C305,'Regressão Grupo 2'!$B$7)&gt;100%,100%,_xlfn.NORM.INV(R305,C305,'Regressão Grupo 2'!$B$7)))</f>
        <v>0.9986466383480771</v>
      </c>
      <c r="F305" s="39">
        <f>IF(_xlfn.NORM.INV(S305,D305,'Regressão Grupo 2'!$B$7)&lt;=0,0,IF(_xlfn.NORM.INV(S305,D305,'Regressão Grupo 2'!$B$7)&gt;100%,100%,_xlfn.NORM.INV(S305,D305,'Regressão Grupo 2'!$B$7)))</f>
        <v>0.73068710615028543</v>
      </c>
      <c r="G305" s="41">
        <v>2.2029057972531269E-2</v>
      </c>
      <c r="H305" s="41">
        <v>2.0300614971798046E-2</v>
      </c>
      <c r="I305" s="40">
        <f t="shared" si="50"/>
        <v>0</v>
      </c>
      <c r="J305" s="40">
        <f t="shared" si="51"/>
        <v>296.66795213628546</v>
      </c>
      <c r="K305" s="36">
        <v>0.36554636927095219</v>
      </c>
      <c r="L305" s="42">
        <f t="shared" si="58"/>
        <v>0</v>
      </c>
      <c r="M305" s="42">
        <f t="shared" si="58"/>
        <v>20000</v>
      </c>
      <c r="N305" s="42">
        <f t="shared" si="52"/>
        <v>7310.9273854190442</v>
      </c>
      <c r="O305" s="36">
        <v>5.0068635858828845</v>
      </c>
      <c r="P305" s="42">
        <f t="shared" si="53"/>
        <v>6037.0942547456152</v>
      </c>
      <c r="Q305" s="42"/>
      <c r="R305">
        <v>0.40665913876766258</v>
      </c>
      <c r="S305">
        <v>0.1401104770043031</v>
      </c>
    </row>
    <row r="306" spans="1:19" x14ac:dyDescent="0.25">
      <c r="A306" s="40">
        <f t="shared" si="54"/>
        <v>0</v>
      </c>
      <c r="B306" s="40">
        <f t="shared" si="55"/>
        <v>50</v>
      </c>
      <c r="C306" s="41">
        <f t="shared" si="48"/>
        <v>1.0313000000000001</v>
      </c>
      <c r="D306" s="41">
        <f t="shared" si="49"/>
        <v>0.88000000000000012</v>
      </c>
      <c r="E306" s="39">
        <f>IF(_xlfn.NORM.INV(R306,C306,'Regressão Grupo 2'!$B$7)&lt;=0,0,IF(_xlfn.NORM.INV(R306,C306,'Regressão Grupo 2'!$B$7)&gt;100%,100%,_xlfn.NORM.INV(R306,C306,'Regressão Grupo 2'!$B$7)))</f>
        <v>1</v>
      </c>
      <c r="F306" s="39">
        <f>IF(_xlfn.NORM.INV(S306,D306,'Regressão Grupo 2'!$B$7)&lt;=0,0,IF(_xlfn.NORM.INV(S306,D306,'Regressão Grupo 2'!$B$7)&gt;100%,100%,_xlfn.NORM.INV(S306,D306,'Regressão Grupo 2'!$B$7)))</f>
        <v>1</v>
      </c>
      <c r="G306" s="41">
        <v>2.1746070150543601E-2</v>
      </c>
      <c r="H306" s="41">
        <v>7.3903218180950822E-3</v>
      </c>
      <c r="I306" s="40">
        <f t="shared" si="50"/>
        <v>0</v>
      </c>
      <c r="J306" s="40">
        <f t="shared" si="51"/>
        <v>147.80643636190163</v>
      </c>
      <c r="K306" s="36">
        <v>0.33849439431107875</v>
      </c>
      <c r="L306" s="42">
        <f t="shared" si="58"/>
        <v>0</v>
      </c>
      <c r="M306" s="42">
        <f t="shared" si="58"/>
        <v>20000</v>
      </c>
      <c r="N306" s="42">
        <f t="shared" si="52"/>
        <v>6769.8878862215752</v>
      </c>
      <c r="O306" s="36">
        <v>6.9909224248109938</v>
      </c>
      <c r="P306" s="42">
        <f t="shared" si="53"/>
        <v>-412.86939862031068</v>
      </c>
      <c r="Q306" s="42"/>
      <c r="R306">
        <v>0.79461043122653885</v>
      </c>
      <c r="S306">
        <v>0.88543351542710658</v>
      </c>
    </row>
    <row r="307" spans="1:19" x14ac:dyDescent="0.25">
      <c r="A307" s="40">
        <f t="shared" si="54"/>
        <v>0</v>
      </c>
      <c r="B307" s="40">
        <f t="shared" si="55"/>
        <v>50</v>
      </c>
      <c r="C307" s="41">
        <f t="shared" si="48"/>
        <v>1.0313000000000001</v>
      </c>
      <c r="D307" s="41">
        <f t="shared" si="49"/>
        <v>0.88000000000000012</v>
      </c>
      <c r="E307" s="39">
        <f>IF(_xlfn.NORM.INV(R307,C307,'Regressão Grupo 2'!$B$7)&lt;=0,0,IF(_xlfn.NORM.INV(R307,C307,'Regressão Grupo 2'!$B$7)&gt;100%,100%,_xlfn.NORM.INV(R307,C307,'Regressão Grupo 2'!$B$7)))</f>
        <v>0.84943147654169093</v>
      </c>
      <c r="F307" s="39">
        <f>IF(_xlfn.NORM.INV(S307,D307,'Regressão Grupo 2'!$B$7)&lt;=0,0,IF(_xlfn.NORM.INV(S307,D307,'Regressão Grupo 2'!$B$7)&gt;100%,100%,_xlfn.NORM.INV(S307,D307,'Regressão Grupo 2'!$B$7)))</f>
        <v>0.91210976495556728</v>
      </c>
      <c r="G307" s="41">
        <v>2.1169169680125631E-2</v>
      </c>
      <c r="H307" s="41">
        <v>6.6924765778033019E-3</v>
      </c>
      <c r="I307" s="40">
        <f t="shared" si="50"/>
        <v>0</v>
      </c>
      <c r="J307" s="40">
        <f t="shared" si="51"/>
        <v>122.08546476701618</v>
      </c>
      <c r="K307" s="36">
        <v>0.30122237631392285</v>
      </c>
      <c r="L307" s="42">
        <f t="shared" si="58"/>
        <v>0</v>
      </c>
      <c r="M307" s="42">
        <f t="shared" si="58"/>
        <v>20000</v>
      </c>
      <c r="N307" s="42">
        <f t="shared" si="52"/>
        <v>6024.4475262784572</v>
      </c>
      <c r="O307" s="36">
        <v>4.5449626155235929</v>
      </c>
      <c r="P307" s="42">
        <f t="shared" si="53"/>
        <v>-475.04816119255975</v>
      </c>
      <c r="Q307" s="42"/>
      <c r="R307">
        <v>9.4210638752403333E-2</v>
      </c>
      <c r="S307">
        <v>0.59181493575853761</v>
      </c>
    </row>
    <row r="308" spans="1:19" x14ac:dyDescent="0.25">
      <c r="A308" s="40">
        <f t="shared" si="54"/>
        <v>0</v>
      </c>
      <c r="B308" s="40">
        <f t="shared" si="55"/>
        <v>50</v>
      </c>
      <c r="C308" s="41">
        <f t="shared" si="48"/>
        <v>1.0313000000000001</v>
      </c>
      <c r="D308" s="41">
        <f t="shared" si="49"/>
        <v>0.88000000000000012</v>
      </c>
      <c r="E308" s="39">
        <f>IF(_xlfn.NORM.INV(R308,C308,'Regressão Grupo 2'!$B$7)&lt;=0,0,IF(_xlfn.NORM.INV(R308,C308,'Regressão Grupo 2'!$B$7)&gt;100%,100%,_xlfn.NORM.INV(R308,C308,'Regressão Grupo 2'!$B$7)))</f>
        <v>1</v>
      </c>
      <c r="F308" s="39">
        <f>IF(_xlfn.NORM.INV(S308,D308,'Regressão Grupo 2'!$B$7)&lt;=0,0,IF(_xlfn.NORM.INV(S308,D308,'Regressão Grupo 2'!$B$7)&gt;100%,100%,_xlfn.NORM.INV(S308,D308,'Regressão Grupo 2'!$B$7)))</f>
        <v>0.90330178440808018</v>
      </c>
      <c r="G308" s="41">
        <v>4.5114769808902704E-3</v>
      </c>
      <c r="H308" s="41">
        <v>2.6246165805202223E-2</v>
      </c>
      <c r="I308" s="40">
        <f t="shared" si="50"/>
        <v>0</v>
      </c>
      <c r="J308" s="40">
        <f t="shared" si="51"/>
        <v>474.16416811419009</v>
      </c>
      <c r="K308" s="36">
        <v>0.30963433818713859</v>
      </c>
      <c r="L308" s="42">
        <f t="shared" si="58"/>
        <v>0</v>
      </c>
      <c r="M308" s="42">
        <f t="shared" si="58"/>
        <v>20000</v>
      </c>
      <c r="N308" s="42">
        <f t="shared" si="52"/>
        <v>6192.6867637427722</v>
      </c>
      <c r="O308" s="36">
        <v>5.2260681074953057</v>
      </c>
      <c r="P308" s="42">
        <f t="shared" si="53"/>
        <v>15037.507405268123</v>
      </c>
      <c r="Q308" s="42"/>
      <c r="R308">
        <v>0.52333140049439986</v>
      </c>
      <c r="S308">
        <v>0.56691183202612383</v>
      </c>
    </row>
    <row r="309" spans="1:19" x14ac:dyDescent="0.25">
      <c r="A309" s="40">
        <f t="shared" si="54"/>
        <v>0</v>
      </c>
      <c r="B309" s="40">
        <f t="shared" si="55"/>
        <v>50</v>
      </c>
      <c r="C309" s="41">
        <f t="shared" si="48"/>
        <v>1.0313000000000001</v>
      </c>
      <c r="D309" s="41">
        <f t="shared" si="49"/>
        <v>0.88000000000000012</v>
      </c>
      <c r="E309" s="39">
        <f>IF(_xlfn.NORM.INV(R309,C309,'Regressão Grupo 2'!$B$7)&lt;=0,0,IF(_xlfn.NORM.INV(R309,C309,'Regressão Grupo 2'!$B$7)&gt;100%,100%,_xlfn.NORM.INV(R309,C309,'Regressão Grupo 2'!$B$7)))</f>
        <v>0.84535871092319914</v>
      </c>
      <c r="F309" s="39">
        <f>IF(_xlfn.NORM.INV(S309,D309,'Regressão Grupo 2'!$B$7)&lt;=0,0,IF(_xlfn.NORM.INV(S309,D309,'Regressão Grupo 2'!$B$7)&gt;100%,100%,_xlfn.NORM.INV(S309,D309,'Regressão Grupo 2'!$B$7)))</f>
        <v>0.90084835616750503</v>
      </c>
      <c r="G309" s="41">
        <v>1.5868265450626924E-2</v>
      </c>
      <c r="H309" s="41">
        <v>1.926327084453899E-2</v>
      </c>
      <c r="I309" s="40">
        <f t="shared" si="50"/>
        <v>0</v>
      </c>
      <c r="J309" s="40">
        <f t="shared" si="51"/>
        <v>347.06571749424751</v>
      </c>
      <c r="K309" s="36">
        <v>0.27824514252409532</v>
      </c>
      <c r="L309" s="42">
        <f t="shared" si="58"/>
        <v>0</v>
      </c>
      <c r="M309" s="42">
        <f t="shared" si="58"/>
        <v>20000</v>
      </c>
      <c r="N309" s="42">
        <f t="shared" si="52"/>
        <v>5564.9028504819062</v>
      </c>
      <c r="O309" s="36">
        <v>5.8359187208739298</v>
      </c>
      <c r="P309" s="42">
        <f t="shared" si="53"/>
        <v>9762.935706132248</v>
      </c>
      <c r="Q309" s="42"/>
      <c r="R309">
        <v>8.9358195745719779E-2</v>
      </c>
      <c r="S309">
        <v>0.55992309335612045</v>
      </c>
    </row>
    <row r="310" spans="1:19" x14ac:dyDescent="0.25">
      <c r="A310" s="40">
        <f t="shared" si="54"/>
        <v>0</v>
      </c>
      <c r="B310" s="40">
        <f t="shared" si="55"/>
        <v>50</v>
      </c>
      <c r="C310" s="41">
        <f t="shared" si="48"/>
        <v>1.0313000000000001</v>
      </c>
      <c r="D310" s="41">
        <f t="shared" si="49"/>
        <v>0.88000000000000012</v>
      </c>
      <c r="E310" s="39">
        <f>IF(_xlfn.NORM.INV(R310,C310,'Regressão Grupo 2'!$B$7)&lt;=0,0,IF(_xlfn.NORM.INV(R310,C310,'Regressão Grupo 2'!$B$7)&gt;100%,100%,_xlfn.NORM.INV(R310,C310,'Regressão Grupo 2'!$B$7)))</f>
        <v>1</v>
      </c>
      <c r="F310" s="39">
        <f>IF(_xlfn.NORM.INV(S310,D310,'Regressão Grupo 2'!$B$7)&lt;=0,0,IF(_xlfn.NORM.INV(S310,D310,'Regressão Grupo 2'!$B$7)&gt;100%,100%,_xlfn.NORM.INV(S310,D310,'Regressão Grupo 2'!$B$7)))</f>
        <v>0.8427595610224925</v>
      </c>
      <c r="G310" s="41">
        <v>1.626047823607351E-2</v>
      </c>
      <c r="H310" s="41">
        <v>5.0549491802796553E-3</v>
      </c>
      <c r="I310" s="40">
        <f t="shared" si="50"/>
        <v>0</v>
      </c>
      <c r="J310" s="40">
        <f t="shared" si="51"/>
        <v>85.20213504326982</v>
      </c>
      <c r="K310" s="36">
        <v>0.29689754780820843</v>
      </c>
      <c r="L310" s="42">
        <f t="shared" si="58"/>
        <v>0</v>
      </c>
      <c r="M310" s="42">
        <f t="shared" si="58"/>
        <v>20000</v>
      </c>
      <c r="N310" s="42">
        <f t="shared" si="52"/>
        <v>5937.9509561641689</v>
      </c>
      <c r="O310" s="36">
        <v>6.3104033390835026</v>
      </c>
      <c r="P310" s="42">
        <f t="shared" si="53"/>
        <v>-2215.5040414747709</v>
      </c>
      <c r="Q310" s="42"/>
      <c r="R310">
        <v>0.5417340617084262</v>
      </c>
      <c r="S310">
        <v>0.39384136478774379</v>
      </c>
    </row>
    <row r="311" spans="1:19" x14ac:dyDescent="0.25">
      <c r="A311" s="40">
        <f t="shared" si="54"/>
        <v>0</v>
      </c>
      <c r="B311" s="40">
        <f t="shared" si="55"/>
        <v>50</v>
      </c>
      <c r="C311" s="41">
        <f t="shared" si="48"/>
        <v>1.0313000000000001</v>
      </c>
      <c r="D311" s="41">
        <f t="shared" si="49"/>
        <v>0.88000000000000012</v>
      </c>
      <c r="E311" s="39">
        <f>IF(_xlfn.NORM.INV(R311,C311,'Regressão Grupo 2'!$B$7)&lt;=0,0,IF(_xlfn.NORM.INV(R311,C311,'Regressão Grupo 2'!$B$7)&gt;100%,100%,_xlfn.NORM.INV(R311,C311,'Regressão Grupo 2'!$B$7)))</f>
        <v>0.71305828705405561</v>
      </c>
      <c r="F311" s="39">
        <f>IF(_xlfn.NORM.INV(S311,D311,'Regressão Grupo 2'!$B$7)&lt;=0,0,IF(_xlfn.NORM.INV(S311,D311,'Regressão Grupo 2'!$B$7)&gt;100%,100%,_xlfn.NORM.INV(S311,D311,'Regressão Grupo 2'!$B$7)))</f>
        <v>0.86015678714685706</v>
      </c>
      <c r="G311" s="41">
        <v>2.2112682393606545E-2</v>
      </c>
      <c r="H311" s="41">
        <v>2.4565474106797939E-2</v>
      </c>
      <c r="I311" s="40">
        <f t="shared" si="50"/>
        <v>0</v>
      </c>
      <c r="J311" s="40">
        <f t="shared" si="51"/>
        <v>422.6031856488525</v>
      </c>
      <c r="K311" s="36">
        <v>0.43201388876766367</v>
      </c>
      <c r="L311" s="42">
        <f t="shared" ref="L311:M326" si="59">L310</f>
        <v>0</v>
      </c>
      <c r="M311" s="42">
        <f t="shared" si="59"/>
        <v>20000</v>
      </c>
      <c r="N311" s="42">
        <f t="shared" si="52"/>
        <v>8640.2777753532737</v>
      </c>
      <c r="O311" s="36">
        <v>4.0187084211431499</v>
      </c>
      <c r="P311" s="42">
        <f t="shared" si="53"/>
        <v>10791.562526120388</v>
      </c>
      <c r="Q311" s="42"/>
      <c r="R311">
        <v>1.0681478316599017E-2</v>
      </c>
      <c r="S311">
        <v>0.44294564653462326</v>
      </c>
    </row>
    <row r="312" spans="1:19" x14ac:dyDescent="0.25">
      <c r="A312" s="40">
        <f t="shared" si="54"/>
        <v>0</v>
      </c>
      <c r="B312" s="40">
        <f t="shared" si="55"/>
        <v>50</v>
      </c>
      <c r="C312" s="41">
        <f t="shared" si="48"/>
        <v>1.0313000000000001</v>
      </c>
      <c r="D312" s="41">
        <f t="shared" si="49"/>
        <v>0.88000000000000012</v>
      </c>
      <c r="E312" s="39">
        <f>IF(_xlfn.NORM.INV(R312,C312,'Regressão Grupo 2'!$B$7)&lt;=0,0,IF(_xlfn.NORM.INV(R312,C312,'Regressão Grupo 2'!$B$7)&gt;100%,100%,_xlfn.NORM.INV(R312,C312,'Regressão Grupo 2'!$B$7)))</f>
        <v>0.99306044455154119</v>
      </c>
      <c r="F312" s="39">
        <f>IF(_xlfn.NORM.INV(S312,D312,'Regressão Grupo 2'!$B$7)&lt;=0,0,IF(_xlfn.NORM.INV(S312,D312,'Regressão Grupo 2'!$B$7)&gt;100%,100%,_xlfn.NORM.INV(S312,D312,'Regressão Grupo 2'!$B$7)))</f>
        <v>0.62426784231065457</v>
      </c>
      <c r="G312" s="41">
        <v>2.5263744236820491E-2</v>
      </c>
      <c r="H312" s="41">
        <v>2.1930378222412401E-2</v>
      </c>
      <c r="I312" s="40">
        <f t="shared" si="50"/>
        <v>0</v>
      </c>
      <c r="J312" s="40">
        <f t="shared" si="51"/>
        <v>273.80859787923919</v>
      </c>
      <c r="K312" s="36">
        <v>0.27449178469756363</v>
      </c>
      <c r="L312" s="42">
        <f t="shared" si="59"/>
        <v>0</v>
      </c>
      <c r="M312" s="42">
        <f t="shared" si="59"/>
        <v>20000</v>
      </c>
      <c r="N312" s="42">
        <f t="shared" si="52"/>
        <v>5489.8356939512723</v>
      </c>
      <c r="O312" s="36">
        <v>9.6207716240143242</v>
      </c>
      <c r="P312" s="42">
        <f t="shared" si="53"/>
        <v>5566.3442111229524</v>
      </c>
      <c r="Q312" s="42"/>
      <c r="R312">
        <v>0.39106418042542801</v>
      </c>
      <c r="S312">
        <v>3.2197027497177039E-2</v>
      </c>
    </row>
    <row r="313" spans="1:19" x14ac:dyDescent="0.25">
      <c r="A313" s="40">
        <f t="shared" si="54"/>
        <v>0</v>
      </c>
      <c r="B313" s="40">
        <f t="shared" si="55"/>
        <v>50</v>
      </c>
      <c r="C313" s="41">
        <f t="shared" si="48"/>
        <v>1.0313000000000001</v>
      </c>
      <c r="D313" s="41">
        <f t="shared" si="49"/>
        <v>0.88000000000000012</v>
      </c>
      <c r="E313" s="39">
        <f>IF(_xlfn.NORM.INV(R313,C313,'Regressão Grupo 2'!$B$7)&lt;=0,0,IF(_xlfn.NORM.INV(R313,C313,'Regressão Grupo 2'!$B$7)&gt;100%,100%,_xlfn.NORM.INV(R313,C313,'Regressão Grupo 2'!$B$7)))</f>
        <v>1</v>
      </c>
      <c r="F313" s="39">
        <f>IF(_xlfn.NORM.INV(S313,D313,'Regressão Grupo 2'!$B$7)&lt;=0,0,IF(_xlfn.NORM.INV(S313,D313,'Regressão Grupo 2'!$B$7)&gt;100%,100%,_xlfn.NORM.INV(S313,D313,'Regressão Grupo 2'!$B$7)))</f>
        <v>1</v>
      </c>
      <c r="G313" s="41">
        <v>1.6983845734969721E-2</v>
      </c>
      <c r="H313" s="41">
        <v>8.1138350729801148E-3</v>
      </c>
      <c r="I313" s="40">
        <f t="shared" si="50"/>
        <v>0</v>
      </c>
      <c r="J313" s="40">
        <f t="shared" si="51"/>
        <v>162.27670145960229</v>
      </c>
      <c r="K313" s="36">
        <v>0.21082388204178082</v>
      </c>
      <c r="L313" s="42">
        <f t="shared" si="59"/>
        <v>0</v>
      </c>
      <c r="M313" s="42">
        <f t="shared" si="59"/>
        <v>20000</v>
      </c>
      <c r="N313" s="42">
        <f t="shared" si="52"/>
        <v>4216.4776408356165</v>
      </c>
      <c r="O313" s="36">
        <v>5.7457631041470627</v>
      </c>
      <c r="P313" s="42">
        <f t="shared" si="53"/>
        <v>2964.9539482352275</v>
      </c>
      <c r="Q313" s="42"/>
      <c r="R313">
        <v>0.49168370616779078</v>
      </c>
      <c r="S313">
        <v>0.9464400158696249</v>
      </c>
    </row>
    <row r="314" spans="1:19" x14ac:dyDescent="0.25">
      <c r="A314" s="40">
        <f t="shared" si="54"/>
        <v>0</v>
      </c>
      <c r="B314" s="40">
        <f t="shared" si="55"/>
        <v>50</v>
      </c>
      <c r="C314" s="41">
        <f t="shared" si="48"/>
        <v>1.0313000000000001</v>
      </c>
      <c r="D314" s="41">
        <f t="shared" si="49"/>
        <v>0.88000000000000012</v>
      </c>
      <c r="E314" s="39">
        <f>IF(_xlfn.NORM.INV(R314,C314,'Regressão Grupo 2'!$B$7)&lt;=0,0,IF(_xlfn.NORM.INV(R314,C314,'Regressão Grupo 2'!$B$7)&gt;100%,100%,_xlfn.NORM.INV(R314,C314,'Regressão Grupo 2'!$B$7)))</f>
        <v>1</v>
      </c>
      <c r="F314" s="39">
        <f>IF(_xlfn.NORM.INV(S314,D314,'Regressão Grupo 2'!$B$7)&lt;=0,0,IF(_xlfn.NORM.INV(S314,D314,'Regressão Grupo 2'!$B$7)&gt;100%,100%,_xlfn.NORM.INV(S314,D314,'Regressão Grupo 2'!$B$7)))</f>
        <v>0.78173649948265356</v>
      </c>
      <c r="G314" s="41">
        <v>9.4002155705346438E-3</v>
      </c>
      <c r="H314" s="41">
        <v>2.1489768380068375E-2</v>
      </c>
      <c r="I314" s="40">
        <f t="shared" si="50"/>
        <v>0</v>
      </c>
      <c r="J314" s="40">
        <f t="shared" si="51"/>
        <v>335.98672616255334</v>
      </c>
      <c r="K314" s="36">
        <v>0.36416770358179118</v>
      </c>
      <c r="L314" s="42">
        <f t="shared" si="59"/>
        <v>0</v>
      </c>
      <c r="M314" s="42">
        <f t="shared" si="59"/>
        <v>20000</v>
      </c>
      <c r="N314" s="42">
        <f t="shared" si="52"/>
        <v>7283.3540716358239</v>
      </c>
      <c r="O314" s="36">
        <v>6.5215568698074371</v>
      </c>
      <c r="P314" s="42">
        <f t="shared" si="53"/>
        <v>7324.8256943223314</v>
      </c>
      <c r="Q314" s="42"/>
      <c r="R314">
        <v>0.63695181127353739</v>
      </c>
      <c r="S314">
        <v>0.23865474410229803</v>
      </c>
    </row>
    <row r="315" spans="1:19" x14ac:dyDescent="0.25">
      <c r="A315" s="40">
        <f t="shared" si="54"/>
        <v>0</v>
      </c>
      <c r="B315" s="40">
        <f t="shared" si="55"/>
        <v>50</v>
      </c>
      <c r="C315" s="41">
        <f t="shared" si="48"/>
        <v>1.0313000000000001</v>
      </c>
      <c r="D315" s="41">
        <f t="shared" si="49"/>
        <v>0.88000000000000012</v>
      </c>
      <c r="E315" s="39">
        <f>IF(_xlfn.NORM.INV(R315,C315,'Regressão Grupo 2'!$B$7)&lt;=0,0,IF(_xlfn.NORM.INV(R315,C315,'Regressão Grupo 2'!$B$7)&gt;100%,100%,_xlfn.NORM.INV(R315,C315,'Regressão Grupo 2'!$B$7)))</f>
        <v>0.9968273112117001</v>
      </c>
      <c r="F315" s="39">
        <f>IF(_xlfn.NORM.INV(S315,D315,'Regressão Grupo 2'!$B$7)&lt;=0,0,IF(_xlfn.NORM.INV(S315,D315,'Regressão Grupo 2'!$B$7)&gt;100%,100%,_xlfn.NORM.INV(S315,D315,'Regressão Grupo 2'!$B$7)))</f>
        <v>0.89573674260552016</v>
      </c>
      <c r="G315" s="41">
        <v>1.7663573037696487E-2</v>
      </c>
      <c r="H315" s="41">
        <v>1.8148521419861532E-2</v>
      </c>
      <c r="I315" s="40">
        <f t="shared" si="50"/>
        <v>0</v>
      </c>
      <c r="J315" s="40">
        <f t="shared" si="51"/>
        <v>325.12594919466557</v>
      </c>
      <c r="K315" s="36">
        <v>0.21784095157526548</v>
      </c>
      <c r="L315" s="42">
        <f t="shared" si="59"/>
        <v>0</v>
      </c>
      <c r="M315" s="42">
        <f t="shared" si="59"/>
        <v>20000</v>
      </c>
      <c r="N315" s="42">
        <f t="shared" si="52"/>
        <v>4356.8190315053098</v>
      </c>
      <c r="O315" s="36">
        <v>5.5396627338529854</v>
      </c>
      <c r="P315" s="42">
        <f t="shared" si="53"/>
        <v>10098.390323665699</v>
      </c>
      <c r="Q315" s="42"/>
      <c r="R315">
        <v>0.40156254768517108</v>
      </c>
      <c r="S315">
        <v>0.54530472731711788</v>
      </c>
    </row>
    <row r="316" spans="1:19" x14ac:dyDescent="0.25">
      <c r="A316" s="40">
        <f t="shared" si="54"/>
        <v>0</v>
      </c>
      <c r="B316" s="40">
        <f t="shared" si="55"/>
        <v>50</v>
      </c>
      <c r="C316" s="41">
        <f t="shared" si="48"/>
        <v>1.0313000000000001</v>
      </c>
      <c r="D316" s="41">
        <f t="shared" si="49"/>
        <v>0.88000000000000012</v>
      </c>
      <c r="E316" s="39">
        <f>IF(_xlfn.NORM.INV(R316,C316,'Regressão Grupo 2'!$B$7)&lt;=0,0,IF(_xlfn.NORM.INV(R316,C316,'Regressão Grupo 2'!$B$7)&gt;100%,100%,_xlfn.NORM.INV(R316,C316,'Regressão Grupo 2'!$B$7)))</f>
        <v>0.85938016103408665</v>
      </c>
      <c r="F316" s="39">
        <f>IF(_xlfn.NORM.INV(S316,D316,'Regressão Grupo 2'!$B$7)&lt;=0,0,IF(_xlfn.NORM.INV(S316,D316,'Regressão Grupo 2'!$B$7)&gt;100%,100%,_xlfn.NORM.INV(S316,D316,'Regressão Grupo 2'!$B$7)))</f>
        <v>0.79662346587443023</v>
      </c>
      <c r="G316" s="41">
        <v>8.4503394030514475E-3</v>
      </c>
      <c r="H316" s="41">
        <v>1.7880219677785296E-2</v>
      </c>
      <c r="I316" s="40">
        <f t="shared" si="50"/>
        <v>0</v>
      </c>
      <c r="J316" s="40">
        <f t="shared" si="51"/>
        <v>284.87605140627022</v>
      </c>
      <c r="K316" s="36">
        <v>0.45363708464355246</v>
      </c>
      <c r="L316" s="42">
        <f t="shared" si="59"/>
        <v>0</v>
      </c>
      <c r="M316" s="42">
        <f t="shared" si="59"/>
        <v>20000</v>
      </c>
      <c r="N316" s="42">
        <f t="shared" si="52"/>
        <v>9072.74169287105</v>
      </c>
      <c r="O316" s="36">
        <v>6.500022172982483</v>
      </c>
      <c r="P316" s="42">
        <f t="shared" si="53"/>
        <v>3319.3602267500082</v>
      </c>
      <c r="Q316" s="42"/>
      <c r="R316">
        <v>0.10687582018494217</v>
      </c>
      <c r="S316">
        <v>0.27326273384807886</v>
      </c>
    </row>
    <row r="317" spans="1:19" x14ac:dyDescent="0.25">
      <c r="A317" s="40">
        <f t="shared" si="54"/>
        <v>0</v>
      </c>
      <c r="B317" s="40">
        <f t="shared" si="55"/>
        <v>50</v>
      </c>
      <c r="C317" s="41">
        <f t="shared" si="48"/>
        <v>1.0313000000000001</v>
      </c>
      <c r="D317" s="41">
        <f t="shared" si="49"/>
        <v>0.88000000000000012</v>
      </c>
      <c r="E317" s="39">
        <f>IF(_xlfn.NORM.INV(R317,C317,'Regressão Grupo 2'!$B$7)&lt;=0,0,IF(_xlfn.NORM.INV(R317,C317,'Regressão Grupo 2'!$B$7)&gt;100%,100%,_xlfn.NORM.INV(R317,C317,'Regressão Grupo 2'!$B$7)))</f>
        <v>0.93004504355332407</v>
      </c>
      <c r="F317" s="39">
        <f>IF(_xlfn.NORM.INV(S317,D317,'Regressão Grupo 2'!$B$7)&lt;=0,0,IF(_xlfn.NORM.INV(S317,D317,'Regressão Grupo 2'!$B$7)&gt;100%,100%,_xlfn.NORM.INV(S317,D317,'Regressão Grupo 2'!$B$7)))</f>
        <v>0.86209998717523784</v>
      </c>
      <c r="G317" s="41">
        <v>1.2886587724484987E-2</v>
      </c>
      <c r="H317" s="41">
        <v>2.1530480212186023E-2</v>
      </c>
      <c r="I317" s="40">
        <f t="shared" si="50"/>
        <v>0</v>
      </c>
      <c r="J317" s="40">
        <f t="shared" si="51"/>
        <v>371.22853429604567</v>
      </c>
      <c r="K317" s="36">
        <v>0.44321925165275172</v>
      </c>
      <c r="L317" s="42">
        <f t="shared" si="59"/>
        <v>0</v>
      </c>
      <c r="M317" s="42">
        <f t="shared" si="59"/>
        <v>20000</v>
      </c>
      <c r="N317" s="42">
        <f t="shared" si="52"/>
        <v>8864.385033055034</v>
      </c>
      <c r="O317" s="36">
        <v>4.0051875786305846</v>
      </c>
      <c r="P317" s="42">
        <f t="shared" si="53"/>
        <v>8210.2017673514893</v>
      </c>
      <c r="Q317" s="42"/>
      <c r="R317">
        <v>0.23200170903653067</v>
      </c>
      <c r="S317">
        <v>0.44850001525925476</v>
      </c>
    </row>
    <row r="318" spans="1:19" x14ac:dyDescent="0.25">
      <c r="A318" s="40">
        <f t="shared" si="54"/>
        <v>0</v>
      </c>
      <c r="B318" s="40">
        <f t="shared" si="55"/>
        <v>50</v>
      </c>
      <c r="C318" s="41">
        <f t="shared" si="48"/>
        <v>1.0313000000000001</v>
      </c>
      <c r="D318" s="41">
        <f t="shared" si="49"/>
        <v>0.88000000000000012</v>
      </c>
      <c r="E318" s="39">
        <f>IF(_xlfn.NORM.INV(R318,C318,'Regressão Grupo 2'!$B$7)&lt;=0,0,IF(_xlfn.NORM.INV(R318,C318,'Regressão Grupo 2'!$B$7)&gt;100%,100%,_xlfn.NORM.INV(R318,C318,'Regressão Grupo 2'!$B$7)))</f>
        <v>1</v>
      </c>
      <c r="F318" s="39">
        <f>IF(_xlfn.NORM.INV(S318,D318,'Regressão Grupo 2'!$B$7)&lt;=0,0,IF(_xlfn.NORM.INV(S318,D318,'Regressão Grupo 2'!$B$7)&gt;100%,100%,_xlfn.NORM.INV(S318,D318,'Regressão Grupo 2'!$B$7)))</f>
        <v>1</v>
      </c>
      <c r="G318" s="41">
        <v>2.7627480647946848E-2</v>
      </c>
      <c r="H318" s="41">
        <v>8.1112319496013906E-3</v>
      </c>
      <c r="I318" s="40">
        <f t="shared" si="50"/>
        <v>0</v>
      </c>
      <c r="J318" s="40">
        <f t="shared" si="51"/>
        <v>162.22463899202782</v>
      </c>
      <c r="K318" s="36">
        <v>0.29909427119797427</v>
      </c>
      <c r="L318" s="42">
        <f t="shared" si="59"/>
        <v>0</v>
      </c>
      <c r="M318" s="42">
        <f t="shared" si="59"/>
        <v>20000</v>
      </c>
      <c r="N318" s="42">
        <f t="shared" si="52"/>
        <v>5981.8854239594857</v>
      </c>
      <c r="O318" s="36">
        <v>8.0663516764631122</v>
      </c>
      <c r="P318" s="42">
        <f t="shared" si="53"/>
        <v>820.78553694493803</v>
      </c>
      <c r="Q318" s="42"/>
      <c r="R318">
        <v>0.62187566759239477</v>
      </c>
      <c r="S318">
        <v>0.82982879116183961</v>
      </c>
    </row>
    <row r="319" spans="1:19" x14ac:dyDescent="0.25">
      <c r="A319" s="40">
        <f t="shared" si="54"/>
        <v>0</v>
      </c>
      <c r="B319" s="40">
        <f t="shared" si="55"/>
        <v>50</v>
      </c>
      <c r="C319" s="41">
        <f t="shared" si="48"/>
        <v>1.0313000000000001</v>
      </c>
      <c r="D319" s="41">
        <f t="shared" si="49"/>
        <v>0.88000000000000012</v>
      </c>
      <c r="E319" s="39">
        <f>IF(_xlfn.NORM.INV(R319,C319,'Regressão Grupo 2'!$B$7)&lt;=0,0,IF(_xlfn.NORM.INV(R319,C319,'Regressão Grupo 2'!$B$7)&gt;100%,100%,_xlfn.NORM.INV(R319,C319,'Regressão Grupo 2'!$B$7)))</f>
        <v>1</v>
      </c>
      <c r="F319" s="39">
        <f>IF(_xlfn.NORM.INV(S319,D319,'Regressão Grupo 2'!$B$7)&lt;=0,0,IF(_xlfn.NORM.INV(S319,D319,'Regressão Grupo 2'!$B$7)&gt;100%,100%,_xlfn.NORM.INV(S319,D319,'Regressão Grupo 2'!$B$7)))</f>
        <v>0.7739680054246485</v>
      </c>
      <c r="G319" s="41">
        <v>2.2789425364125718E-2</v>
      </c>
      <c r="H319" s="41">
        <v>4.2885328288894903E-3</v>
      </c>
      <c r="I319" s="40">
        <f t="shared" si="50"/>
        <v>0</v>
      </c>
      <c r="J319" s="40">
        <f t="shared" si="51"/>
        <v>66.383743995474489</v>
      </c>
      <c r="K319" s="36">
        <v>0.23975598868707332</v>
      </c>
      <c r="L319" s="42">
        <f t="shared" si="59"/>
        <v>0</v>
      </c>
      <c r="M319" s="42">
        <f t="shared" si="59"/>
        <v>20000</v>
      </c>
      <c r="N319" s="42">
        <f t="shared" si="52"/>
        <v>4795.1197737414668</v>
      </c>
      <c r="O319" s="36">
        <v>4.3173271394352541</v>
      </c>
      <c r="P319" s="42">
        <f t="shared" si="53"/>
        <v>-1762.5329135367265</v>
      </c>
      <c r="Q319" s="42"/>
      <c r="R319">
        <v>0.93139439069795826</v>
      </c>
      <c r="S319">
        <v>0.22159489730521562</v>
      </c>
    </row>
    <row r="320" spans="1:19" x14ac:dyDescent="0.25">
      <c r="A320" s="40">
        <f t="shared" si="54"/>
        <v>0</v>
      </c>
      <c r="B320" s="40">
        <f t="shared" si="55"/>
        <v>50</v>
      </c>
      <c r="C320" s="41">
        <f t="shared" si="48"/>
        <v>1.0313000000000001</v>
      </c>
      <c r="D320" s="41">
        <f t="shared" si="49"/>
        <v>0.88000000000000012</v>
      </c>
      <c r="E320" s="39">
        <f>IF(_xlfn.NORM.INV(R320,C320,'Regressão Grupo 2'!$B$7)&lt;=0,0,IF(_xlfn.NORM.INV(R320,C320,'Regressão Grupo 2'!$B$7)&gt;100%,100%,_xlfn.NORM.INV(R320,C320,'Regressão Grupo 2'!$B$7)))</f>
        <v>1</v>
      </c>
      <c r="F320" s="39">
        <f>IF(_xlfn.NORM.INV(S320,D320,'Regressão Grupo 2'!$B$7)&lt;=0,0,IF(_xlfn.NORM.INV(S320,D320,'Regressão Grupo 2'!$B$7)&gt;100%,100%,_xlfn.NORM.INV(S320,D320,'Regressão Grupo 2'!$B$7)))</f>
        <v>1</v>
      </c>
      <c r="G320" s="41">
        <v>7.0642460040461772E-3</v>
      </c>
      <c r="H320" s="41">
        <v>2.3713062242502043E-2</v>
      </c>
      <c r="I320" s="40">
        <f t="shared" si="50"/>
        <v>0</v>
      </c>
      <c r="J320" s="40">
        <f t="shared" si="51"/>
        <v>474.26124485004084</v>
      </c>
      <c r="K320" s="36">
        <v>0.2223463090845762</v>
      </c>
      <c r="L320" s="42">
        <f t="shared" si="59"/>
        <v>0</v>
      </c>
      <c r="M320" s="42">
        <f t="shared" si="59"/>
        <v>20000</v>
      </c>
      <c r="N320" s="42">
        <f t="shared" si="52"/>
        <v>4446.9261816915241</v>
      </c>
      <c r="O320" s="36">
        <v>6.0389745044252274</v>
      </c>
      <c r="P320" s="42">
        <f t="shared" si="53"/>
        <v>16402.084494724149</v>
      </c>
      <c r="Q320" s="42"/>
      <c r="R320">
        <v>0.75334940641499071</v>
      </c>
      <c r="S320">
        <v>0.89004181035798213</v>
      </c>
    </row>
    <row r="321" spans="1:19" x14ac:dyDescent="0.25">
      <c r="A321" s="40">
        <f t="shared" si="54"/>
        <v>0</v>
      </c>
      <c r="B321" s="40">
        <f t="shared" si="55"/>
        <v>50</v>
      </c>
      <c r="C321" s="41">
        <f t="shared" si="48"/>
        <v>1.0313000000000001</v>
      </c>
      <c r="D321" s="41">
        <f t="shared" si="49"/>
        <v>0.88000000000000012</v>
      </c>
      <c r="E321" s="39">
        <f>IF(_xlfn.NORM.INV(R321,C321,'Regressão Grupo 2'!$B$7)&lt;=0,0,IF(_xlfn.NORM.INV(R321,C321,'Regressão Grupo 2'!$B$7)&gt;100%,100%,_xlfn.NORM.INV(R321,C321,'Regressão Grupo 2'!$B$7)))</f>
        <v>1</v>
      </c>
      <c r="F321" s="39">
        <f>IF(_xlfn.NORM.INV(S321,D321,'Regressão Grupo 2'!$B$7)&lt;=0,0,IF(_xlfn.NORM.INV(S321,D321,'Regressão Grupo 2'!$B$7)&gt;100%,100%,_xlfn.NORM.INV(S321,D321,'Regressão Grupo 2'!$B$7)))</f>
        <v>0.96219968339737438</v>
      </c>
      <c r="G321" s="41">
        <v>2.1299558727997735E-2</v>
      </c>
      <c r="H321" s="41">
        <v>7.8552123738796029E-3</v>
      </c>
      <c r="I321" s="40">
        <f t="shared" si="50"/>
        <v>0</v>
      </c>
      <c r="J321" s="40">
        <f t="shared" si="51"/>
        <v>151.16565718332183</v>
      </c>
      <c r="K321" s="36">
        <v>0.40858240442507426</v>
      </c>
      <c r="L321" s="42">
        <f t="shared" si="59"/>
        <v>0</v>
      </c>
      <c r="M321" s="42">
        <f t="shared" si="59"/>
        <v>20000</v>
      </c>
      <c r="N321" s="42">
        <f t="shared" si="52"/>
        <v>8171.6480885014853</v>
      </c>
      <c r="O321" s="36">
        <v>7.5573846903646791</v>
      </c>
      <c r="P321" s="42">
        <f t="shared" si="53"/>
        <v>-1755.7822526415466</v>
      </c>
      <c r="Q321" s="42"/>
      <c r="R321">
        <v>0.96734519486068304</v>
      </c>
      <c r="S321">
        <v>0.72389904477065337</v>
      </c>
    </row>
    <row r="322" spans="1:19" x14ac:dyDescent="0.25">
      <c r="A322" s="40">
        <f t="shared" si="54"/>
        <v>0</v>
      </c>
      <c r="B322" s="40">
        <f t="shared" si="55"/>
        <v>50</v>
      </c>
      <c r="C322" s="41">
        <f t="shared" si="48"/>
        <v>1.0313000000000001</v>
      </c>
      <c r="D322" s="41">
        <f t="shared" si="49"/>
        <v>0.88000000000000012</v>
      </c>
      <c r="E322" s="39">
        <f>IF(_xlfn.NORM.INV(R322,C322,'Regressão Grupo 2'!$B$7)&lt;=0,0,IF(_xlfn.NORM.INV(R322,C322,'Regressão Grupo 2'!$B$7)&gt;100%,100%,_xlfn.NORM.INV(R322,C322,'Regressão Grupo 2'!$B$7)))</f>
        <v>1</v>
      </c>
      <c r="F322" s="39">
        <f>IF(_xlfn.NORM.INV(S322,D322,'Regressão Grupo 2'!$B$7)&lt;=0,0,IF(_xlfn.NORM.INV(S322,D322,'Regressão Grupo 2'!$B$7)&gt;100%,100%,_xlfn.NORM.INV(S322,D322,'Regressão Grupo 2'!$B$7)))</f>
        <v>0.84766198535662607</v>
      </c>
      <c r="G322" s="41">
        <v>1.5464405258834251E-2</v>
      </c>
      <c r="H322" s="41">
        <v>1.6326560351590396E-2</v>
      </c>
      <c r="I322" s="40">
        <f t="shared" si="50"/>
        <v>0</v>
      </c>
      <c r="J322" s="40">
        <f t="shared" si="51"/>
        <v>276.78809123347776</v>
      </c>
      <c r="K322" s="36">
        <v>0.28437551724636134</v>
      </c>
      <c r="L322" s="42">
        <f t="shared" si="59"/>
        <v>0</v>
      </c>
      <c r="M322" s="42">
        <f t="shared" si="59"/>
        <v>20000</v>
      </c>
      <c r="N322" s="42">
        <f t="shared" si="52"/>
        <v>5687.5103449272265</v>
      </c>
      <c r="O322" s="36">
        <v>7.5044903779651326</v>
      </c>
      <c r="P322" s="42">
        <f t="shared" si="53"/>
        <v>6074.740649349691</v>
      </c>
      <c r="Q322" s="42"/>
      <c r="R322">
        <v>0.63658558915982544</v>
      </c>
      <c r="S322">
        <v>0.40754417554246652</v>
      </c>
    </row>
    <row r="323" spans="1:19" x14ac:dyDescent="0.25">
      <c r="A323" s="40">
        <f t="shared" si="54"/>
        <v>0</v>
      </c>
      <c r="B323" s="40">
        <f t="shared" si="55"/>
        <v>50</v>
      </c>
      <c r="C323" s="41">
        <f t="shared" si="48"/>
        <v>1.0313000000000001</v>
      </c>
      <c r="D323" s="41">
        <f t="shared" si="49"/>
        <v>0.88000000000000012</v>
      </c>
      <c r="E323" s="39">
        <f>IF(_xlfn.NORM.INV(R323,C323,'Regressão Grupo 2'!$B$7)&lt;=0,0,IF(_xlfn.NORM.INV(R323,C323,'Regressão Grupo 2'!$B$7)&gt;100%,100%,_xlfn.NORM.INV(R323,C323,'Regressão Grupo 2'!$B$7)))</f>
        <v>1</v>
      </c>
      <c r="F323" s="39">
        <f>IF(_xlfn.NORM.INV(S323,D323,'Regressão Grupo 2'!$B$7)&lt;=0,0,IF(_xlfn.NORM.INV(S323,D323,'Regressão Grupo 2'!$B$7)&gt;100%,100%,_xlfn.NORM.INV(S323,D323,'Regressão Grupo 2'!$B$7)))</f>
        <v>0.88567661769218364</v>
      </c>
      <c r="G323" s="41">
        <v>1.7475736350397855E-2</v>
      </c>
      <c r="H323" s="41">
        <v>1.8620376755562815E-2</v>
      </c>
      <c r="I323" s="40">
        <f t="shared" si="50"/>
        <v>0</v>
      </c>
      <c r="J323" s="40">
        <f t="shared" si="51"/>
        <v>329.83264610042056</v>
      </c>
      <c r="K323" s="36">
        <v>0.24779596732268491</v>
      </c>
      <c r="L323" s="42">
        <f t="shared" si="59"/>
        <v>0</v>
      </c>
      <c r="M323" s="42">
        <f t="shared" si="59"/>
        <v>20000</v>
      </c>
      <c r="N323" s="42">
        <f t="shared" si="52"/>
        <v>4955.9193464536984</v>
      </c>
      <c r="O323" s="36">
        <v>5.3197146262076656</v>
      </c>
      <c r="P323" s="42">
        <f t="shared" si="53"/>
        <v>9781.0974069061449</v>
      </c>
      <c r="Q323" s="42"/>
      <c r="R323">
        <v>0.89913632618182926</v>
      </c>
      <c r="S323">
        <v>0.51637318033387247</v>
      </c>
    </row>
    <row r="324" spans="1:19" x14ac:dyDescent="0.25">
      <c r="A324" s="40">
        <f t="shared" si="54"/>
        <v>0</v>
      </c>
      <c r="B324" s="40">
        <f t="shared" si="55"/>
        <v>50</v>
      </c>
      <c r="C324" s="41">
        <f t="shared" si="48"/>
        <v>1.0313000000000001</v>
      </c>
      <c r="D324" s="41">
        <f t="shared" si="49"/>
        <v>0.88000000000000012</v>
      </c>
      <c r="E324" s="39">
        <f>IF(_xlfn.NORM.INV(R324,C324,'Regressão Grupo 2'!$B$7)&lt;=0,0,IF(_xlfn.NORM.INV(R324,C324,'Regressão Grupo 2'!$B$7)&gt;100%,100%,_xlfn.NORM.INV(R324,C324,'Regressão Grupo 2'!$B$7)))</f>
        <v>0.98634185000057384</v>
      </c>
      <c r="F324" s="39">
        <f>IF(_xlfn.NORM.INV(S324,D324,'Regressão Grupo 2'!$B$7)&lt;=0,0,IF(_xlfn.NORM.INV(S324,D324,'Regressão Grupo 2'!$B$7)&gt;100%,100%,_xlfn.NORM.INV(S324,D324,'Regressão Grupo 2'!$B$7)))</f>
        <v>0.77724538516391017</v>
      </c>
      <c r="G324" s="41">
        <v>1.4503653378469317E-2</v>
      </c>
      <c r="H324" s="41">
        <v>9.4733892727416578E-3</v>
      </c>
      <c r="I324" s="40">
        <f t="shared" si="50"/>
        <v>0</v>
      </c>
      <c r="J324" s="40">
        <f t="shared" si="51"/>
        <v>147.2629618819949</v>
      </c>
      <c r="K324" s="36">
        <v>0.33051208487411776</v>
      </c>
      <c r="L324" s="42">
        <f t="shared" si="59"/>
        <v>0</v>
      </c>
      <c r="M324" s="42">
        <f t="shared" si="59"/>
        <v>20000</v>
      </c>
      <c r="N324" s="42">
        <f t="shared" si="52"/>
        <v>6610.2416974823554</v>
      </c>
      <c r="O324" s="36">
        <v>6.1486235944530723</v>
      </c>
      <c r="P324" s="42">
        <f t="shared" si="53"/>
        <v>-152.55812539928866</v>
      </c>
      <c r="Q324" s="42"/>
      <c r="R324">
        <v>0.37253944517349774</v>
      </c>
      <c r="S324">
        <v>0.22870571001312295</v>
      </c>
    </row>
    <row r="325" spans="1:19" x14ac:dyDescent="0.25">
      <c r="A325" s="40">
        <f t="shared" si="54"/>
        <v>0</v>
      </c>
      <c r="B325" s="40">
        <f t="shared" si="55"/>
        <v>50</v>
      </c>
      <c r="C325" s="41">
        <f t="shared" si="48"/>
        <v>1.0313000000000001</v>
      </c>
      <c r="D325" s="41">
        <f t="shared" si="49"/>
        <v>0.88000000000000012</v>
      </c>
      <c r="E325" s="39">
        <f>IF(_xlfn.NORM.INV(R325,C325,'Regressão Grupo 2'!$B$7)&lt;=0,0,IF(_xlfn.NORM.INV(R325,C325,'Regressão Grupo 2'!$B$7)&gt;100%,100%,_xlfn.NORM.INV(R325,C325,'Regressão Grupo 2'!$B$7)))</f>
        <v>0.93412277469239036</v>
      </c>
      <c r="F325" s="39">
        <f>IF(_xlfn.NORM.INV(S325,D325,'Regressão Grupo 2'!$B$7)&lt;=0,0,IF(_xlfn.NORM.INV(S325,D325,'Regressão Grupo 2'!$B$7)&gt;100%,100%,_xlfn.NORM.INV(S325,D325,'Regressão Grupo 2'!$B$7)))</f>
        <v>0.84364725027017917</v>
      </c>
      <c r="G325" s="41">
        <v>1.6136453508622566E-2</v>
      </c>
      <c r="H325" s="41">
        <v>7.9142242143984947E-3</v>
      </c>
      <c r="I325" s="40">
        <f t="shared" si="50"/>
        <v>0</v>
      </c>
      <c r="J325" s="40">
        <f t="shared" si="51"/>
        <v>133.5362699299792</v>
      </c>
      <c r="K325" s="36">
        <v>0.45458742865965207</v>
      </c>
      <c r="L325" s="42">
        <f t="shared" si="59"/>
        <v>0</v>
      </c>
      <c r="M325" s="42">
        <f t="shared" si="59"/>
        <v>20000</v>
      </c>
      <c r="N325" s="42">
        <f t="shared" si="52"/>
        <v>9091.748573193041</v>
      </c>
      <c r="O325" s="36">
        <v>5.5266311750002295</v>
      </c>
      <c r="P325" s="42">
        <f t="shared" si="53"/>
        <v>-3152.9407890823495</v>
      </c>
      <c r="Q325" s="42"/>
      <c r="R325">
        <v>0.24109622486037782</v>
      </c>
      <c r="S325">
        <v>0.39631336405529954</v>
      </c>
    </row>
    <row r="326" spans="1:19" x14ac:dyDescent="0.25">
      <c r="A326" s="40">
        <f t="shared" si="54"/>
        <v>0</v>
      </c>
      <c r="B326" s="40">
        <f t="shared" si="55"/>
        <v>50</v>
      </c>
      <c r="C326" s="41">
        <f t="shared" ref="C326:C389" si="60">-0.0071*A326 + 1.0313</f>
        <v>1.0313000000000001</v>
      </c>
      <c r="D326" s="41">
        <f t="shared" ref="D326:D389" si="61">-0.0059*B326+1.175</f>
        <v>0.88000000000000012</v>
      </c>
      <c r="E326" s="39">
        <f>IF(_xlfn.NORM.INV(R326,C326,'Regressão Grupo 2'!$B$7)&lt;=0,0,IF(_xlfn.NORM.INV(R326,C326,'Regressão Grupo 2'!$B$7)&gt;100%,100%,_xlfn.NORM.INV(R326,C326,'Regressão Grupo 2'!$B$7)))</f>
        <v>0.80139303348123181</v>
      </c>
      <c r="F326" s="39">
        <f>IF(_xlfn.NORM.INV(S326,D326,'Regressão Grupo 2'!$B$7)&lt;=0,0,IF(_xlfn.NORM.INV(S326,D326,'Regressão Grupo 2'!$B$7)&gt;100%,100%,_xlfn.NORM.INV(S326,D326,'Regressão Grupo 2'!$B$7)))</f>
        <v>0.73990493261057588</v>
      </c>
      <c r="G326" s="41">
        <v>2.1714170750349118E-2</v>
      </c>
      <c r="H326" s="41">
        <v>2.2585550911212476E-2</v>
      </c>
      <c r="I326" s="40">
        <f t="shared" ref="I326:I389" si="62">IF(E326*G326*L326&gt;0,E326*G326*L326,0)</f>
        <v>0</v>
      </c>
      <c r="J326" s="40">
        <f t="shared" ref="J326:J389" si="63">IF(F326*H326*M326&gt;0,F326*H326*M326,0)</f>
        <v>334.22321049866798</v>
      </c>
      <c r="K326" s="36">
        <v>0.18135574502101745</v>
      </c>
      <c r="L326" s="42">
        <f t="shared" si="59"/>
        <v>0</v>
      </c>
      <c r="M326" s="42">
        <f t="shared" si="59"/>
        <v>20000</v>
      </c>
      <c r="N326" s="42">
        <f t="shared" ref="N326:N389" si="64">(L326+M326)*K326</f>
        <v>3627.1149004203489</v>
      </c>
      <c r="O326" s="36">
        <v>9.7714199938154724</v>
      </c>
      <c r="P326" s="42">
        <f t="shared" ref="P326:P389" si="65">SUMPRODUCT(A326:B326,I326:J326)-SUM(I326:J326)*O326-N326</f>
        <v>9818.2102630491681</v>
      </c>
      <c r="Q326" s="42"/>
      <c r="R326">
        <v>4.8188726462599564E-2</v>
      </c>
      <c r="S326">
        <v>0.15549180578020569</v>
      </c>
    </row>
    <row r="327" spans="1:19" x14ac:dyDescent="0.25">
      <c r="A327" s="40">
        <f t="shared" ref="A327:A390" si="66">A326</f>
        <v>0</v>
      </c>
      <c r="B327" s="40">
        <f t="shared" ref="B327:B390" si="67">B326</f>
        <v>50</v>
      </c>
      <c r="C327" s="41">
        <f t="shared" si="60"/>
        <v>1.0313000000000001</v>
      </c>
      <c r="D327" s="41">
        <f t="shared" si="61"/>
        <v>0.88000000000000012</v>
      </c>
      <c r="E327" s="39">
        <f>IF(_xlfn.NORM.INV(R327,C327,'Regressão Grupo 2'!$B$7)&lt;=0,0,IF(_xlfn.NORM.INV(R327,C327,'Regressão Grupo 2'!$B$7)&gt;100%,100%,_xlfn.NORM.INV(R327,C327,'Regressão Grupo 2'!$B$7)))</f>
        <v>1</v>
      </c>
      <c r="F327" s="39">
        <f>IF(_xlfn.NORM.INV(S327,D327,'Regressão Grupo 2'!$B$7)&lt;=0,0,IF(_xlfn.NORM.INV(S327,D327,'Regressão Grupo 2'!$B$7)&gt;100%,100%,_xlfn.NORM.INV(S327,D327,'Regressão Grupo 2'!$B$7)))</f>
        <v>0.77110656499405439</v>
      </c>
      <c r="G327" s="41">
        <v>9.8174534097590343E-3</v>
      </c>
      <c r="H327" s="41">
        <v>1.051874775878012E-2</v>
      </c>
      <c r="I327" s="40">
        <f t="shared" si="62"/>
        <v>0</v>
      </c>
      <c r="J327" s="40">
        <f t="shared" si="63"/>
        <v>162.22150904623692</v>
      </c>
      <c r="K327" s="36">
        <v>0.36102501697763412</v>
      </c>
      <c r="L327" s="42">
        <f t="shared" ref="L327:M342" si="68">L326</f>
        <v>0</v>
      </c>
      <c r="M327" s="42">
        <f t="shared" si="68"/>
        <v>20000</v>
      </c>
      <c r="N327" s="42">
        <f t="shared" si="64"/>
        <v>7220.5003395526819</v>
      </c>
      <c r="O327" s="36">
        <v>4.707831623606392</v>
      </c>
      <c r="P327" s="42">
        <f t="shared" si="65"/>
        <v>126.86356244213948</v>
      </c>
      <c r="Q327" s="42"/>
      <c r="R327">
        <v>0.89834284493545336</v>
      </c>
      <c r="S327">
        <v>0.21549119541001618</v>
      </c>
    </row>
    <row r="328" spans="1:19" x14ac:dyDescent="0.25">
      <c r="A328" s="40">
        <f t="shared" si="66"/>
        <v>0</v>
      </c>
      <c r="B328" s="40">
        <f t="shared" si="67"/>
        <v>50</v>
      </c>
      <c r="C328" s="41">
        <f t="shared" si="60"/>
        <v>1.0313000000000001</v>
      </c>
      <c r="D328" s="41">
        <f t="shared" si="61"/>
        <v>0.88000000000000012</v>
      </c>
      <c r="E328" s="39">
        <f>IF(_xlfn.NORM.INV(R328,C328,'Regressão Grupo 2'!$B$7)&lt;=0,0,IF(_xlfn.NORM.INV(R328,C328,'Regressão Grupo 2'!$B$7)&gt;100%,100%,_xlfn.NORM.INV(R328,C328,'Regressão Grupo 2'!$B$7)))</f>
        <v>1</v>
      </c>
      <c r="F328" s="39">
        <f>IF(_xlfn.NORM.INV(S328,D328,'Regressão Grupo 2'!$B$7)&lt;=0,0,IF(_xlfn.NORM.INV(S328,D328,'Regressão Grupo 2'!$B$7)&gt;100%,100%,_xlfn.NORM.INV(S328,D328,'Regressão Grupo 2'!$B$7)))</f>
        <v>0.9000142255846364</v>
      </c>
      <c r="G328" s="41">
        <v>1.7373344328779978E-2</v>
      </c>
      <c r="H328" s="41">
        <v>1.0661132745409968E-2</v>
      </c>
      <c r="I328" s="40">
        <f t="shared" si="62"/>
        <v>0</v>
      </c>
      <c r="J328" s="40">
        <f t="shared" si="63"/>
        <v>191.90342263430321</v>
      </c>
      <c r="K328" s="36">
        <v>0.35012261315751814</v>
      </c>
      <c r="L328" s="42">
        <f t="shared" si="68"/>
        <v>0</v>
      </c>
      <c r="M328" s="42">
        <f t="shared" si="68"/>
        <v>20000</v>
      </c>
      <c r="N328" s="42">
        <f t="shared" si="64"/>
        <v>7002.4522631503623</v>
      </c>
      <c r="O328" s="36">
        <v>6.3929887399109315</v>
      </c>
      <c r="P328" s="42">
        <f t="shared" si="65"/>
        <v>1365.8824485133282</v>
      </c>
      <c r="Q328" s="42"/>
      <c r="R328">
        <v>0.90771202734458445</v>
      </c>
      <c r="S328">
        <v>0.55754264961699274</v>
      </c>
    </row>
    <row r="329" spans="1:19" x14ac:dyDescent="0.25">
      <c r="A329" s="40">
        <f t="shared" si="66"/>
        <v>0</v>
      </c>
      <c r="B329" s="40">
        <f t="shared" si="67"/>
        <v>50</v>
      </c>
      <c r="C329" s="41">
        <f t="shared" si="60"/>
        <v>1.0313000000000001</v>
      </c>
      <c r="D329" s="41">
        <f t="shared" si="61"/>
        <v>0.88000000000000012</v>
      </c>
      <c r="E329" s="39">
        <f>IF(_xlfn.NORM.INV(R329,C329,'Regressão Grupo 2'!$B$7)&lt;=0,0,IF(_xlfn.NORM.INV(R329,C329,'Regressão Grupo 2'!$B$7)&gt;100%,100%,_xlfn.NORM.INV(R329,C329,'Regressão Grupo 2'!$B$7)))</f>
        <v>1</v>
      </c>
      <c r="F329" s="39">
        <f>IF(_xlfn.NORM.INV(S329,D329,'Regressão Grupo 2'!$B$7)&lt;=0,0,IF(_xlfn.NORM.INV(S329,D329,'Regressão Grupo 2'!$B$7)&gt;100%,100%,_xlfn.NORM.INV(S329,D329,'Regressão Grupo 2'!$B$7)))</f>
        <v>0.92863226407398736</v>
      </c>
      <c r="G329" s="41">
        <v>2.2692216927304401E-2</v>
      </c>
      <c r="H329" s="41">
        <v>2.3834572308657553E-2</v>
      </c>
      <c r="I329" s="40">
        <f t="shared" si="62"/>
        <v>0</v>
      </c>
      <c r="J329" s="40">
        <f t="shared" si="63"/>
        <v>442.67105692447655</v>
      </c>
      <c r="K329" s="36">
        <v>0.38635426195838041</v>
      </c>
      <c r="L329" s="42">
        <f t="shared" si="68"/>
        <v>0</v>
      </c>
      <c r="M329" s="42">
        <f t="shared" si="68"/>
        <v>20000</v>
      </c>
      <c r="N329" s="42">
        <f t="shared" si="64"/>
        <v>7727.0852391676081</v>
      </c>
      <c r="O329" s="36">
        <v>4.7681681045204494</v>
      </c>
      <c r="P329" s="42">
        <f t="shared" si="65"/>
        <v>12295.737592634574</v>
      </c>
      <c r="Q329" s="42"/>
      <c r="R329">
        <v>0.95574816125980411</v>
      </c>
      <c r="S329">
        <v>0.63747062593462933</v>
      </c>
    </row>
    <row r="330" spans="1:19" x14ac:dyDescent="0.25">
      <c r="A330" s="40">
        <f t="shared" si="66"/>
        <v>0</v>
      </c>
      <c r="B330" s="40">
        <f t="shared" si="67"/>
        <v>50</v>
      </c>
      <c r="C330" s="41">
        <f t="shared" si="60"/>
        <v>1.0313000000000001</v>
      </c>
      <c r="D330" s="41">
        <f t="shared" si="61"/>
        <v>0.88000000000000012</v>
      </c>
      <c r="E330" s="39">
        <f>IF(_xlfn.NORM.INV(R330,C330,'Regressão Grupo 2'!$B$7)&lt;=0,0,IF(_xlfn.NORM.INV(R330,C330,'Regressão Grupo 2'!$B$7)&gt;100%,100%,_xlfn.NORM.INV(R330,C330,'Regressão Grupo 2'!$B$7)))</f>
        <v>1</v>
      </c>
      <c r="F330" s="39">
        <f>IF(_xlfn.NORM.INV(S330,D330,'Regressão Grupo 2'!$B$7)&lt;=0,0,IF(_xlfn.NORM.INV(S330,D330,'Regressão Grupo 2'!$B$7)&gt;100%,100%,_xlfn.NORM.INV(S330,D330,'Regressão Grupo 2'!$B$7)))</f>
        <v>0.85880921855090531</v>
      </c>
      <c r="G330" s="41">
        <v>2.4307927429203437E-2</v>
      </c>
      <c r="H330" s="41">
        <v>1.1871926763290658E-2</v>
      </c>
      <c r="I330" s="40">
        <f t="shared" si="62"/>
        <v>0</v>
      </c>
      <c r="J330" s="40">
        <f t="shared" si="63"/>
        <v>203.91440292550456</v>
      </c>
      <c r="K330" s="36">
        <v>0.23951650509560438</v>
      </c>
      <c r="L330" s="42">
        <f t="shared" si="68"/>
        <v>0</v>
      </c>
      <c r="M330" s="42">
        <f t="shared" si="68"/>
        <v>20000</v>
      </c>
      <c r="N330" s="42">
        <f t="shared" si="64"/>
        <v>4790.3301019120872</v>
      </c>
      <c r="O330" s="36">
        <v>9.1154786579533909</v>
      </c>
      <c r="P330" s="42">
        <f t="shared" si="65"/>
        <v>3546.6126564463948</v>
      </c>
      <c r="Q330" s="42"/>
      <c r="R330">
        <v>0.70497756889553509</v>
      </c>
      <c r="S330">
        <v>0.43910031434064761</v>
      </c>
    </row>
    <row r="331" spans="1:19" x14ac:dyDescent="0.25">
      <c r="A331" s="40">
        <f t="shared" si="66"/>
        <v>0</v>
      </c>
      <c r="B331" s="40">
        <f t="shared" si="67"/>
        <v>50</v>
      </c>
      <c r="C331" s="41">
        <f t="shared" si="60"/>
        <v>1.0313000000000001</v>
      </c>
      <c r="D331" s="41">
        <f t="shared" si="61"/>
        <v>0.88000000000000012</v>
      </c>
      <c r="E331" s="39">
        <f>IF(_xlfn.NORM.INV(R331,C331,'Regressão Grupo 2'!$B$7)&lt;=0,0,IF(_xlfn.NORM.INV(R331,C331,'Regressão Grupo 2'!$B$7)&gt;100%,100%,_xlfn.NORM.INV(R331,C331,'Regressão Grupo 2'!$B$7)))</f>
        <v>0.85577037881087226</v>
      </c>
      <c r="F331" s="39">
        <f>IF(_xlfn.NORM.INV(S331,D331,'Regressão Grupo 2'!$B$7)&lt;=0,0,IF(_xlfn.NORM.INV(S331,D331,'Regressão Grupo 2'!$B$7)&gt;100%,100%,_xlfn.NORM.INV(S331,D331,'Regressão Grupo 2'!$B$7)))</f>
        <v>1</v>
      </c>
      <c r="G331" s="41">
        <v>1.0126545823384712E-2</v>
      </c>
      <c r="H331" s="41">
        <v>2.4716975132252843E-2</v>
      </c>
      <c r="I331" s="40">
        <f t="shared" si="62"/>
        <v>0</v>
      </c>
      <c r="J331" s="40">
        <f t="shared" si="63"/>
        <v>494.33950264505688</v>
      </c>
      <c r="K331" s="36">
        <v>0.28580470111184275</v>
      </c>
      <c r="L331" s="42">
        <f t="shared" si="68"/>
        <v>0</v>
      </c>
      <c r="M331" s="42">
        <f t="shared" si="68"/>
        <v>20000</v>
      </c>
      <c r="N331" s="42">
        <f t="shared" si="64"/>
        <v>5716.0940222368554</v>
      </c>
      <c r="O331" s="36">
        <v>8.5639223433925764</v>
      </c>
      <c r="P331" s="42">
        <f t="shared" si="65"/>
        <v>14767.395998092412</v>
      </c>
      <c r="Q331" s="42"/>
      <c r="R331">
        <v>0.1021454512161626</v>
      </c>
      <c r="S331">
        <v>0.99078341013824889</v>
      </c>
    </row>
    <row r="332" spans="1:19" x14ac:dyDescent="0.25">
      <c r="A332" s="40">
        <f t="shared" si="66"/>
        <v>0</v>
      </c>
      <c r="B332" s="40">
        <f t="shared" si="67"/>
        <v>50</v>
      </c>
      <c r="C332" s="41">
        <f t="shared" si="60"/>
        <v>1.0313000000000001</v>
      </c>
      <c r="D332" s="41">
        <f t="shared" si="61"/>
        <v>0.88000000000000012</v>
      </c>
      <c r="E332" s="39">
        <f>IF(_xlfn.NORM.INV(R332,C332,'Regressão Grupo 2'!$B$7)&lt;=0,0,IF(_xlfn.NORM.INV(R332,C332,'Regressão Grupo 2'!$B$7)&gt;100%,100%,_xlfn.NORM.INV(R332,C332,'Regressão Grupo 2'!$B$7)))</f>
        <v>1</v>
      </c>
      <c r="F332" s="39">
        <f>IF(_xlfn.NORM.INV(S332,D332,'Regressão Grupo 2'!$B$7)&lt;=0,0,IF(_xlfn.NORM.INV(S332,D332,'Regressão Grupo 2'!$B$7)&gt;100%,100%,_xlfn.NORM.INV(S332,D332,'Regressão Grupo 2'!$B$7)))</f>
        <v>0.83318651961172574</v>
      </c>
      <c r="G332" s="41">
        <v>1.7368417673133449E-2</v>
      </c>
      <c r="H332" s="41">
        <v>2.0052020254551488E-2</v>
      </c>
      <c r="I332" s="40">
        <f t="shared" si="62"/>
        <v>0</v>
      </c>
      <c r="J332" s="40">
        <f t="shared" si="63"/>
        <v>334.14145934147166</v>
      </c>
      <c r="K332" s="36">
        <v>0.32893065186766401</v>
      </c>
      <c r="L332" s="42">
        <f t="shared" si="68"/>
        <v>0</v>
      </c>
      <c r="M332" s="42">
        <f t="shared" si="68"/>
        <v>20000</v>
      </c>
      <c r="N332" s="42">
        <f t="shared" si="64"/>
        <v>6578.6130373532806</v>
      </c>
      <c r="O332" s="36">
        <v>4.3808992803419748</v>
      </c>
      <c r="P332" s="42">
        <f t="shared" si="65"/>
        <v>8664.6198509588321</v>
      </c>
      <c r="Q332" s="42"/>
      <c r="R332">
        <v>0.76934110538041323</v>
      </c>
      <c r="S332">
        <v>0.36747337260048218</v>
      </c>
    </row>
    <row r="333" spans="1:19" x14ac:dyDescent="0.25">
      <c r="A333" s="40">
        <f t="shared" si="66"/>
        <v>0</v>
      </c>
      <c r="B333" s="40">
        <f t="shared" si="67"/>
        <v>50</v>
      </c>
      <c r="C333" s="41">
        <f t="shared" si="60"/>
        <v>1.0313000000000001</v>
      </c>
      <c r="D333" s="41">
        <f t="shared" si="61"/>
        <v>0.88000000000000012</v>
      </c>
      <c r="E333" s="39">
        <f>IF(_xlfn.NORM.INV(R333,C333,'Regressão Grupo 2'!$B$7)&lt;=0,0,IF(_xlfn.NORM.INV(R333,C333,'Regressão Grupo 2'!$B$7)&gt;100%,100%,_xlfn.NORM.INV(R333,C333,'Regressão Grupo 2'!$B$7)))</f>
        <v>1</v>
      </c>
      <c r="F333" s="39">
        <f>IF(_xlfn.NORM.INV(S333,D333,'Regressão Grupo 2'!$B$7)&lt;=0,0,IF(_xlfn.NORM.INV(S333,D333,'Regressão Grupo 2'!$B$7)&gt;100%,100%,_xlfn.NORM.INV(S333,D333,'Regressão Grupo 2'!$B$7)))</f>
        <v>1</v>
      </c>
      <c r="G333" s="41">
        <v>2.8429084551973394E-2</v>
      </c>
      <c r="H333" s="41">
        <v>1.7202334850989313E-2</v>
      </c>
      <c r="I333" s="40">
        <f t="shared" si="62"/>
        <v>0</v>
      </c>
      <c r="J333" s="40">
        <f t="shared" si="63"/>
        <v>344.04669701978628</v>
      </c>
      <c r="K333" s="36">
        <v>0.43371010595965714</v>
      </c>
      <c r="L333" s="42">
        <f t="shared" si="68"/>
        <v>0</v>
      </c>
      <c r="M333" s="42">
        <f t="shared" si="68"/>
        <v>20000</v>
      </c>
      <c r="N333" s="42">
        <f t="shared" si="64"/>
        <v>8674.2021191931435</v>
      </c>
      <c r="O333" s="36">
        <v>6.2652560840478397</v>
      </c>
      <c r="P333" s="42">
        <f t="shared" si="65"/>
        <v>6372.5920700963925</v>
      </c>
      <c r="Q333" s="42"/>
      <c r="R333">
        <v>0.47025971251564075</v>
      </c>
      <c r="S333">
        <v>0.87405011139255961</v>
      </c>
    </row>
    <row r="334" spans="1:19" x14ac:dyDescent="0.25">
      <c r="A334" s="40">
        <f t="shared" si="66"/>
        <v>0</v>
      </c>
      <c r="B334" s="40">
        <f t="shared" si="67"/>
        <v>50</v>
      </c>
      <c r="C334" s="41">
        <f t="shared" si="60"/>
        <v>1.0313000000000001</v>
      </c>
      <c r="D334" s="41">
        <f t="shared" si="61"/>
        <v>0.88000000000000012</v>
      </c>
      <c r="E334" s="39">
        <f>IF(_xlfn.NORM.INV(R334,C334,'Regressão Grupo 2'!$B$7)&lt;=0,0,IF(_xlfn.NORM.INV(R334,C334,'Regressão Grupo 2'!$B$7)&gt;100%,100%,_xlfn.NORM.INV(R334,C334,'Regressão Grupo 2'!$B$7)))</f>
        <v>1</v>
      </c>
      <c r="F334" s="39">
        <f>IF(_xlfn.NORM.INV(S334,D334,'Regressão Grupo 2'!$B$7)&lt;=0,0,IF(_xlfn.NORM.INV(S334,D334,'Regressão Grupo 2'!$B$7)&gt;100%,100%,_xlfn.NORM.INV(S334,D334,'Regressão Grupo 2'!$B$7)))</f>
        <v>0.74743762020008497</v>
      </c>
      <c r="G334" s="41">
        <v>4.3502488952989584E-3</v>
      </c>
      <c r="H334" s="41">
        <v>3.5292298606670303E-3</v>
      </c>
      <c r="I334" s="40">
        <f t="shared" si="62"/>
        <v>0</v>
      </c>
      <c r="J334" s="40">
        <f t="shared" si="63"/>
        <v>52.757583363920851</v>
      </c>
      <c r="K334" s="36">
        <v>0.15324666173079429</v>
      </c>
      <c r="L334" s="42">
        <f t="shared" si="68"/>
        <v>0</v>
      </c>
      <c r="M334" s="42">
        <f t="shared" si="68"/>
        <v>20000</v>
      </c>
      <c r="N334" s="42">
        <f t="shared" si="64"/>
        <v>3064.9332346158858</v>
      </c>
      <c r="O334" s="36">
        <v>6.4124071941356302</v>
      </c>
      <c r="P334" s="42">
        <f t="shared" si="65"/>
        <v>-765.35717352785969</v>
      </c>
      <c r="Q334" s="42"/>
      <c r="R334">
        <v>0.81511886959440905</v>
      </c>
      <c r="S334">
        <v>0.16885891293069247</v>
      </c>
    </row>
    <row r="335" spans="1:19" x14ac:dyDescent="0.25">
      <c r="A335" s="40">
        <f t="shared" si="66"/>
        <v>0</v>
      </c>
      <c r="B335" s="40">
        <f t="shared" si="67"/>
        <v>50</v>
      </c>
      <c r="C335" s="41">
        <f t="shared" si="60"/>
        <v>1.0313000000000001</v>
      </c>
      <c r="D335" s="41">
        <f t="shared" si="61"/>
        <v>0.88000000000000012</v>
      </c>
      <c r="E335" s="39">
        <f>IF(_xlfn.NORM.INV(R335,C335,'Regressão Grupo 2'!$B$7)&lt;=0,0,IF(_xlfn.NORM.INV(R335,C335,'Regressão Grupo 2'!$B$7)&gt;100%,100%,_xlfn.NORM.INV(R335,C335,'Regressão Grupo 2'!$B$7)))</f>
        <v>0.90137648630275535</v>
      </c>
      <c r="F335" s="39">
        <f>IF(_xlfn.NORM.INV(S335,D335,'Regressão Grupo 2'!$B$7)&lt;=0,0,IF(_xlfn.NORM.INV(S335,D335,'Regressão Grupo 2'!$B$7)&gt;100%,100%,_xlfn.NORM.INV(S335,D335,'Regressão Grupo 2'!$B$7)))</f>
        <v>0.94055087994876274</v>
      </c>
      <c r="G335" s="41">
        <v>1.1058883140385996E-2</v>
      </c>
      <c r="H335" s="41">
        <v>2.1306753974784473E-2</v>
      </c>
      <c r="I335" s="40">
        <f t="shared" si="62"/>
        <v>0</v>
      </c>
      <c r="J335" s="40">
        <f t="shared" si="63"/>
        <v>400.8017239967067</v>
      </c>
      <c r="K335" s="36">
        <v>0.16906047421069137</v>
      </c>
      <c r="L335" s="42">
        <f t="shared" si="68"/>
        <v>0</v>
      </c>
      <c r="M335" s="42">
        <f t="shared" si="68"/>
        <v>20000</v>
      </c>
      <c r="N335" s="42">
        <f t="shared" si="64"/>
        <v>3381.2094842138272</v>
      </c>
      <c r="O335" s="36">
        <v>7.5568653684187499</v>
      </c>
      <c r="P335" s="42">
        <f t="shared" si="65"/>
        <v>13630.072047948268</v>
      </c>
      <c r="Q335" s="42"/>
      <c r="R335">
        <v>0.17371135593737602</v>
      </c>
      <c r="S335">
        <v>0.66927091280861839</v>
      </c>
    </row>
    <row r="336" spans="1:19" x14ac:dyDescent="0.25">
      <c r="A336" s="40">
        <f t="shared" si="66"/>
        <v>0</v>
      </c>
      <c r="B336" s="40">
        <f t="shared" si="67"/>
        <v>50</v>
      </c>
      <c r="C336" s="41">
        <f t="shared" si="60"/>
        <v>1.0313000000000001</v>
      </c>
      <c r="D336" s="41">
        <f t="shared" si="61"/>
        <v>0.88000000000000012</v>
      </c>
      <c r="E336" s="39">
        <f>IF(_xlfn.NORM.INV(R336,C336,'Regressão Grupo 2'!$B$7)&lt;=0,0,IF(_xlfn.NORM.INV(R336,C336,'Regressão Grupo 2'!$B$7)&gt;100%,100%,_xlfn.NORM.INV(R336,C336,'Regressão Grupo 2'!$B$7)))</f>
        <v>0.7644103887772622</v>
      </c>
      <c r="F336" s="39">
        <f>IF(_xlfn.NORM.INV(S336,D336,'Regressão Grupo 2'!$B$7)&lt;=0,0,IF(_xlfn.NORM.INV(S336,D336,'Regressão Grupo 2'!$B$7)&gt;100%,100%,_xlfn.NORM.INV(S336,D336,'Regressão Grupo 2'!$B$7)))</f>
        <v>0.99544954067608771</v>
      </c>
      <c r="G336" s="41">
        <v>2.307895431147701E-2</v>
      </c>
      <c r="H336" s="41">
        <v>1.067804614432325E-2</v>
      </c>
      <c r="I336" s="40">
        <f t="shared" si="62"/>
        <v>0</v>
      </c>
      <c r="J336" s="40">
        <f t="shared" si="63"/>
        <v>212.58912259369293</v>
      </c>
      <c r="K336" s="36">
        <v>0.30955428753323783</v>
      </c>
      <c r="L336" s="42">
        <f t="shared" si="68"/>
        <v>0</v>
      </c>
      <c r="M336" s="42">
        <f t="shared" si="68"/>
        <v>20000</v>
      </c>
      <c r="N336" s="42">
        <f t="shared" si="64"/>
        <v>6191.0857506647562</v>
      </c>
      <c r="O336" s="36">
        <v>6.9168068381124241</v>
      </c>
      <c r="P336" s="42">
        <f t="shared" si="65"/>
        <v>2967.9324821555138</v>
      </c>
      <c r="Q336" s="42"/>
      <c r="R336">
        <v>2.6795251319925537E-2</v>
      </c>
      <c r="S336">
        <v>0.79812005981627854</v>
      </c>
    </row>
    <row r="337" spans="1:19" x14ac:dyDescent="0.25">
      <c r="A337" s="40">
        <f t="shared" si="66"/>
        <v>0</v>
      </c>
      <c r="B337" s="40">
        <f t="shared" si="67"/>
        <v>50</v>
      </c>
      <c r="C337" s="41">
        <f t="shared" si="60"/>
        <v>1.0313000000000001</v>
      </c>
      <c r="D337" s="41">
        <f t="shared" si="61"/>
        <v>0.88000000000000012</v>
      </c>
      <c r="E337" s="39">
        <f>IF(_xlfn.NORM.INV(R337,C337,'Regressão Grupo 2'!$B$7)&lt;=0,0,IF(_xlfn.NORM.INV(R337,C337,'Regressão Grupo 2'!$B$7)&gt;100%,100%,_xlfn.NORM.INV(R337,C337,'Regressão Grupo 2'!$B$7)))</f>
        <v>0.96781308497885798</v>
      </c>
      <c r="F337" s="39">
        <f>IF(_xlfn.NORM.INV(S337,D337,'Regressão Grupo 2'!$B$7)&lt;=0,0,IF(_xlfn.NORM.INV(S337,D337,'Regressão Grupo 2'!$B$7)&gt;100%,100%,_xlfn.NORM.INV(S337,D337,'Regressão Grupo 2'!$B$7)))</f>
        <v>0.92213473500006093</v>
      </c>
      <c r="G337" s="41">
        <v>2.1147108805653833E-2</v>
      </c>
      <c r="H337" s="41">
        <v>1.6927883148860012E-2</v>
      </c>
      <c r="I337" s="40">
        <f t="shared" si="62"/>
        <v>0</v>
      </c>
      <c r="J337" s="40">
        <f t="shared" si="63"/>
        <v>312.19578083172053</v>
      </c>
      <c r="K337" s="36">
        <v>0.16984340590833866</v>
      </c>
      <c r="L337" s="42">
        <f t="shared" si="68"/>
        <v>0</v>
      </c>
      <c r="M337" s="42">
        <f t="shared" si="68"/>
        <v>20000</v>
      </c>
      <c r="N337" s="42">
        <f t="shared" si="64"/>
        <v>3396.868118166773</v>
      </c>
      <c r="O337" s="36">
        <v>4.896354502610615</v>
      </c>
      <c r="P337" s="42">
        <f t="shared" si="65"/>
        <v>10684.299706247823</v>
      </c>
      <c r="Q337" s="42"/>
      <c r="R337">
        <v>0.32306894131290625</v>
      </c>
      <c r="S337">
        <v>0.61970885341959903</v>
      </c>
    </row>
    <row r="338" spans="1:19" x14ac:dyDescent="0.25">
      <c r="A338" s="40">
        <f t="shared" si="66"/>
        <v>0</v>
      </c>
      <c r="B338" s="40">
        <f t="shared" si="67"/>
        <v>50</v>
      </c>
      <c r="C338" s="41">
        <f t="shared" si="60"/>
        <v>1.0313000000000001</v>
      </c>
      <c r="D338" s="41">
        <f t="shared" si="61"/>
        <v>0.88000000000000012</v>
      </c>
      <c r="E338" s="39">
        <f>IF(_xlfn.NORM.INV(R338,C338,'Regressão Grupo 2'!$B$7)&lt;=0,0,IF(_xlfn.NORM.INV(R338,C338,'Regressão Grupo 2'!$B$7)&gt;100%,100%,_xlfn.NORM.INV(R338,C338,'Regressão Grupo 2'!$B$7)))</f>
        <v>1</v>
      </c>
      <c r="F338" s="39">
        <f>IF(_xlfn.NORM.INV(S338,D338,'Regressão Grupo 2'!$B$7)&lt;=0,0,IF(_xlfn.NORM.INV(S338,D338,'Regressão Grupo 2'!$B$7)&gt;100%,100%,_xlfn.NORM.INV(S338,D338,'Regressão Grupo 2'!$B$7)))</f>
        <v>0.80290749580804421</v>
      </c>
      <c r="G338" s="41">
        <v>1.5262080894920687E-2</v>
      </c>
      <c r="H338" s="41">
        <v>1.9419104921002985E-2</v>
      </c>
      <c r="I338" s="40">
        <f t="shared" si="62"/>
        <v>0</v>
      </c>
      <c r="J338" s="40">
        <f t="shared" si="63"/>
        <v>311.83489805912347</v>
      </c>
      <c r="K338" s="36">
        <v>0.21417251924609959</v>
      </c>
      <c r="L338" s="42">
        <f t="shared" si="68"/>
        <v>0</v>
      </c>
      <c r="M338" s="42">
        <f t="shared" si="68"/>
        <v>20000</v>
      </c>
      <c r="N338" s="42">
        <f t="shared" si="64"/>
        <v>4283.4503849219918</v>
      </c>
      <c r="O338" s="36">
        <v>4.7602533771994171</v>
      </c>
      <c r="P338" s="42">
        <f t="shared" si="65"/>
        <v>9823.8813914196035</v>
      </c>
      <c r="Q338" s="42"/>
      <c r="R338">
        <v>0.45075838496047854</v>
      </c>
      <c r="S338">
        <v>0.28858302560502946</v>
      </c>
    </row>
    <row r="339" spans="1:19" x14ac:dyDescent="0.25">
      <c r="A339" s="40">
        <f t="shared" si="66"/>
        <v>0</v>
      </c>
      <c r="B339" s="40">
        <f t="shared" si="67"/>
        <v>50</v>
      </c>
      <c r="C339" s="41">
        <f t="shared" si="60"/>
        <v>1.0313000000000001</v>
      </c>
      <c r="D339" s="41">
        <f t="shared" si="61"/>
        <v>0.88000000000000012</v>
      </c>
      <c r="E339" s="39">
        <f>IF(_xlfn.NORM.INV(R339,C339,'Regressão Grupo 2'!$B$7)&lt;=0,0,IF(_xlfn.NORM.INV(R339,C339,'Regressão Grupo 2'!$B$7)&gt;100%,100%,_xlfn.NORM.INV(R339,C339,'Regressão Grupo 2'!$B$7)))</f>
        <v>1</v>
      </c>
      <c r="F339" s="39">
        <f>IF(_xlfn.NORM.INV(S339,D339,'Regressão Grupo 2'!$B$7)&lt;=0,0,IF(_xlfn.NORM.INV(S339,D339,'Regressão Grupo 2'!$B$7)&gt;100%,100%,_xlfn.NORM.INV(S339,D339,'Regressão Grupo 2'!$B$7)))</f>
        <v>0.92519240684369286</v>
      </c>
      <c r="G339" s="41">
        <v>2.265706371189137E-2</v>
      </c>
      <c r="H339" s="41">
        <v>1.1983370941555837E-2</v>
      </c>
      <c r="I339" s="40">
        <f t="shared" si="62"/>
        <v>0</v>
      </c>
      <c r="J339" s="40">
        <f t="shared" si="63"/>
        <v>221.73847607037629</v>
      </c>
      <c r="K339" s="36">
        <v>0.37083778594113376</v>
      </c>
      <c r="L339" s="42">
        <f t="shared" si="68"/>
        <v>0</v>
      </c>
      <c r="M339" s="42">
        <f t="shared" si="68"/>
        <v>20000</v>
      </c>
      <c r="N339" s="42">
        <f t="shared" si="64"/>
        <v>7416.7557188226756</v>
      </c>
      <c r="O339" s="36">
        <v>8.6448988560814328</v>
      </c>
      <c r="P339" s="42">
        <f t="shared" si="65"/>
        <v>1753.2613865661033</v>
      </c>
      <c r="Q339" s="42"/>
      <c r="R339">
        <v>0.80117191076387828</v>
      </c>
      <c r="S339">
        <v>0.62810144352549824</v>
      </c>
    </row>
    <row r="340" spans="1:19" x14ac:dyDescent="0.25">
      <c r="A340" s="40">
        <f t="shared" si="66"/>
        <v>0</v>
      </c>
      <c r="B340" s="40">
        <f t="shared" si="67"/>
        <v>50</v>
      </c>
      <c r="C340" s="41">
        <f t="shared" si="60"/>
        <v>1.0313000000000001</v>
      </c>
      <c r="D340" s="41">
        <f t="shared" si="61"/>
        <v>0.88000000000000012</v>
      </c>
      <c r="E340" s="39">
        <f>IF(_xlfn.NORM.INV(R340,C340,'Regressão Grupo 2'!$B$7)&lt;=0,0,IF(_xlfn.NORM.INV(R340,C340,'Regressão Grupo 2'!$B$7)&gt;100%,100%,_xlfn.NORM.INV(R340,C340,'Regressão Grupo 2'!$B$7)))</f>
        <v>0.92670996506867276</v>
      </c>
      <c r="F340" s="39">
        <f>IF(_xlfn.NORM.INV(S340,D340,'Regressão Grupo 2'!$B$7)&lt;=0,0,IF(_xlfn.NORM.INV(S340,D340,'Regressão Grupo 2'!$B$7)&gt;100%,100%,_xlfn.NORM.INV(S340,D340,'Regressão Grupo 2'!$B$7)))</f>
        <v>0.75772391875915612</v>
      </c>
      <c r="G340" s="41">
        <v>1.1431969165235863E-2</v>
      </c>
      <c r="H340" s="41">
        <v>9.7260458935426123E-3</v>
      </c>
      <c r="I340" s="40">
        <f t="shared" si="62"/>
        <v>0</v>
      </c>
      <c r="J340" s="40">
        <f t="shared" si="63"/>
        <v>147.39315216973014</v>
      </c>
      <c r="K340" s="36">
        <v>0.20561741276865214</v>
      </c>
      <c r="L340" s="42">
        <f t="shared" si="68"/>
        <v>0</v>
      </c>
      <c r="M340" s="42">
        <f t="shared" si="68"/>
        <v>20000</v>
      </c>
      <c r="N340" s="42">
        <f t="shared" si="64"/>
        <v>4112.3482553730428</v>
      </c>
      <c r="O340" s="36">
        <v>6.5288262971131026</v>
      </c>
      <c r="P340" s="42">
        <f t="shared" si="65"/>
        <v>2295.0050652133377</v>
      </c>
      <c r="Q340" s="42"/>
      <c r="R340">
        <v>0.22470778527176732</v>
      </c>
      <c r="S340">
        <v>0.18826868495742669</v>
      </c>
    </row>
    <row r="341" spans="1:19" x14ac:dyDescent="0.25">
      <c r="A341" s="40">
        <f t="shared" si="66"/>
        <v>0</v>
      </c>
      <c r="B341" s="40">
        <f t="shared" si="67"/>
        <v>50</v>
      </c>
      <c r="C341" s="41">
        <f t="shared" si="60"/>
        <v>1.0313000000000001</v>
      </c>
      <c r="D341" s="41">
        <f t="shared" si="61"/>
        <v>0.88000000000000012</v>
      </c>
      <c r="E341" s="39">
        <f>IF(_xlfn.NORM.INV(R341,C341,'Regressão Grupo 2'!$B$7)&lt;=0,0,IF(_xlfn.NORM.INV(R341,C341,'Regressão Grupo 2'!$B$7)&gt;100%,100%,_xlfn.NORM.INV(R341,C341,'Regressão Grupo 2'!$B$7)))</f>
        <v>1</v>
      </c>
      <c r="F341" s="39">
        <f>IF(_xlfn.NORM.INV(S341,D341,'Regressão Grupo 2'!$B$7)&lt;=0,0,IF(_xlfn.NORM.INV(S341,D341,'Regressão Grupo 2'!$B$7)&gt;100%,100%,_xlfn.NORM.INV(S341,D341,'Regressão Grupo 2'!$B$7)))</f>
        <v>0.85640847772094719</v>
      </c>
      <c r="G341" s="41">
        <v>1.8290221140522103E-2</v>
      </c>
      <c r="H341" s="41">
        <v>2.1399946963673387E-2</v>
      </c>
      <c r="I341" s="40">
        <f t="shared" si="62"/>
        <v>0</v>
      </c>
      <c r="J341" s="40">
        <f t="shared" si="63"/>
        <v>366.54192004937062</v>
      </c>
      <c r="K341" s="36">
        <v>0.35214885676454755</v>
      </c>
      <c r="L341" s="42">
        <f t="shared" si="68"/>
        <v>0</v>
      </c>
      <c r="M341" s="42">
        <f t="shared" si="68"/>
        <v>20000</v>
      </c>
      <c r="N341" s="42">
        <f t="shared" si="64"/>
        <v>7042.9771352909511</v>
      </c>
      <c r="O341" s="36">
        <v>5.6864171514640605</v>
      </c>
      <c r="P341" s="42">
        <f t="shared" si="65"/>
        <v>9199.8086062782677</v>
      </c>
      <c r="Q341" s="42"/>
      <c r="R341">
        <v>0.57960753196813863</v>
      </c>
      <c r="S341">
        <v>0.43226416821802421</v>
      </c>
    </row>
    <row r="342" spans="1:19" x14ac:dyDescent="0.25">
      <c r="A342" s="40">
        <f t="shared" si="66"/>
        <v>0</v>
      </c>
      <c r="B342" s="40">
        <f t="shared" si="67"/>
        <v>50</v>
      </c>
      <c r="C342" s="41">
        <f t="shared" si="60"/>
        <v>1.0313000000000001</v>
      </c>
      <c r="D342" s="41">
        <f t="shared" si="61"/>
        <v>0.88000000000000012</v>
      </c>
      <c r="E342" s="39">
        <f>IF(_xlfn.NORM.INV(R342,C342,'Regressão Grupo 2'!$B$7)&lt;=0,0,IF(_xlfn.NORM.INV(R342,C342,'Regressão Grupo 2'!$B$7)&gt;100%,100%,_xlfn.NORM.INV(R342,C342,'Regressão Grupo 2'!$B$7)))</f>
        <v>1</v>
      </c>
      <c r="F342" s="39">
        <f>IF(_xlfn.NORM.INV(S342,D342,'Regressão Grupo 2'!$B$7)&lt;=0,0,IF(_xlfn.NORM.INV(S342,D342,'Regressão Grupo 2'!$B$7)&gt;100%,100%,_xlfn.NORM.INV(S342,D342,'Regressão Grupo 2'!$B$7)))</f>
        <v>0.84089145970023604</v>
      </c>
      <c r="G342" s="41">
        <v>4.0609738344252744E-3</v>
      </c>
      <c r="H342" s="41">
        <v>1.754618272918896E-2</v>
      </c>
      <c r="I342" s="40">
        <f t="shared" si="62"/>
        <v>0</v>
      </c>
      <c r="J342" s="40">
        <f t="shared" si="63"/>
        <v>295.08870414629553</v>
      </c>
      <c r="K342" s="36">
        <v>0.36735182212703565</v>
      </c>
      <c r="L342" s="42">
        <f t="shared" si="68"/>
        <v>0</v>
      </c>
      <c r="M342" s="42">
        <f t="shared" si="68"/>
        <v>20000</v>
      </c>
      <c r="N342" s="42">
        <f t="shared" si="64"/>
        <v>7347.0364425407133</v>
      </c>
      <c r="O342" s="36">
        <v>3.3248722185742192</v>
      </c>
      <c r="P342" s="42">
        <f t="shared" si="65"/>
        <v>6426.2665303429785</v>
      </c>
      <c r="Q342" s="42"/>
      <c r="R342">
        <v>0.67677846613971371</v>
      </c>
      <c r="S342">
        <v>0.38865321817682424</v>
      </c>
    </row>
    <row r="343" spans="1:19" x14ac:dyDescent="0.25">
      <c r="A343" s="40">
        <f t="shared" si="66"/>
        <v>0</v>
      </c>
      <c r="B343" s="40">
        <f t="shared" si="67"/>
        <v>50</v>
      </c>
      <c r="C343" s="41">
        <f t="shared" si="60"/>
        <v>1.0313000000000001</v>
      </c>
      <c r="D343" s="41">
        <f t="shared" si="61"/>
        <v>0.88000000000000012</v>
      </c>
      <c r="E343" s="39">
        <f>IF(_xlfn.NORM.INV(R343,C343,'Regressão Grupo 2'!$B$7)&lt;=0,0,IF(_xlfn.NORM.INV(R343,C343,'Regressão Grupo 2'!$B$7)&gt;100%,100%,_xlfn.NORM.INV(R343,C343,'Regressão Grupo 2'!$B$7)))</f>
        <v>1</v>
      </c>
      <c r="F343" s="39">
        <f>IF(_xlfn.NORM.INV(S343,D343,'Regressão Grupo 2'!$B$7)&lt;=0,0,IF(_xlfn.NORM.INV(S343,D343,'Regressão Grupo 2'!$B$7)&gt;100%,100%,_xlfn.NORM.INV(S343,D343,'Regressão Grupo 2'!$B$7)))</f>
        <v>0.81289439926453377</v>
      </c>
      <c r="G343" s="41">
        <v>2.109339564175091E-2</v>
      </c>
      <c r="H343" s="41">
        <v>2.7605338867125573E-2</v>
      </c>
      <c r="I343" s="40">
        <f t="shared" si="62"/>
        <v>0</v>
      </c>
      <c r="J343" s="40">
        <f t="shared" si="63"/>
        <v>448.80450709771856</v>
      </c>
      <c r="K343" s="36">
        <v>0.35371933109339371</v>
      </c>
      <c r="L343" s="42">
        <f t="shared" ref="L343:M358" si="69">L342</f>
        <v>0</v>
      </c>
      <c r="M343" s="42">
        <f t="shared" si="69"/>
        <v>20000</v>
      </c>
      <c r="N343" s="42">
        <f t="shared" si="64"/>
        <v>7074.3866218678741</v>
      </c>
      <c r="O343" s="36">
        <v>10.069944758979123</v>
      </c>
      <c r="P343" s="42">
        <f t="shared" si="65"/>
        <v>10846.402138963174</v>
      </c>
      <c r="Q343" s="42"/>
      <c r="R343">
        <v>0.85775322733237713</v>
      </c>
      <c r="S343">
        <v>0.31373027741325116</v>
      </c>
    </row>
    <row r="344" spans="1:19" x14ac:dyDescent="0.25">
      <c r="A344" s="40">
        <f t="shared" si="66"/>
        <v>0</v>
      </c>
      <c r="B344" s="40">
        <f t="shared" si="67"/>
        <v>50</v>
      </c>
      <c r="C344" s="41">
        <f t="shared" si="60"/>
        <v>1.0313000000000001</v>
      </c>
      <c r="D344" s="41">
        <f t="shared" si="61"/>
        <v>0.88000000000000012</v>
      </c>
      <c r="E344" s="39">
        <f>IF(_xlfn.NORM.INV(R344,C344,'Regressão Grupo 2'!$B$7)&lt;=0,0,IF(_xlfn.NORM.INV(R344,C344,'Regressão Grupo 2'!$B$7)&gt;100%,100%,_xlfn.NORM.INV(R344,C344,'Regressão Grupo 2'!$B$7)))</f>
        <v>1</v>
      </c>
      <c r="F344" s="39">
        <f>IF(_xlfn.NORM.INV(S344,D344,'Regressão Grupo 2'!$B$7)&lt;=0,0,IF(_xlfn.NORM.INV(S344,D344,'Regressão Grupo 2'!$B$7)&gt;100%,100%,_xlfn.NORM.INV(S344,D344,'Regressão Grupo 2'!$B$7)))</f>
        <v>0.97415363375234487</v>
      </c>
      <c r="G344" s="41">
        <v>2.1097301388122318E-2</v>
      </c>
      <c r="H344" s="41">
        <v>1.1149023199702075E-3</v>
      </c>
      <c r="I344" s="40">
        <f t="shared" si="62"/>
        <v>0</v>
      </c>
      <c r="J344" s="40">
        <f t="shared" si="63"/>
        <v>21.721722925557941</v>
      </c>
      <c r="K344" s="36">
        <v>0.28705961007620751</v>
      </c>
      <c r="L344" s="42">
        <f t="shared" si="69"/>
        <v>0</v>
      </c>
      <c r="M344" s="42">
        <f t="shared" si="69"/>
        <v>20000</v>
      </c>
      <c r="N344" s="42">
        <f t="shared" si="64"/>
        <v>5741.1922015241498</v>
      </c>
      <c r="O344" s="36">
        <v>3.1310889450837518</v>
      </c>
      <c r="P344" s="42">
        <f t="shared" si="65"/>
        <v>-4723.1187017666398</v>
      </c>
      <c r="Q344" s="42"/>
      <c r="R344">
        <v>0.82433545945616016</v>
      </c>
      <c r="S344">
        <v>0.75203711050752287</v>
      </c>
    </row>
    <row r="345" spans="1:19" x14ac:dyDescent="0.25">
      <c r="A345" s="40">
        <f t="shared" si="66"/>
        <v>0</v>
      </c>
      <c r="B345" s="40">
        <f t="shared" si="67"/>
        <v>50</v>
      </c>
      <c r="C345" s="41">
        <f t="shared" si="60"/>
        <v>1.0313000000000001</v>
      </c>
      <c r="D345" s="41">
        <f t="shared" si="61"/>
        <v>0.88000000000000012</v>
      </c>
      <c r="E345" s="39">
        <f>IF(_xlfn.NORM.INV(R345,C345,'Regressão Grupo 2'!$B$7)&lt;=0,0,IF(_xlfn.NORM.INV(R345,C345,'Regressão Grupo 2'!$B$7)&gt;100%,100%,_xlfn.NORM.INV(R345,C345,'Regressão Grupo 2'!$B$7)))</f>
        <v>1</v>
      </c>
      <c r="F345" s="39">
        <f>IF(_xlfn.NORM.INV(S345,D345,'Regressão Grupo 2'!$B$7)&lt;=0,0,IF(_xlfn.NORM.INV(S345,D345,'Regressão Grupo 2'!$B$7)&gt;100%,100%,_xlfn.NORM.INV(S345,D345,'Regressão Grupo 2'!$B$7)))</f>
        <v>1</v>
      </c>
      <c r="G345" s="41">
        <v>1.1653957540367636E-2</v>
      </c>
      <c r="H345" s="41">
        <v>6.7382202145673201E-3</v>
      </c>
      <c r="I345" s="40">
        <f t="shared" si="62"/>
        <v>0</v>
      </c>
      <c r="J345" s="40">
        <f t="shared" si="63"/>
        <v>134.76440429134641</v>
      </c>
      <c r="K345" s="36">
        <v>0.32795055572235893</v>
      </c>
      <c r="L345" s="42">
        <f t="shared" si="69"/>
        <v>0</v>
      </c>
      <c r="M345" s="42">
        <f t="shared" si="69"/>
        <v>20000</v>
      </c>
      <c r="N345" s="42">
        <f t="shared" si="64"/>
        <v>6559.0111144471784</v>
      </c>
      <c r="O345" s="36">
        <v>6.3010256633440518</v>
      </c>
      <c r="P345" s="42">
        <f t="shared" si="65"/>
        <v>-669.94486982490525</v>
      </c>
      <c r="Q345" s="42"/>
      <c r="R345">
        <v>0.80480361339152195</v>
      </c>
      <c r="S345">
        <v>0.99566637165440841</v>
      </c>
    </row>
    <row r="346" spans="1:19" x14ac:dyDescent="0.25">
      <c r="A346" s="40">
        <f t="shared" si="66"/>
        <v>0</v>
      </c>
      <c r="B346" s="40">
        <f t="shared" si="67"/>
        <v>50</v>
      </c>
      <c r="C346" s="41">
        <f t="shared" si="60"/>
        <v>1.0313000000000001</v>
      </c>
      <c r="D346" s="41">
        <f t="shared" si="61"/>
        <v>0.88000000000000012</v>
      </c>
      <c r="E346" s="39">
        <f>IF(_xlfn.NORM.INV(R346,C346,'Regressão Grupo 2'!$B$7)&lt;=0,0,IF(_xlfn.NORM.INV(R346,C346,'Regressão Grupo 2'!$B$7)&gt;100%,100%,_xlfn.NORM.INV(R346,C346,'Regressão Grupo 2'!$B$7)))</f>
        <v>0.96070996587478497</v>
      </c>
      <c r="F346" s="39">
        <f>IF(_xlfn.NORM.INV(S346,D346,'Regressão Grupo 2'!$B$7)&lt;=0,0,IF(_xlfn.NORM.INV(S346,D346,'Regressão Grupo 2'!$B$7)&gt;100%,100%,_xlfn.NORM.INV(S346,D346,'Regressão Grupo 2'!$B$7)))</f>
        <v>0.86065896256412155</v>
      </c>
      <c r="G346" s="41">
        <v>1.9790848631433346E-2</v>
      </c>
      <c r="H346" s="41">
        <v>2.4348882274289871E-2</v>
      </c>
      <c r="I346" s="40">
        <f t="shared" si="62"/>
        <v>0</v>
      </c>
      <c r="J346" s="40">
        <f t="shared" si="63"/>
        <v>419.12167515572497</v>
      </c>
      <c r="K346" s="36">
        <v>0.2858171345902315</v>
      </c>
      <c r="L346" s="42">
        <f t="shared" si="69"/>
        <v>0</v>
      </c>
      <c r="M346" s="42">
        <f t="shared" si="69"/>
        <v>20000</v>
      </c>
      <c r="N346" s="42">
        <f t="shared" si="64"/>
        <v>5716.3426918046298</v>
      </c>
      <c r="O346" s="36">
        <v>3.826760883506136</v>
      </c>
      <c r="P346" s="42">
        <f t="shared" si="65"/>
        <v>13635.862634066123</v>
      </c>
      <c r="Q346" s="42"/>
      <c r="R346">
        <v>0.30484939115573595</v>
      </c>
      <c r="S346">
        <v>0.44438001647999514</v>
      </c>
    </row>
    <row r="347" spans="1:19" x14ac:dyDescent="0.25">
      <c r="A347" s="40">
        <f t="shared" si="66"/>
        <v>0</v>
      </c>
      <c r="B347" s="40">
        <f t="shared" si="67"/>
        <v>50</v>
      </c>
      <c r="C347" s="41">
        <f t="shared" si="60"/>
        <v>1.0313000000000001</v>
      </c>
      <c r="D347" s="41">
        <f t="shared" si="61"/>
        <v>0.88000000000000012</v>
      </c>
      <c r="E347" s="39">
        <f>IF(_xlfn.NORM.INV(R347,C347,'Regressão Grupo 2'!$B$7)&lt;=0,0,IF(_xlfn.NORM.INV(R347,C347,'Regressão Grupo 2'!$B$7)&gt;100%,100%,_xlfn.NORM.INV(R347,C347,'Regressão Grupo 2'!$B$7)))</f>
        <v>0.90841281304920163</v>
      </c>
      <c r="F347" s="39">
        <f>IF(_xlfn.NORM.INV(S347,D347,'Regressão Grupo 2'!$B$7)&lt;=0,0,IF(_xlfn.NORM.INV(S347,D347,'Regressão Grupo 2'!$B$7)&gt;100%,100%,_xlfn.NORM.INV(S347,D347,'Regressão Grupo 2'!$B$7)))</f>
        <v>1</v>
      </c>
      <c r="G347" s="41">
        <v>1.1190909329711504E-2</v>
      </c>
      <c r="H347" s="41">
        <v>2.0505358224427755E-2</v>
      </c>
      <c r="I347" s="40">
        <f t="shared" si="62"/>
        <v>0</v>
      </c>
      <c r="J347" s="40">
        <f t="shared" si="63"/>
        <v>410.1071644885551</v>
      </c>
      <c r="K347" s="36">
        <v>0.34106650076923878</v>
      </c>
      <c r="L347" s="42">
        <f t="shared" si="69"/>
        <v>0</v>
      </c>
      <c r="M347" s="42">
        <f t="shared" si="69"/>
        <v>20000</v>
      </c>
      <c r="N347" s="42">
        <f t="shared" si="64"/>
        <v>6821.3300153847758</v>
      </c>
      <c r="O347" s="36">
        <v>5.7769457013664596</v>
      </c>
      <c r="P347" s="42">
        <f t="shared" si="65"/>
        <v>11314.861388051233</v>
      </c>
      <c r="Q347" s="42"/>
      <c r="R347">
        <v>0.1870784630878628</v>
      </c>
      <c r="S347">
        <v>0.88671529282509842</v>
      </c>
    </row>
    <row r="348" spans="1:19" x14ac:dyDescent="0.25">
      <c r="A348" s="40">
        <f t="shared" si="66"/>
        <v>0</v>
      </c>
      <c r="B348" s="40">
        <f t="shared" si="67"/>
        <v>50</v>
      </c>
      <c r="C348" s="41">
        <f t="shared" si="60"/>
        <v>1.0313000000000001</v>
      </c>
      <c r="D348" s="41">
        <f t="shared" si="61"/>
        <v>0.88000000000000012</v>
      </c>
      <c r="E348" s="39">
        <f>IF(_xlfn.NORM.INV(R348,C348,'Regressão Grupo 2'!$B$7)&lt;=0,0,IF(_xlfn.NORM.INV(R348,C348,'Regressão Grupo 2'!$B$7)&gt;100%,100%,_xlfn.NORM.INV(R348,C348,'Regressão Grupo 2'!$B$7)))</f>
        <v>0.94647257758683234</v>
      </c>
      <c r="F348" s="39">
        <f>IF(_xlfn.NORM.INV(S348,D348,'Regressão Grupo 2'!$B$7)&lt;=0,0,IF(_xlfn.NORM.INV(S348,D348,'Regressão Grupo 2'!$B$7)&gt;100%,100%,_xlfn.NORM.INV(S348,D348,'Regressão Grupo 2'!$B$7)))</f>
        <v>0.83748837007396304</v>
      </c>
      <c r="G348" s="41">
        <v>2.2313229804836826E-2</v>
      </c>
      <c r="H348" s="41">
        <v>1.5846390317960788E-2</v>
      </c>
      <c r="I348" s="40">
        <f t="shared" si="62"/>
        <v>0</v>
      </c>
      <c r="J348" s="40">
        <f t="shared" si="63"/>
        <v>265.42335197889616</v>
      </c>
      <c r="K348" s="36">
        <v>0.31646988043734581</v>
      </c>
      <c r="L348" s="42">
        <f t="shared" si="69"/>
        <v>0</v>
      </c>
      <c r="M348" s="42">
        <f t="shared" si="69"/>
        <v>20000</v>
      </c>
      <c r="N348" s="42">
        <f t="shared" si="64"/>
        <v>6329.3976087469164</v>
      </c>
      <c r="O348" s="36">
        <v>4.3673111156253412</v>
      </c>
      <c r="P348" s="42">
        <f t="shared" si="65"/>
        <v>5782.5836347539225</v>
      </c>
      <c r="Q348" s="42"/>
      <c r="R348">
        <v>0.26978362376781517</v>
      </c>
      <c r="S348">
        <v>0.3792535172582171</v>
      </c>
    </row>
    <row r="349" spans="1:19" x14ac:dyDescent="0.25">
      <c r="A349" s="40">
        <f t="shared" si="66"/>
        <v>0</v>
      </c>
      <c r="B349" s="40">
        <f t="shared" si="67"/>
        <v>50</v>
      </c>
      <c r="C349" s="41">
        <f t="shared" si="60"/>
        <v>1.0313000000000001</v>
      </c>
      <c r="D349" s="41">
        <f t="shared" si="61"/>
        <v>0.88000000000000012</v>
      </c>
      <c r="E349" s="39">
        <f>IF(_xlfn.NORM.INV(R349,C349,'Regressão Grupo 2'!$B$7)&lt;=0,0,IF(_xlfn.NORM.INV(R349,C349,'Regressão Grupo 2'!$B$7)&gt;100%,100%,_xlfn.NORM.INV(R349,C349,'Regressão Grupo 2'!$B$7)))</f>
        <v>1</v>
      </c>
      <c r="F349" s="39">
        <f>IF(_xlfn.NORM.INV(S349,D349,'Regressão Grupo 2'!$B$7)&lt;=0,0,IF(_xlfn.NORM.INV(S349,D349,'Regressão Grupo 2'!$B$7)&gt;100%,100%,_xlfn.NORM.INV(S349,D349,'Regressão Grupo 2'!$B$7)))</f>
        <v>0.81795535357009652</v>
      </c>
      <c r="G349" s="41">
        <v>4.9778184009684426E-3</v>
      </c>
      <c r="H349" s="41">
        <v>1.659364650715597E-2</v>
      </c>
      <c r="I349" s="40">
        <f t="shared" si="62"/>
        <v>0</v>
      </c>
      <c r="J349" s="40">
        <f t="shared" si="63"/>
        <v>271.45723991555917</v>
      </c>
      <c r="K349" s="36">
        <v>0.37117922755877641</v>
      </c>
      <c r="L349" s="42">
        <f t="shared" si="69"/>
        <v>0</v>
      </c>
      <c r="M349" s="42">
        <f t="shared" si="69"/>
        <v>20000</v>
      </c>
      <c r="N349" s="42">
        <f t="shared" si="64"/>
        <v>7423.5845511755278</v>
      </c>
      <c r="O349" s="36">
        <v>7.8213764817968388</v>
      </c>
      <c r="P349" s="42">
        <f t="shared" si="65"/>
        <v>4026.1081725133945</v>
      </c>
      <c r="Q349" s="42"/>
      <c r="R349">
        <v>0.66100039674062316</v>
      </c>
      <c r="S349">
        <v>0.32682271797845391</v>
      </c>
    </row>
    <row r="350" spans="1:19" x14ac:dyDescent="0.25">
      <c r="A350" s="40">
        <f t="shared" si="66"/>
        <v>0</v>
      </c>
      <c r="B350" s="40">
        <f t="shared" si="67"/>
        <v>50</v>
      </c>
      <c r="C350" s="41">
        <f t="shared" si="60"/>
        <v>1.0313000000000001</v>
      </c>
      <c r="D350" s="41">
        <f t="shared" si="61"/>
        <v>0.88000000000000012</v>
      </c>
      <c r="E350" s="39">
        <f>IF(_xlfn.NORM.INV(R350,C350,'Regressão Grupo 2'!$B$7)&lt;=0,0,IF(_xlfn.NORM.INV(R350,C350,'Regressão Grupo 2'!$B$7)&gt;100%,100%,_xlfn.NORM.INV(R350,C350,'Regressão Grupo 2'!$B$7)))</f>
        <v>0.94746628910381858</v>
      </c>
      <c r="F350" s="39">
        <f>IF(_xlfn.NORM.INV(S350,D350,'Regressão Grupo 2'!$B$7)&lt;=0,0,IF(_xlfn.NORM.INV(S350,D350,'Regressão Grupo 2'!$B$7)&gt;100%,100%,_xlfn.NORM.INV(S350,D350,'Regressão Grupo 2'!$B$7)))</f>
        <v>0.94438152753876503</v>
      </c>
      <c r="G350" s="41">
        <v>2.2300266045051313E-2</v>
      </c>
      <c r="H350" s="41">
        <v>1.7393216909065461E-2</v>
      </c>
      <c r="I350" s="40">
        <f t="shared" si="62"/>
        <v>0</v>
      </c>
      <c r="J350" s="40">
        <f t="shared" si="63"/>
        <v>328.51665506792637</v>
      </c>
      <c r="K350" s="36">
        <v>0.35525849660138487</v>
      </c>
      <c r="L350" s="42">
        <f t="shared" si="69"/>
        <v>0</v>
      </c>
      <c r="M350" s="42">
        <f t="shared" si="69"/>
        <v>20000</v>
      </c>
      <c r="N350" s="42">
        <f t="shared" si="64"/>
        <v>7105.1699320276975</v>
      </c>
      <c r="O350" s="36">
        <v>6.03247207699365</v>
      </c>
      <c r="P350" s="42">
        <f t="shared" si="65"/>
        <v>7338.895272843999</v>
      </c>
      <c r="Q350" s="42"/>
      <c r="R350">
        <v>0.27216406750694294</v>
      </c>
      <c r="S350">
        <v>0.67925046540726952</v>
      </c>
    </row>
    <row r="351" spans="1:19" x14ac:dyDescent="0.25">
      <c r="A351" s="40">
        <f t="shared" si="66"/>
        <v>0</v>
      </c>
      <c r="B351" s="40">
        <f t="shared" si="67"/>
        <v>50</v>
      </c>
      <c r="C351" s="41">
        <f t="shared" si="60"/>
        <v>1.0313000000000001</v>
      </c>
      <c r="D351" s="41">
        <f t="shared" si="61"/>
        <v>0.88000000000000012</v>
      </c>
      <c r="E351" s="39">
        <f>IF(_xlfn.NORM.INV(R351,C351,'Regressão Grupo 2'!$B$7)&lt;=0,0,IF(_xlfn.NORM.INV(R351,C351,'Regressão Grupo 2'!$B$7)&gt;100%,100%,_xlfn.NORM.INV(R351,C351,'Regressão Grupo 2'!$B$7)))</f>
        <v>0.72484486832641548</v>
      </c>
      <c r="F351" s="39">
        <f>IF(_xlfn.NORM.INV(S351,D351,'Regressão Grupo 2'!$B$7)&lt;=0,0,IF(_xlfn.NORM.INV(S351,D351,'Regressão Grupo 2'!$B$7)&gt;100%,100%,_xlfn.NORM.INV(S351,D351,'Regressão Grupo 2'!$B$7)))</f>
        <v>1</v>
      </c>
      <c r="G351" s="41">
        <v>2.4187672094616239E-2</v>
      </c>
      <c r="H351" s="41">
        <v>1.7364279479091638E-2</v>
      </c>
      <c r="I351" s="40">
        <f t="shared" si="62"/>
        <v>0</v>
      </c>
      <c r="J351" s="40">
        <f t="shared" si="63"/>
        <v>347.28558958183277</v>
      </c>
      <c r="K351" s="36">
        <v>0.31579878640590187</v>
      </c>
      <c r="L351" s="42">
        <f t="shared" si="69"/>
        <v>0</v>
      </c>
      <c r="M351" s="42">
        <f t="shared" si="69"/>
        <v>20000</v>
      </c>
      <c r="N351" s="42">
        <f t="shared" si="64"/>
        <v>6315.9757281180373</v>
      </c>
      <c r="O351" s="36">
        <v>3.8405664081671245</v>
      </c>
      <c r="P351" s="42">
        <f t="shared" si="65"/>
        <v>9714.5303815850984</v>
      </c>
      <c r="Q351" s="42"/>
      <c r="R351">
        <v>1.3336588641010774E-2</v>
      </c>
      <c r="S351">
        <v>0.99108859523300885</v>
      </c>
    </row>
    <row r="352" spans="1:19" x14ac:dyDescent="0.25">
      <c r="A352" s="40">
        <f t="shared" si="66"/>
        <v>0</v>
      </c>
      <c r="B352" s="40">
        <f t="shared" si="67"/>
        <v>50</v>
      </c>
      <c r="C352" s="41">
        <f t="shared" si="60"/>
        <v>1.0313000000000001</v>
      </c>
      <c r="D352" s="41">
        <f t="shared" si="61"/>
        <v>0.88000000000000012</v>
      </c>
      <c r="E352" s="39">
        <f>IF(_xlfn.NORM.INV(R352,C352,'Regressão Grupo 2'!$B$7)&lt;=0,0,IF(_xlfn.NORM.INV(R352,C352,'Regressão Grupo 2'!$B$7)&gt;100%,100%,_xlfn.NORM.INV(R352,C352,'Regressão Grupo 2'!$B$7)))</f>
        <v>1</v>
      </c>
      <c r="F352" s="39">
        <f>IF(_xlfn.NORM.INV(S352,D352,'Regressão Grupo 2'!$B$7)&lt;=0,0,IF(_xlfn.NORM.INV(S352,D352,'Regressão Grupo 2'!$B$7)&gt;100%,100%,_xlfn.NORM.INV(S352,D352,'Regressão Grupo 2'!$B$7)))</f>
        <v>0.90141556855436289</v>
      </c>
      <c r="G352" s="41">
        <v>1.1937792050449043E-2</v>
      </c>
      <c r="H352" s="41">
        <v>1.9254846866823886E-2</v>
      </c>
      <c r="I352" s="40">
        <f t="shared" si="62"/>
        <v>0</v>
      </c>
      <c r="J352" s="40">
        <f t="shared" si="63"/>
        <v>347.13237471770492</v>
      </c>
      <c r="K352" s="36">
        <v>0.37977621203180956</v>
      </c>
      <c r="L352" s="42">
        <f t="shared" si="69"/>
        <v>0</v>
      </c>
      <c r="M352" s="42">
        <f t="shared" si="69"/>
        <v>20000</v>
      </c>
      <c r="N352" s="42">
        <f t="shared" si="64"/>
        <v>7595.5242406361913</v>
      </c>
      <c r="O352" s="36">
        <v>6.8977241046613225</v>
      </c>
      <c r="P352" s="42">
        <f t="shared" si="65"/>
        <v>7366.6711466504157</v>
      </c>
      <c r="Q352" s="42"/>
      <c r="R352">
        <v>0.67989135410626544</v>
      </c>
      <c r="S352">
        <v>0.56154057435834837</v>
      </c>
    </row>
    <row r="353" spans="1:19" x14ac:dyDescent="0.25">
      <c r="A353" s="40">
        <f t="shared" si="66"/>
        <v>0</v>
      </c>
      <c r="B353" s="40">
        <f t="shared" si="67"/>
        <v>50</v>
      </c>
      <c r="C353" s="41">
        <f t="shared" si="60"/>
        <v>1.0313000000000001</v>
      </c>
      <c r="D353" s="41">
        <f t="shared" si="61"/>
        <v>0.88000000000000012</v>
      </c>
      <c r="E353" s="39">
        <f>IF(_xlfn.NORM.INV(R353,C353,'Regressão Grupo 2'!$B$7)&lt;=0,0,IF(_xlfn.NORM.INV(R353,C353,'Regressão Grupo 2'!$B$7)&gt;100%,100%,_xlfn.NORM.INV(R353,C353,'Regressão Grupo 2'!$B$7)))</f>
        <v>0.87581272607177019</v>
      </c>
      <c r="F353" s="39">
        <f>IF(_xlfn.NORM.INV(S353,D353,'Regressão Grupo 2'!$B$7)&lt;=0,0,IF(_xlfn.NORM.INV(S353,D353,'Regressão Grupo 2'!$B$7)&gt;100%,100%,_xlfn.NORM.INV(S353,D353,'Regressão Grupo 2'!$B$7)))</f>
        <v>0.70892471176675886</v>
      </c>
      <c r="G353" s="41">
        <v>2.6118903464435E-2</v>
      </c>
      <c r="H353" s="41">
        <v>2.0095589757449898E-2</v>
      </c>
      <c r="I353" s="40">
        <f t="shared" si="62"/>
        <v>0</v>
      </c>
      <c r="J353" s="40">
        <f t="shared" si="63"/>
        <v>284.92520353166401</v>
      </c>
      <c r="K353" s="36">
        <v>0.2278454219137192</v>
      </c>
      <c r="L353" s="42">
        <f t="shared" si="69"/>
        <v>0</v>
      </c>
      <c r="M353" s="42">
        <f t="shared" si="69"/>
        <v>20000</v>
      </c>
      <c r="N353" s="42">
        <f t="shared" si="64"/>
        <v>4556.908438274384</v>
      </c>
      <c r="O353" s="36">
        <v>7.0831309347165714</v>
      </c>
      <c r="P353" s="42">
        <f t="shared" si="65"/>
        <v>7671.1892150932708</v>
      </c>
      <c r="Q353" s="42"/>
      <c r="R353">
        <v>0.13040559099093602</v>
      </c>
      <c r="S353">
        <v>0.10800500503555406</v>
      </c>
    </row>
    <row r="354" spans="1:19" x14ac:dyDescent="0.25">
      <c r="A354" s="40">
        <f t="shared" si="66"/>
        <v>0</v>
      </c>
      <c r="B354" s="40">
        <f t="shared" si="67"/>
        <v>50</v>
      </c>
      <c r="C354" s="41">
        <f t="shared" si="60"/>
        <v>1.0313000000000001</v>
      </c>
      <c r="D354" s="41">
        <f t="shared" si="61"/>
        <v>0.88000000000000012</v>
      </c>
      <c r="E354" s="39">
        <f>IF(_xlfn.NORM.INV(R354,C354,'Regressão Grupo 2'!$B$7)&lt;=0,0,IF(_xlfn.NORM.INV(R354,C354,'Regressão Grupo 2'!$B$7)&gt;100%,100%,_xlfn.NORM.INV(R354,C354,'Regressão Grupo 2'!$B$7)))</f>
        <v>1</v>
      </c>
      <c r="F354" s="39">
        <f>IF(_xlfn.NORM.INV(S354,D354,'Regressão Grupo 2'!$B$7)&lt;=0,0,IF(_xlfn.NORM.INV(S354,D354,'Regressão Grupo 2'!$B$7)&gt;100%,100%,_xlfn.NORM.INV(S354,D354,'Regressão Grupo 2'!$B$7)))</f>
        <v>0.89848685341298218</v>
      </c>
      <c r="G354" s="41">
        <v>1.3759847929080943E-2</v>
      </c>
      <c r="H354" s="41">
        <v>2.0177903148548389E-2</v>
      </c>
      <c r="I354" s="40">
        <f t="shared" si="62"/>
        <v>0</v>
      </c>
      <c r="J354" s="40">
        <f t="shared" si="63"/>
        <v>362.59161416822297</v>
      </c>
      <c r="K354" s="36">
        <v>0.36437459356834734</v>
      </c>
      <c r="L354" s="42">
        <f t="shared" si="69"/>
        <v>0</v>
      </c>
      <c r="M354" s="42">
        <f t="shared" si="69"/>
        <v>20000</v>
      </c>
      <c r="N354" s="42">
        <f t="shared" si="64"/>
        <v>7287.4918713669467</v>
      </c>
      <c r="O354" s="36">
        <v>9.5506672042931324</v>
      </c>
      <c r="P354" s="42">
        <f t="shared" si="65"/>
        <v>7379.0969990560443</v>
      </c>
      <c r="Q354" s="42"/>
      <c r="R354">
        <v>0.64552751243629258</v>
      </c>
      <c r="S354">
        <v>0.55317850276192515</v>
      </c>
    </row>
    <row r="355" spans="1:19" x14ac:dyDescent="0.25">
      <c r="A355" s="40">
        <f t="shared" si="66"/>
        <v>0</v>
      </c>
      <c r="B355" s="40">
        <f t="shared" si="67"/>
        <v>50</v>
      </c>
      <c r="C355" s="41">
        <f t="shared" si="60"/>
        <v>1.0313000000000001</v>
      </c>
      <c r="D355" s="41">
        <f t="shared" si="61"/>
        <v>0.88000000000000012</v>
      </c>
      <c r="E355" s="39">
        <f>IF(_xlfn.NORM.INV(R355,C355,'Regressão Grupo 2'!$B$7)&lt;=0,0,IF(_xlfn.NORM.INV(R355,C355,'Regressão Grupo 2'!$B$7)&gt;100%,100%,_xlfn.NORM.INV(R355,C355,'Regressão Grupo 2'!$B$7)))</f>
        <v>1</v>
      </c>
      <c r="F355" s="39">
        <f>IF(_xlfn.NORM.INV(S355,D355,'Regressão Grupo 2'!$B$7)&lt;=0,0,IF(_xlfn.NORM.INV(S355,D355,'Regressão Grupo 2'!$B$7)&gt;100%,100%,_xlfn.NORM.INV(S355,D355,'Regressão Grupo 2'!$B$7)))</f>
        <v>0.93286413965787673</v>
      </c>
      <c r="G355" s="41">
        <v>2.0725550088974826E-2</v>
      </c>
      <c r="H355" s="41">
        <v>2.6843938700963049E-2</v>
      </c>
      <c r="I355" s="40">
        <f t="shared" si="62"/>
        <v>0</v>
      </c>
      <c r="J355" s="40">
        <f t="shared" si="63"/>
        <v>500.8349556260535</v>
      </c>
      <c r="K355" s="36">
        <v>0.26621313216915488</v>
      </c>
      <c r="L355" s="42">
        <f t="shared" si="69"/>
        <v>0</v>
      </c>
      <c r="M355" s="42">
        <f t="shared" si="69"/>
        <v>20000</v>
      </c>
      <c r="N355" s="42">
        <f t="shared" si="64"/>
        <v>5324.2626433830974</v>
      </c>
      <c r="O355" s="36">
        <v>6.2508493731126382</v>
      </c>
      <c r="P355" s="42">
        <f t="shared" si="65"/>
        <v>16586.841269511562</v>
      </c>
      <c r="Q355" s="42"/>
      <c r="R355">
        <v>0.97631763664662619</v>
      </c>
      <c r="S355">
        <v>0.64888454847865229</v>
      </c>
    </row>
    <row r="356" spans="1:19" x14ac:dyDescent="0.25">
      <c r="A356" s="40">
        <f t="shared" si="66"/>
        <v>0</v>
      </c>
      <c r="B356" s="40">
        <f t="shared" si="67"/>
        <v>50</v>
      </c>
      <c r="C356" s="41">
        <f t="shared" si="60"/>
        <v>1.0313000000000001</v>
      </c>
      <c r="D356" s="41">
        <f t="shared" si="61"/>
        <v>0.88000000000000012</v>
      </c>
      <c r="E356" s="39">
        <f>IF(_xlfn.NORM.INV(R356,C356,'Regressão Grupo 2'!$B$7)&lt;=0,0,IF(_xlfn.NORM.INV(R356,C356,'Regressão Grupo 2'!$B$7)&gt;100%,100%,_xlfn.NORM.INV(R356,C356,'Regressão Grupo 2'!$B$7)))</f>
        <v>0.89610075914681819</v>
      </c>
      <c r="F356" s="39">
        <f>IF(_xlfn.NORM.INV(S356,D356,'Regressão Grupo 2'!$B$7)&lt;=0,0,IF(_xlfn.NORM.INV(S356,D356,'Regressão Grupo 2'!$B$7)&gt;100%,100%,_xlfn.NORM.INV(S356,D356,'Regressão Grupo 2'!$B$7)))</f>
        <v>0.86016747443216568</v>
      </c>
      <c r="G356" s="41">
        <v>1.2907718768839836E-2</v>
      </c>
      <c r="H356" s="41">
        <v>2.2235866344437874E-2</v>
      </c>
      <c r="I356" s="40">
        <f t="shared" si="62"/>
        <v>0</v>
      </c>
      <c r="J356" s="40">
        <f t="shared" si="63"/>
        <v>382.5313799061264</v>
      </c>
      <c r="K356" s="36">
        <v>0.26866001979763077</v>
      </c>
      <c r="L356" s="42">
        <f t="shared" si="69"/>
        <v>0</v>
      </c>
      <c r="M356" s="42">
        <f t="shared" si="69"/>
        <v>20000</v>
      </c>
      <c r="N356" s="42">
        <f t="shared" si="64"/>
        <v>5373.2003959526155</v>
      </c>
      <c r="O356" s="36">
        <v>8.6769813366119468</v>
      </c>
      <c r="P356" s="42">
        <f t="shared" si="65"/>
        <v>10434.150955239831</v>
      </c>
      <c r="Q356" s="42"/>
      <c r="R356">
        <v>0.1640980254524369</v>
      </c>
      <c r="S356">
        <v>0.44297616504409926</v>
      </c>
    </row>
    <row r="357" spans="1:19" x14ac:dyDescent="0.25">
      <c r="A357" s="40">
        <f t="shared" si="66"/>
        <v>0</v>
      </c>
      <c r="B357" s="40">
        <f t="shared" si="67"/>
        <v>50</v>
      </c>
      <c r="C357" s="41">
        <f t="shared" si="60"/>
        <v>1.0313000000000001</v>
      </c>
      <c r="D357" s="41">
        <f t="shared" si="61"/>
        <v>0.88000000000000012</v>
      </c>
      <c r="E357" s="39">
        <f>IF(_xlfn.NORM.INV(R357,C357,'Regressão Grupo 2'!$B$7)&lt;=0,0,IF(_xlfn.NORM.INV(R357,C357,'Regressão Grupo 2'!$B$7)&gt;100%,100%,_xlfn.NORM.INV(R357,C357,'Regressão Grupo 2'!$B$7)))</f>
        <v>0.98280274568981751</v>
      </c>
      <c r="F357" s="39">
        <f>IF(_xlfn.NORM.INV(S357,D357,'Regressão Grupo 2'!$B$7)&lt;=0,0,IF(_xlfn.NORM.INV(S357,D357,'Regressão Grupo 2'!$B$7)&gt;100%,100%,_xlfn.NORM.INV(S357,D357,'Regressão Grupo 2'!$B$7)))</f>
        <v>0.73281076591896177</v>
      </c>
      <c r="G357" s="41">
        <v>2.5414370657186828E-3</v>
      </c>
      <c r="H357" s="41">
        <v>2.2001832397030678E-2</v>
      </c>
      <c r="I357" s="40">
        <f t="shared" si="62"/>
        <v>0</v>
      </c>
      <c r="J357" s="40">
        <f t="shared" si="63"/>
        <v>322.46359300977355</v>
      </c>
      <c r="K357" s="36">
        <v>0.2567027285174604</v>
      </c>
      <c r="L357" s="42">
        <f t="shared" si="69"/>
        <v>0</v>
      </c>
      <c r="M357" s="42">
        <f t="shared" si="69"/>
        <v>20000</v>
      </c>
      <c r="N357" s="42">
        <f t="shared" si="64"/>
        <v>5134.054570349208</v>
      </c>
      <c r="O357" s="36">
        <v>2.2531850107899767</v>
      </c>
      <c r="P357" s="42">
        <f t="shared" si="65"/>
        <v>10262.554945844367</v>
      </c>
      <c r="Q357" s="42"/>
      <c r="R357">
        <v>0.36289559617908262</v>
      </c>
      <c r="S357">
        <v>0.14355906857509079</v>
      </c>
    </row>
    <row r="358" spans="1:19" x14ac:dyDescent="0.25">
      <c r="A358" s="40">
        <f t="shared" si="66"/>
        <v>0</v>
      </c>
      <c r="B358" s="40">
        <f t="shared" si="67"/>
        <v>50</v>
      </c>
      <c r="C358" s="41">
        <f t="shared" si="60"/>
        <v>1.0313000000000001</v>
      </c>
      <c r="D358" s="41">
        <f t="shared" si="61"/>
        <v>0.88000000000000012</v>
      </c>
      <c r="E358" s="39">
        <f>IF(_xlfn.NORM.INV(R358,C358,'Regressão Grupo 2'!$B$7)&lt;=0,0,IF(_xlfn.NORM.INV(R358,C358,'Regressão Grupo 2'!$B$7)&gt;100%,100%,_xlfn.NORM.INV(R358,C358,'Regressão Grupo 2'!$B$7)))</f>
        <v>0.93803802976769401</v>
      </c>
      <c r="F358" s="39">
        <f>IF(_xlfn.NORM.INV(S358,D358,'Regressão Grupo 2'!$B$7)&lt;=0,0,IF(_xlfn.NORM.INV(S358,D358,'Regressão Grupo 2'!$B$7)&gt;100%,100%,_xlfn.NORM.INV(S358,D358,'Regressão Grupo 2'!$B$7)))</f>
        <v>1</v>
      </c>
      <c r="G358" s="41">
        <v>9.8686122273448952E-3</v>
      </c>
      <c r="H358" s="41">
        <v>1.4650834764777384E-2</v>
      </c>
      <c r="I358" s="40">
        <f t="shared" si="62"/>
        <v>0</v>
      </c>
      <c r="J358" s="40">
        <f t="shared" si="63"/>
        <v>293.01669529554766</v>
      </c>
      <c r="K358" s="36">
        <v>0.33289902689022605</v>
      </c>
      <c r="L358" s="42">
        <f t="shared" si="69"/>
        <v>0</v>
      </c>
      <c r="M358" s="42">
        <f t="shared" si="69"/>
        <v>20000</v>
      </c>
      <c r="N358" s="42">
        <f t="shared" si="64"/>
        <v>6657.9805378045212</v>
      </c>
      <c r="O358" s="36">
        <v>3.1993514990877161</v>
      </c>
      <c r="P358" s="42">
        <f t="shared" si="65"/>
        <v>7055.3908236213219</v>
      </c>
      <c r="Q358" s="42"/>
      <c r="R358">
        <v>0.250007629627369</v>
      </c>
      <c r="S358">
        <v>0.8758201849421674</v>
      </c>
    </row>
    <row r="359" spans="1:19" x14ac:dyDescent="0.25">
      <c r="A359" s="40">
        <f t="shared" si="66"/>
        <v>0</v>
      </c>
      <c r="B359" s="40">
        <f t="shared" si="67"/>
        <v>50</v>
      </c>
      <c r="C359" s="41">
        <f t="shared" si="60"/>
        <v>1.0313000000000001</v>
      </c>
      <c r="D359" s="41">
        <f t="shared" si="61"/>
        <v>0.88000000000000012</v>
      </c>
      <c r="E359" s="39">
        <f>IF(_xlfn.NORM.INV(R359,C359,'Regressão Grupo 2'!$B$7)&lt;=0,0,IF(_xlfn.NORM.INV(R359,C359,'Regressão Grupo 2'!$B$7)&gt;100%,100%,_xlfn.NORM.INV(R359,C359,'Regressão Grupo 2'!$B$7)))</f>
        <v>1</v>
      </c>
      <c r="F359" s="39">
        <f>IF(_xlfn.NORM.INV(S359,D359,'Regressão Grupo 2'!$B$7)&lt;=0,0,IF(_xlfn.NORM.INV(S359,D359,'Regressão Grupo 2'!$B$7)&gt;100%,100%,_xlfn.NORM.INV(S359,D359,'Regressão Grupo 2'!$B$7)))</f>
        <v>0.79933518140506254</v>
      </c>
      <c r="G359" s="41">
        <v>6.6249086985504671E-3</v>
      </c>
      <c r="H359" s="41">
        <v>1.2598198457626653E-2</v>
      </c>
      <c r="I359" s="40">
        <f t="shared" si="62"/>
        <v>0</v>
      </c>
      <c r="J359" s="40">
        <f t="shared" si="63"/>
        <v>201.40366499007959</v>
      </c>
      <c r="K359" s="36">
        <v>0.41481707229626247</v>
      </c>
      <c r="L359" s="42">
        <f t="shared" ref="L359:M374" si="70">L358</f>
        <v>0</v>
      </c>
      <c r="M359" s="42">
        <f t="shared" si="70"/>
        <v>20000</v>
      </c>
      <c r="N359" s="42">
        <f t="shared" si="64"/>
        <v>8296.341445925249</v>
      </c>
      <c r="O359" s="36">
        <v>3.8009260537271783</v>
      </c>
      <c r="P359" s="42">
        <f t="shared" si="65"/>
        <v>1008.3213660017973</v>
      </c>
      <c r="Q359" s="42"/>
      <c r="R359">
        <v>0.79152806176946322</v>
      </c>
      <c r="S359">
        <v>0.27982421338541824</v>
      </c>
    </row>
    <row r="360" spans="1:19" x14ac:dyDescent="0.25">
      <c r="A360" s="40">
        <f t="shared" si="66"/>
        <v>0</v>
      </c>
      <c r="B360" s="40">
        <f t="shared" si="67"/>
        <v>50</v>
      </c>
      <c r="C360" s="41">
        <f t="shared" si="60"/>
        <v>1.0313000000000001</v>
      </c>
      <c r="D360" s="41">
        <f t="shared" si="61"/>
        <v>0.88000000000000012</v>
      </c>
      <c r="E360" s="39">
        <f>IF(_xlfn.NORM.INV(R360,C360,'Regressão Grupo 2'!$B$7)&lt;=0,0,IF(_xlfn.NORM.INV(R360,C360,'Regressão Grupo 2'!$B$7)&gt;100%,100%,_xlfn.NORM.INV(R360,C360,'Regressão Grupo 2'!$B$7)))</f>
        <v>1</v>
      </c>
      <c r="F360" s="39">
        <f>IF(_xlfn.NORM.INV(S360,D360,'Regressão Grupo 2'!$B$7)&lt;=0,0,IF(_xlfn.NORM.INV(S360,D360,'Regressão Grupo 2'!$B$7)&gt;100%,100%,_xlfn.NORM.INV(S360,D360,'Regressão Grupo 2'!$B$7)))</f>
        <v>1</v>
      </c>
      <c r="G360" s="41">
        <v>1.6839266135995085E-2</v>
      </c>
      <c r="H360" s="41">
        <v>1.3685661558245356E-2</v>
      </c>
      <c r="I360" s="40">
        <f t="shared" si="62"/>
        <v>0</v>
      </c>
      <c r="J360" s="40">
        <f t="shared" si="63"/>
        <v>273.71323116490714</v>
      </c>
      <c r="K360" s="36">
        <v>0.14992350448790634</v>
      </c>
      <c r="L360" s="42">
        <f t="shared" si="70"/>
        <v>0</v>
      </c>
      <c r="M360" s="42">
        <f t="shared" si="70"/>
        <v>20000</v>
      </c>
      <c r="N360" s="42">
        <f t="shared" si="64"/>
        <v>2998.470089758127</v>
      </c>
      <c r="O360" s="36">
        <v>4.8673028325056071</v>
      </c>
      <c r="P360" s="42">
        <f t="shared" si="65"/>
        <v>9354.9462831440178</v>
      </c>
      <c r="Q360" s="42"/>
      <c r="R360">
        <v>0.76421399578844573</v>
      </c>
      <c r="S360">
        <v>0.99584948271126439</v>
      </c>
    </row>
    <row r="361" spans="1:19" x14ac:dyDescent="0.25">
      <c r="A361" s="40">
        <f t="shared" si="66"/>
        <v>0</v>
      </c>
      <c r="B361" s="40">
        <f t="shared" si="67"/>
        <v>50</v>
      </c>
      <c r="C361" s="41">
        <f t="shared" si="60"/>
        <v>1.0313000000000001</v>
      </c>
      <c r="D361" s="41">
        <f t="shared" si="61"/>
        <v>0.88000000000000012</v>
      </c>
      <c r="E361" s="39">
        <f>IF(_xlfn.NORM.INV(R361,C361,'Regressão Grupo 2'!$B$7)&lt;=0,0,IF(_xlfn.NORM.INV(R361,C361,'Regressão Grupo 2'!$B$7)&gt;100%,100%,_xlfn.NORM.INV(R361,C361,'Regressão Grupo 2'!$B$7)))</f>
        <v>0.8871143222641984</v>
      </c>
      <c r="F361" s="39">
        <f>IF(_xlfn.NORM.INV(S361,D361,'Regressão Grupo 2'!$B$7)&lt;=0,0,IF(_xlfn.NORM.INV(S361,D361,'Regressão Grupo 2'!$B$7)&gt;100%,100%,_xlfn.NORM.INV(S361,D361,'Regressão Grupo 2'!$B$7)))</f>
        <v>1</v>
      </c>
      <c r="G361" s="41">
        <v>1.4850468370006491E-2</v>
      </c>
      <c r="H361" s="41">
        <v>2.1951254534295354E-2</v>
      </c>
      <c r="I361" s="40">
        <f t="shared" si="62"/>
        <v>0</v>
      </c>
      <c r="J361" s="40">
        <f t="shared" si="63"/>
        <v>439.02509068590706</v>
      </c>
      <c r="K361" s="36">
        <v>0.31096078054459286</v>
      </c>
      <c r="L361" s="42">
        <f t="shared" si="70"/>
        <v>0</v>
      </c>
      <c r="M361" s="42">
        <f t="shared" si="70"/>
        <v>20000</v>
      </c>
      <c r="N361" s="42">
        <f t="shared" si="64"/>
        <v>6219.2156108918571</v>
      </c>
      <c r="O361" s="36">
        <v>7.6445578774919198</v>
      </c>
      <c r="P361" s="42">
        <f t="shared" si="65"/>
        <v>12375.886207983942</v>
      </c>
      <c r="Q361" s="42"/>
      <c r="R361">
        <v>0.14853358561967833</v>
      </c>
      <c r="S361">
        <v>0.94207586901455731</v>
      </c>
    </row>
    <row r="362" spans="1:19" x14ac:dyDescent="0.25">
      <c r="A362" s="40">
        <f t="shared" si="66"/>
        <v>0</v>
      </c>
      <c r="B362" s="40">
        <f t="shared" si="67"/>
        <v>50</v>
      </c>
      <c r="C362" s="41">
        <f t="shared" si="60"/>
        <v>1.0313000000000001</v>
      </c>
      <c r="D362" s="41">
        <f t="shared" si="61"/>
        <v>0.88000000000000012</v>
      </c>
      <c r="E362" s="39">
        <f>IF(_xlfn.NORM.INV(R362,C362,'Regressão Grupo 2'!$B$7)&lt;=0,0,IF(_xlfn.NORM.INV(R362,C362,'Regressão Grupo 2'!$B$7)&gt;100%,100%,_xlfn.NORM.INV(R362,C362,'Regressão Grupo 2'!$B$7)))</f>
        <v>1</v>
      </c>
      <c r="F362" s="39">
        <f>IF(_xlfn.NORM.INV(S362,D362,'Regressão Grupo 2'!$B$7)&lt;=0,0,IF(_xlfn.NORM.INV(S362,D362,'Regressão Grupo 2'!$B$7)&gt;100%,100%,_xlfn.NORM.INV(S362,D362,'Regressão Grupo 2'!$B$7)))</f>
        <v>0.6452330687233464</v>
      </c>
      <c r="G362" s="41">
        <v>2.7547556686356538E-2</v>
      </c>
      <c r="H362" s="41">
        <v>2.377310158595829E-2</v>
      </c>
      <c r="I362" s="40">
        <f t="shared" si="62"/>
        <v>0</v>
      </c>
      <c r="J362" s="40">
        <f t="shared" si="63"/>
        <v>306.78382578759442</v>
      </c>
      <c r="K362" s="36">
        <v>0.26238851390865947</v>
      </c>
      <c r="L362" s="42">
        <f t="shared" si="70"/>
        <v>0</v>
      </c>
      <c r="M362" s="42">
        <f t="shared" si="70"/>
        <v>20000</v>
      </c>
      <c r="N362" s="42">
        <f t="shared" si="64"/>
        <v>5247.7702781731896</v>
      </c>
      <c r="O362" s="36">
        <v>5.626747859104217</v>
      </c>
      <c r="P362" s="42">
        <f t="shared" si="65"/>
        <v>8365.2257762483841</v>
      </c>
      <c r="Q362" s="42"/>
      <c r="R362">
        <v>0.92318491164891503</v>
      </c>
      <c r="S362">
        <v>4.4770653401287878E-2</v>
      </c>
    </row>
    <row r="363" spans="1:19" x14ac:dyDescent="0.25">
      <c r="A363" s="40">
        <f t="shared" si="66"/>
        <v>0</v>
      </c>
      <c r="B363" s="40">
        <f t="shared" si="67"/>
        <v>50</v>
      </c>
      <c r="C363" s="41">
        <f t="shared" si="60"/>
        <v>1.0313000000000001</v>
      </c>
      <c r="D363" s="41">
        <f t="shared" si="61"/>
        <v>0.88000000000000012</v>
      </c>
      <c r="E363" s="39">
        <f>IF(_xlfn.NORM.INV(R363,C363,'Regressão Grupo 2'!$B$7)&lt;=0,0,IF(_xlfn.NORM.INV(R363,C363,'Regressão Grupo 2'!$B$7)&gt;100%,100%,_xlfn.NORM.INV(R363,C363,'Regressão Grupo 2'!$B$7)))</f>
        <v>1</v>
      </c>
      <c r="F363" s="39">
        <f>IF(_xlfn.NORM.INV(S363,D363,'Regressão Grupo 2'!$B$7)&lt;=0,0,IF(_xlfn.NORM.INV(S363,D363,'Regressão Grupo 2'!$B$7)&gt;100%,100%,_xlfn.NORM.INV(S363,D363,'Regressão Grupo 2'!$B$7)))</f>
        <v>1</v>
      </c>
      <c r="G363" s="41">
        <v>8.2108336060082356E-3</v>
      </c>
      <c r="H363" s="41">
        <v>1.2479818264481649E-2</v>
      </c>
      <c r="I363" s="40">
        <f t="shared" si="62"/>
        <v>0</v>
      </c>
      <c r="J363" s="40">
        <f t="shared" si="63"/>
        <v>249.59636528963298</v>
      </c>
      <c r="K363" s="36">
        <v>0.19362201856034705</v>
      </c>
      <c r="L363" s="42">
        <f t="shared" si="70"/>
        <v>0</v>
      </c>
      <c r="M363" s="42">
        <f t="shared" si="70"/>
        <v>20000</v>
      </c>
      <c r="N363" s="42">
        <f t="shared" si="64"/>
        <v>3872.4403712069411</v>
      </c>
      <c r="O363" s="36">
        <v>6.4800556605736332</v>
      </c>
      <c r="P363" s="42">
        <f t="shared" si="65"/>
        <v>6989.9795535210178</v>
      </c>
      <c r="Q363" s="42"/>
      <c r="R363">
        <v>0.53553880428479872</v>
      </c>
      <c r="S363">
        <v>0.84569841608935814</v>
      </c>
    </row>
    <row r="364" spans="1:19" x14ac:dyDescent="0.25">
      <c r="A364" s="40">
        <f t="shared" si="66"/>
        <v>0</v>
      </c>
      <c r="B364" s="40">
        <f t="shared" si="67"/>
        <v>50</v>
      </c>
      <c r="C364" s="41">
        <f t="shared" si="60"/>
        <v>1.0313000000000001</v>
      </c>
      <c r="D364" s="41">
        <f t="shared" si="61"/>
        <v>0.88000000000000012</v>
      </c>
      <c r="E364" s="39">
        <f>IF(_xlfn.NORM.INV(R364,C364,'Regressão Grupo 2'!$B$7)&lt;=0,0,IF(_xlfn.NORM.INV(R364,C364,'Regressão Grupo 2'!$B$7)&gt;100%,100%,_xlfn.NORM.INV(R364,C364,'Regressão Grupo 2'!$B$7)))</f>
        <v>0.74917908464169569</v>
      </c>
      <c r="F364" s="39">
        <f>IF(_xlfn.NORM.INV(S364,D364,'Regressão Grupo 2'!$B$7)&lt;=0,0,IF(_xlfn.NORM.INV(S364,D364,'Regressão Grupo 2'!$B$7)&gt;100%,100%,_xlfn.NORM.INV(S364,D364,'Regressão Grupo 2'!$B$7)))</f>
        <v>0.81590127114684396</v>
      </c>
      <c r="G364" s="41">
        <v>2.0046237612641831E-2</v>
      </c>
      <c r="H364" s="41">
        <v>1.181330717447354E-2</v>
      </c>
      <c r="I364" s="40">
        <f t="shared" si="62"/>
        <v>0</v>
      </c>
      <c r="J364" s="40">
        <f t="shared" si="63"/>
        <v>192.76984680202187</v>
      </c>
      <c r="K364" s="36">
        <v>0.26877598032699845</v>
      </c>
      <c r="L364" s="42">
        <f t="shared" si="70"/>
        <v>0</v>
      </c>
      <c r="M364" s="42">
        <f t="shared" si="70"/>
        <v>20000</v>
      </c>
      <c r="N364" s="42">
        <f t="shared" si="64"/>
        <v>5375.5196065399687</v>
      </c>
      <c r="O364" s="36">
        <v>8.1802303805001841</v>
      </c>
      <c r="P364" s="42">
        <f t="shared" si="65"/>
        <v>2686.0709763068589</v>
      </c>
      <c r="Q364" s="42"/>
      <c r="R364">
        <v>2.0661030915250098E-2</v>
      </c>
      <c r="S364">
        <v>0.32148197882015445</v>
      </c>
    </row>
    <row r="365" spans="1:19" x14ac:dyDescent="0.25">
      <c r="A365" s="40">
        <f t="shared" si="66"/>
        <v>0</v>
      </c>
      <c r="B365" s="40">
        <f t="shared" si="67"/>
        <v>50</v>
      </c>
      <c r="C365" s="41">
        <f t="shared" si="60"/>
        <v>1.0313000000000001</v>
      </c>
      <c r="D365" s="41">
        <f t="shared" si="61"/>
        <v>0.88000000000000012</v>
      </c>
      <c r="E365" s="39">
        <f>IF(_xlfn.NORM.INV(R365,C365,'Regressão Grupo 2'!$B$7)&lt;=0,0,IF(_xlfn.NORM.INV(R365,C365,'Regressão Grupo 2'!$B$7)&gt;100%,100%,_xlfn.NORM.INV(R365,C365,'Regressão Grupo 2'!$B$7)))</f>
        <v>0.73260740994309193</v>
      </c>
      <c r="F365" s="39">
        <f>IF(_xlfn.NORM.INV(S365,D365,'Regressão Grupo 2'!$B$7)&lt;=0,0,IF(_xlfn.NORM.INV(S365,D365,'Regressão Grupo 2'!$B$7)&gt;100%,100%,_xlfn.NORM.INV(S365,D365,'Regressão Grupo 2'!$B$7)))</f>
        <v>0.8532788903253381</v>
      </c>
      <c r="G365" s="41">
        <v>1.7217894988112086E-2</v>
      </c>
      <c r="H365" s="41">
        <v>2.2641440369891366E-2</v>
      </c>
      <c r="I365" s="40">
        <f t="shared" si="62"/>
        <v>0</v>
      </c>
      <c r="J365" s="40">
        <f t="shared" si="63"/>
        <v>386.38926228376431</v>
      </c>
      <c r="K365" s="36">
        <v>0.29144067571473736</v>
      </c>
      <c r="L365" s="42">
        <f t="shared" si="70"/>
        <v>0</v>
      </c>
      <c r="M365" s="42">
        <f t="shared" si="70"/>
        <v>20000</v>
      </c>
      <c r="N365" s="42">
        <f t="shared" si="64"/>
        <v>5828.8135142947476</v>
      </c>
      <c r="O365" s="36">
        <v>6.2052670020732039</v>
      </c>
      <c r="P365" s="42">
        <f t="shared" si="65"/>
        <v>11093.001060688617</v>
      </c>
      <c r="Q365" s="42"/>
      <c r="R365">
        <v>1.5381328775902585E-2</v>
      </c>
      <c r="S365">
        <v>0.42338328196050906</v>
      </c>
    </row>
    <row r="366" spans="1:19" x14ac:dyDescent="0.25">
      <c r="A366" s="40">
        <f t="shared" si="66"/>
        <v>0</v>
      </c>
      <c r="B366" s="40">
        <f t="shared" si="67"/>
        <v>50</v>
      </c>
      <c r="C366" s="41">
        <f t="shared" si="60"/>
        <v>1.0313000000000001</v>
      </c>
      <c r="D366" s="41">
        <f t="shared" si="61"/>
        <v>0.88000000000000012</v>
      </c>
      <c r="E366" s="39">
        <f>IF(_xlfn.NORM.INV(R366,C366,'Regressão Grupo 2'!$B$7)&lt;=0,0,IF(_xlfn.NORM.INV(R366,C366,'Regressão Grupo 2'!$B$7)&gt;100%,100%,_xlfn.NORM.INV(R366,C366,'Regressão Grupo 2'!$B$7)))</f>
        <v>0.99402665437592397</v>
      </c>
      <c r="F366" s="39">
        <f>IF(_xlfn.NORM.INV(S366,D366,'Regressão Grupo 2'!$B$7)&lt;=0,0,IF(_xlfn.NORM.INV(S366,D366,'Regressão Grupo 2'!$B$7)&gt;100%,100%,_xlfn.NORM.INV(S366,D366,'Regressão Grupo 2'!$B$7)))</f>
        <v>0.8482052933569213</v>
      </c>
      <c r="G366" s="41">
        <v>2.4816971005443764E-2</v>
      </c>
      <c r="H366" s="41">
        <v>1.8576321166995504E-2</v>
      </c>
      <c r="I366" s="40">
        <f t="shared" si="62"/>
        <v>0</v>
      </c>
      <c r="J366" s="40">
        <f t="shared" si="63"/>
        <v>315.13067889887611</v>
      </c>
      <c r="K366" s="36">
        <v>0.43754846544646947</v>
      </c>
      <c r="L366" s="42">
        <f t="shared" si="70"/>
        <v>0</v>
      </c>
      <c r="M366" s="42">
        <f t="shared" si="70"/>
        <v>20000</v>
      </c>
      <c r="N366" s="42">
        <f t="shared" si="64"/>
        <v>8750.9693089293887</v>
      </c>
      <c r="O366" s="36">
        <v>4.467745492080283</v>
      </c>
      <c r="P366" s="42">
        <f t="shared" si="65"/>
        <v>5597.6409659477631</v>
      </c>
      <c r="Q366" s="42"/>
      <c r="R366">
        <v>0.3937498092593158</v>
      </c>
      <c r="S366">
        <v>0.40907010101626634</v>
      </c>
    </row>
    <row r="367" spans="1:19" x14ac:dyDescent="0.25">
      <c r="A367" s="40">
        <f t="shared" si="66"/>
        <v>0</v>
      </c>
      <c r="B367" s="40">
        <f t="shared" si="67"/>
        <v>50</v>
      </c>
      <c r="C367" s="41">
        <f t="shared" si="60"/>
        <v>1.0313000000000001</v>
      </c>
      <c r="D367" s="41">
        <f t="shared" si="61"/>
        <v>0.88000000000000012</v>
      </c>
      <c r="E367" s="39">
        <f>IF(_xlfn.NORM.INV(R367,C367,'Regressão Grupo 2'!$B$7)&lt;=0,0,IF(_xlfn.NORM.INV(R367,C367,'Regressão Grupo 2'!$B$7)&gt;100%,100%,_xlfn.NORM.INV(R367,C367,'Regressão Grupo 2'!$B$7)))</f>
        <v>1</v>
      </c>
      <c r="F367" s="39">
        <f>IF(_xlfn.NORM.INV(S367,D367,'Regressão Grupo 2'!$B$7)&lt;=0,0,IF(_xlfn.NORM.INV(S367,D367,'Regressão Grupo 2'!$B$7)&gt;100%,100%,_xlfn.NORM.INV(S367,D367,'Regressão Grupo 2'!$B$7)))</f>
        <v>0.71742194878373688</v>
      </c>
      <c r="G367" s="41">
        <v>1.2190497103217969E-2</v>
      </c>
      <c r="H367" s="41">
        <v>1.963885337104565E-2</v>
      </c>
      <c r="I367" s="40">
        <f t="shared" si="62"/>
        <v>0</v>
      </c>
      <c r="J367" s="40">
        <f t="shared" si="63"/>
        <v>281.78688914667265</v>
      </c>
      <c r="K367" s="36">
        <v>0.32031978456087196</v>
      </c>
      <c r="L367" s="42">
        <f t="shared" si="70"/>
        <v>0</v>
      </c>
      <c r="M367" s="42">
        <f t="shared" si="70"/>
        <v>20000</v>
      </c>
      <c r="N367" s="42">
        <f t="shared" si="64"/>
        <v>6406.395691217439</v>
      </c>
      <c r="O367" s="36">
        <v>3.5879902825983061</v>
      </c>
      <c r="P367" s="42">
        <f t="shared" si="65"/>
        <v>6671.9001460943264</v>
      </c>
      <c r="Q367" s="42"/>
      <c r="R367">
        <v>0.55601672414319281</v>
      </c>
      <c r="S367">
        <v>0.11984618671224097</v>
      </c>
    </row>
    <row r="368" spans="1:19" x14ac:dyDescent="0.25">
      <c r="A368" s="40">
        <f t="shared" si="66"/>
        <v>0</v>
      </c>
      <c r="B368" s="40">
        <f t="shared" si="67"/>
        <v>50</v>
      </c>
      <c r="C368" s="41">
        <f t="shared" si="60"/>
        <v>1.0313000000000001</v>
      </c>
      <c r="D368" s="41">
        <f t="shared" si="61"/>
        <v>0.88000000000000012</v>
      </c>
      <c r="E368" s="39">
        <f>IF(_xlfn.NORM.INV(R368,C368,'Regressão Grupo 2'!$B$7)&lt;=0,0,IF(_xlfn.NORM.INV(R368,C368,'Regressão Grupo 2'!$B$7)&gt;100%,100%,_xlfn.NORM.INV(R368,C368,'Regressão Grupo 2'!$B$7)))</f>
        <v>0.89603250074617402</v>
      </c>
      <c r="F368" s="39">
        <f>IF(_xlfn.NORM.INV(S368,D368,'Regressão Grupo 2'!$B$7)&lt;=0,0,IF(_xlfn.NORM.INV(S368,D368,'Regressão Grupo 2'!$B$7)&gt;100%,100%,_xlfn.NORM.INV(S368,D368,'Regressão Grupo 2'!$B$7)))</f>
        <v>0.6819706124998246</v>
      </c>
      <c r="G368" s="41">
        <v>1.8479762052329346E-2</v>
      </c>
      <c r="H368" s="41">
        <v>1.3715205384182774E-2</v>
      </c>
      <c r="I368" s="40">
        <f t="shared" si="62"/>
        <v>0</v>
      </c>
      <c r="J368" s="40">
        <f t="shared" si="63"/>
        <v>187.06734032824039</v>
      </c>
      <c r="K368" s="36">
        <v>0.41919893902445993</v>
      </c>
      <c r="L368" s="42">
        <f t="shared" si="70"/>
        <v>0</v>
      </c>
      <c r="M368" s="42">
        <f t="shared" si="70"/>
        <v>20000</v>
      </c>
      <c r="N368" s="42">
        <f t="shared" si="64"/>
        <v>8383.9787804891985</v>
      </c>
      <c r="O368" s="36">
        <v>7.9776261892227591</v>
      </c>
      <c r="P368" s="42">
        <f t="shared" si="65"/>
        <v>-522.96507742799622</v>
      </c>
      <c r="Q368" s="42"/>
      <c r="R368">
        <v>0.16397595141453292</v>
      </c>
      <c r="S368">
        <v>7.6052125614185007E-2</v>
      </c>
    </row>
    <row r="369" spans="1:19" x14ac:dyDescent="0.25">
      <c r="A369" s="40">
        <f t="shared" si="66"/>
        <v>0</v>
      </c>
      <c r="B369" s="40">
        <f t="shared" si="67"/>
        <v>50</v>
      </c>
      <c r="C369" s="41">
        <f t="shared" si="60"/>
        <v>1.0313000000000001</v>
      </c>
      <c r="D369" s="41">
        <f t="shared" si="61"/>
        <v>0.88000000000000012</v>
      </c>
      <c r="E369" s="39">
        <f>IF(_xlfn.NORM.INV(R369,C369,'Regressão Grupo 2'!$B$7)&lt;=0,0,IF(_xlfn.NORM.INV(R369,C369,'Regressão Grupo 2'!$B$7)&gt;100%,100%,_xlfn.NORM.INV(R369,C369,'Regressão Grupo 2'!$B$7)))</f>
        <v>1</v>
      </c>
      <c r="F369" s="39">
        <f>IF(_xlfn.NORM.INV(S369,D369,'Regressão Grupo 2'!$B$7)&lt;=0,0,IF(_xlfn.NORM.INV(S369,D369,'Regressão Grupo 2'!$B$7)&gt;100%,100%,_xlfn.NORM.INV(S369,D369,'Regressão Grupo 2'!$B$7)))</f>
        <v>0.97355432603971725</v>
      </c>
      <c r="G369" s="41">
        <v>1.9409251547626408E-2</v>
      </c>
      <c r="H369" s="41">
        <v>8.2356641364718305E-3</v>
      </c>
      <c r="I369" s="40">
        <f t="shared" si="62"/>
        <v>0</v>
      </c>
      <c r="J369" s="40">
        <f t="shared" si="63"/>
        <v>160.35732895744607</v>
      </c>
      <c r="K369" s="36">
        <v>0.233426244470955</v>
      </c>
      <c r="L369" s="42">
        <f t="shared" si="70"/>
        <v>0</v>
      </c>
      <c r="M369" s="42">
        <f t="shared" si="70"/>
        <v>20000</v>
      </c>
      <c r="N369" s="42">
        <f t="shared" si="64"/>
        <v>4668.5248894191</v>
      </c>
      <c r="O369" s="36">
        <v>6.832320533502183</v>
      </c>
      <c r="P369" s="42">
        <f t="shared" si="65"/>
        <v>2253.7288871196806</v>
      </c>
      <c r="Q369" s="42"/>
      <c r="R369">
        <v>0.95205542161320844</v>
      </c>
      <c r="S369">
        <v>0.75066377758110292</v>
      </c>
    </row>
    <row r="370" spans="1:19" x14ac:dyDescent="0.25">
      <c r="A370" s="40">
        <f t="shared" si="66"/>
        <v>0</v>
      </c>
      <c r="B370" s="40">
        <f t="shared" si="67"/>
        <v>50</v>
      </c>
      <c r="C370" s="41">
        <f t="shared" si="60"/>
        <v>1.0313000000000001</v>
      </c>
      <c r="D370" s="41">
        <f t="shared" si="61"/>
        <v>0.88000000000000012</v>
      </c>
      <c r="E370" s="39">
        <f>IF(_xlfn.NORM.INV(R370,C370,'Regressão Grupo 2'!$B$7)&lt;=0,0,IF(_xlfn.NORM.INV(R370,C370,'Regressão Grupo 2'!$B$7)&gt;100%,100%,_xlfn.NORM.INV(R370,C370,'Regressão Grupo 2'!$B$7)))</f>
        <v>1</v>
      </c>
      <c r="F370" s="39">
        <f>IF(_xlfn.NORM.INV(S370,D370,'Regressão Grupo 2'!$B$7)&lt;=0,0,IF(_xlfn.NORM.INV(S370,D370,'Regressão Grupo 2'!$B$7)&gt;100%,100%,_xlfn.NORM.INV(S370,D370,'Regressão Grupo 2'!$B$7)))</f>
        <v>0.97644736938384058</v>
      </c>
      <c r="G370" s="41">
        <v>1.8694063673381736E-2</v>
      </c>
      <c r="H370" s="41">
        <v>2.0621458722423366E-2</v>
      </c>
      <c r="I370" s="40">
        <f t="shared" si="62"/>
        <v>0</v>
      </c>
      <c r="J370" s="40">
        <f t="shared" si="63"/>
        <v>402.71538244735495</v>
      </c>
      <c r="K370" s="36">
        <v>0.30357050363337312</v>
      </c>
      <c r="L370" s="42">
        <f t="shared" si="70"/>
        <v>0</v>
      </c>
      <c r="M370" s="42">
        <f t="shared" si="70"/>
        <v>20000</v>
      </c>
      <c r="N370" s="42">
        <f t="shared" si="64"/>
        <v>6071.4100726674624</v>
      </c>
      <c r="O370" s="36">
        <v>5.9682025496451061</v>
      </c>
      <c r="P370" s="42">
        <f t="shared" si="65"/>
        <v>11660.872077396678</v>
      </c>
      <c r="Q370" s="42"/>
      <c r="R370">
        <v>0.78557695242164371</v>
      </c>
      <c r="S370">
        <v>0.75725577562791835</v>
      </c>
    </row>
    <row r="371" spans="1:19" x14ac:dyDescent="0.25">
      <c r="A371" s="40">
        <f t="shared" si="66"/>
        <v>0</v>
      </c>
      <c r="B371" s="40">
        <f t="shared" si="67"/>
        <v>50</v>
      </c>
      <c r="C371" s="41">
        <f t="shared" si="60"/>
        <v>1.0313000000000001</v>
      </c>
      <c r="D371" s="41">
        <f t="shared" si="61"/>
        <v>0.88000000000000012</v>
      </c>
      <c r="E371" s="39">
        <f>IF(_xlfn.NORM.INV(R371,C371,'Regressão Grupo 2'!$B$7)&lt;=0,0,IF(_xlfn.NORM.INV(R371,C371,'Regressão Grupo 2'!$B$7)&gt;100%,100%,_xlfn.NORM.INV(R371,C371,'Regressão Grupo 2'!$B$7)))</f>
        <v>0.69056693210545106</v>
      </c>
      <c r="F371" s="39">
        <f>IF(_xlfn.NORM.INV(S371,D371,'Regressão Grupo 2'!$B$7)&lt;=0,0,IF(_xlfn.NORM.INV(S371,D371,'Regressão Grupo 2'!$B$7)&gt;100%,100%,_xlfn.NORM.INV(S371,D371,'Regressão Grupo 2'!$B$7)))</f>
        <v>0.6875033918183886</v>
      </c>
      <c r="G371" s="41">
        <v>1.0197590540553891E-2</v>
      </c>
      <c r="H371" s="41">
        <v>1.2394772599085896E-2</v>
      </c>
      <c r="I371" s="40">
        <f t="shared" si="62"/>
        <v>0</v>
      </c>
      <c r="J371" s="40">
        <f t="shared" si="63"/>
        <v>170.42896405378355</v>
      </c>
      <c r="K371" s="36">
        <v>0.34039335442709423</v>
      </c>
      <c r="L371" s="42">
        <f t="shared" si="70"/>
        <v>0</v>
      </c>
      <c r="M371" s="42">
        <f t="shared" si="70"/>
        <v>20000</v>
      </c>
      <c r="N371" s="42">
        <f t="shared" si="64"/>
        <v>6807.8670885418842</v>
      </c>
      <c r="O371" s="36">
        <v>3.2325406750279266</v>
      </c>
      <c r="P371" s="42">
        <f t="shared" si="65"/>
        <v>1162.6625556405643</v>
      </c>
      <c r="Q371" s="42"/>
      <c r="R371">
        <v>6.8666646320993683E-3</v>
      </c>
      <c r="S371">
        <v>8.1942197943052464E-2</v>
      </c>
    </row>
    <row r="372" spans="1:19" x14ac:dyDescent="0.25">
      <c r="A372" s="40">
        <f t="shared" si="66"/>
        <v>0</v>
      </c>
      <c r="B372" s="40">
        <f t="shared" si="67"/>
        <v>50</v>
      </c>
      <c r="C372" s="41">
        <f t="shared" si="60"/>
        <v>1.0313000000000001</v>
      </c>
      <c r="D372" s="41">
        <f t="shared" si="61"/>
        <v>0.88000000000000012</v>
      </c>
      <c r="E372" s="39">
        <f>IF(_xlfn.NORM.INV(R372,C372,'Regressão Grupo 2'!$B$7)&lt;=0,0,IF(_xlfn.NORM.INV(R372,C372,'Regressão Grupo 2'!$B$7)&gt;100%,100%,_xlfn.NORM.INV(R372,C372,'Regressão Grupo 2'!$B$7)))</f>
        <v>1</v>
      </c>
      <c r="F372" s="39">
        <f>IF(_xlfn.NORM.INV(S372,D372,'Regressão Grupo 2'!$B$7)&lt;=0,0,IF(_xlfn.NORM.INV(S372,D372,'Regressão Grupo 2'!$B$7)&gt;100%,100%,_xlfn.NORM.INV(S372,D372,'Regressão Grupo 2'!$B$7)))</f>
        <v>0.59955399864717851</v>
      </c>
      <c r="G372" s="41">
        <v>1.8377777940612253E-2</v>
      </c>
      <c r="H372" s="41">
        <v>1.7936219664812604E-2</v>
      </c>
      <c r="I372" s="40">
        <f t="shared" si="62"/>
        <v>0</v>
      </c>
      <c r="J372" s="40">
        <f t="shared" si="63"/>
        <v>215.07464441305103</v>
      </c>
      <c r="K372" s="36">
        <v>0.40877288373713555</v>
      </c>
      <c r="L372" s="42">
        <f t="shared" si="70"/>
        <v>0</v>
      </c>
      <c r="M372" s="42">
        <f t="shared" si="70"/>
        <v>20000</v>
      </c>
      <c r="N372" s="42">
        <f t="shared" si="64"/>
        <v>8175.4576747427109</v>
      </c>
      <c r="O372" s="36">
        <v>9.4275640923442054</v>
      </c>
      <c r="P372" s="42">
        <f t="shared" si="65"/>
        <v>550.64455106766218</v>
      </c>
      <c r="Q372" s="42"/>
      <c r="R372">
        <v>0.9311197241126743</v>
      </c>
      <c r="S372">
        <v>2.1271401104770042E-2</v>
      </c>
    </row>
    <row r="373" spans="1:19" x14ac:dyDescent="0.25">
      <c r="A373" s="40">
        <f t="shared" si="66"/>
        <v>0</v>
      </c>
      <c r="B373" s="40">
        <f t="shared" si="67"/>
        <v>50</v>
      </c>
      <c r="C373" s="41">
        <f t="shared" si="60"/>
        <v>1.0313000000000001</v>
      </c>
      <c r="D373" s="41">
        <f t="shared" si="61"/>
        <v>0.88000000000000012</v>
      </c>
      <c r="E373" s="39">
        <f>IF(_xlfn.NORM.INV(R373,C373,'Regressão Grupo 2'!$B$7)&lt;=0,0,IF(_xlfn.NORM.INV(R373,C373,'Regressão Grupo 2'!$B$7)&gt;100%,100%,_xlfn.NORM.INV(R373,C373,'Regressão Grupo 2'!$B$7)))</f>
        <v>1</v>
      </c>
      <c r="F373" s="39">
        <f>IF(_xlfn.NORM.INV(S373,D373,'Regressão Grupo 2'!$B$7)&lt;=0,0,IF(_xlfn.NORM.INV(S373,D373,'Regressão Grupo 2'!$B$7)&gt;100%,100%,_xlfn.NORM.INV(S373,D373,'Regressão Grupo 2'!$B$7)))</f>
        <v>0.80238797759470182</v>
      </c>
      <c r="G373" s="41">
        <v>1.3125336506480728E-2</v>
      </c>
      <c r="H373" s="41">
        <v>1.3066534888485332E-2</v>
      </c>
      <c r="I373" s="40">
        <f t="shared" si="62"/>
        <v>0</v>
      </c>
      <c r="J373" s="40">
        <f t="shared" si="63"/>
        <v>209.68861006684716</v>
      </c>
      <c r="K373" s="36">
        <v>0.2837817978107271</v>
      </c>
      <c r="L373" s="42">
        <f t="shared" si="70"/>
        <v>0</v>
      </c>
      <c r="M373" s="42">
        <f t="shared" si="70"/>
        <v>20000</v>
      </c>
      <c r="N373" s="42">
        <f t="shared" si="64"/>
        <v>5675.6359562145417</v>
      </c>
      <c r="O373" s="36">
        <v>3.23541377819339</v>
      </c>
      <c r="P373" s="42">
        <f t="shared" si="65"/>
        <v>4130.3651289873187</v>
      </c>
      <c r="Q373" s="42"/>
      <c r="R373">
        <v>0.75530259102145447</v>
      </c>
      <c r="S373">
        <v>0.28730124820703756</v>
      </c>
    </row>
    <row r="374" spans="1:19" x14ac:dyDescent="0.25">
      <c r="A374" s="40">
        <f t="shared" si="66"/>
        <v>0</v>
      </c>
      <c r="B374" s="40">
        <f t="shared" si="67"/>
        <v>50</v>
      </c>
      <c r="C374" s="41">
        <f t="shared" si="60"/>
        <v>1.0313000000000001</v>
      </c>
      <c r="D374" s="41">
        <f t="shared" si="61"/>
        <v>0.88000000000000012</v>
      </c>
      <c r="E374" s="39">
        <f>IF(_xlfn.NORM.INV(R374,C374,'Regressão Grupo 2'!$B$7)&lt;=0,0,IF(_xlfn.NORM.INV(R374,C374,'Regressão Grupo 2'!$B$7)&gt;100%,100%,_xlfn.NORM.INV(R374,C374,'Regressão Grupo 2'!$B$7)))</f>
        <v>1</v>
      </c>
      <c r="F374" s="39">
        <f>IF(_xlfn.NORM.INV(S374,D374,'Regressão Grupo 2'!$B$7)&lt;=0,0,IF(_xlfn.NORM.INV(S374,D374,'Regressão Grupo 2'!$B$7)&gt;100%,100%,_xlfn.NORM.INV(S374,D374,'Regressão Grupo 2'!$B$7)))</f>
        <v>1</v>
      </c>
      <c r="G374" s="41">
        <v>1.4101102615423487E-2</v>
      </c>
      <c r="H374" s="41">
        <v>4.2316324847176618E-3</v>
      </c>
      <c r="I374" s="40">
        <f t="shared" si="62"/>
        <v>0</v>
      </c>
      <c r="J374" s="40">
        <f t="shared" si="63"/>
        <v>84.632649694353233</v>
      </c>
      <c r="K374" s="36">
        <v>0.31879411116057665</v>
      </c>
      <c r="L374" s="42">
        <f t="shared" si="70"/>
        <v>0</v>
      </c>
      <c r="M374" s="42">
        <f t="shared" si="70"/>
        <v>20000</v>
      </c>
      <c r="N374" s="42">
        <f t="shared" si="64"/>
        <v>6375.8822232115335</v>
      </c>
      <c r="O374" s="36">
        <v>7.2840056651859744</v>
      </c>
      <c r="P374" s="42">
        <f t="shared" si="65"/>
        <v>-2760.7144383272407</v>
      </c>
      <c r="Q374" s="42"/>
      <c r="R374">
        <v>0.74663533433027129</v>
      </c>
      <c r="S374">
        <v>0.93066194647053435</v>
      </c>
    </row>
    <row r="375" spans="1:19" x14ac:dyDescent="0.25">
      <c r="A375" s="40">
        <f t="shared" si="66"/>
        <v>0</v>
      </c>
      <c r="B375" s="40">
        <f t="shared" si="67"/>
        <v>50</v>
      </c>
      <c r="C375" s="41">
        <f t="shared" si="60"/>
        <v>1.0313000000000001</v>
      </c>
      <c r="D375" s="41">
        <f t="shared" si="61"/>
        <v>0.88000000000000012</v>
      </c>
      <c r="E375" s="39">
        <f>IF(_xlfn.NORM.INV(R375,C375,'Regressão Grupo 2'!$B$7)&lt;=0,0,IF(_xlfn.NORM.INV(R375,C375,'Regressão Grupo 2'!$B$7)&gt;100%,100%,_xlfn.NORM.INV(R375,C375,'Regressão Grupo 2'!$B$7)))</f>
        <v>0.70136485235433477</v>
      </c>
      <c r="F375" s="39">
        <f>IF(_xlfn.NORM.INV(S375,D375,'Regressão Grupo 2'!$B$7)&lt;=0,0,IF(_xlfn.NORM.INV(S375,D375,'Regressão Grupo 2'!$B$7)&gt;100%,100%,_xlfn.NORM.INV(S375,D375,'Regressão Grupo 2'!$B$7)))</f>
        <v>0.85817752949943149</v>
      </c>
      <c r="G375" s="41">
        <v>2.2383732777947907E-2</v>
      </c>
      <c r="H375" s="41">
        <v>9.7180119813812631E-3</v>
      </c>
      <c r="I375" s="40">
        <f t="shared" si="62"/>
        <v>0</v>
      </c>
      <c r="J375" s="40">
        <f t="shared" si="63"/>
        <v>166.79559027655296</v>
      </c>
      <c r="K375" s="36">
        <v>0.32179646132072759</v>
      </c>
      <c r="L375" s="42">
        <f t="shared" ref="L375:M390" si="71">L374</f>
        <v>0</v>
      </c>
      <c r="M375" s="42">
        <f t="shared" si="71"/>
        <v>20000</v>
      </c>
      <c r="N375" s="42">
        <f t="shared" si="64"/>
        <v>6435.9292264145515</v>
      </c>
      <c r="O375" s="36">
        <v>8.1766062948375602</v>
      </c>
      <c r="P375" s="42">
        <f t="shared" si="65"/>
        <v>540.02841400668785</v>
      </c>
      <c r="Q375" s="42"/>
      <c r="R375">
        <v>8.5146641438032175E-3</v>
      </c>
      <c r="S375">
        <v>0.43729972228156377</v>
      </c>
    </row>
    <row r="376" spans="1:19" x14ac:dyDescent="0.25">
      <c r="A376" s="40">
        <f t="shared" si="66"/>
        <v>0</v>
      </c>
      <c r="B376" s="40">
        <f t="shared" si="67"/>
        <v>50</v>
      </c>
      <c r="C376" s="41">
        <f t="shared" si="60"/>
        <v>1.0313000000000001</v>
      </c>
      <c r="D376" s="41">
        <f t="shared" si="61"/>
        <v>0.88000000000000012</v>
      </c>
      <c r="E376" s="39">
        <f>IF(_xlfn.NORM.INV(R376,C376,'Regressão Grupo 2'!$B$7)&lt;=0,0,IF(_xlfn.NORM.INV(R376,C376,'Regressão Grupo 2'!$B$7)&gt;100%,100%,_xlfn.NORM.INV(R376,C376,'Regressão Grupo 2'!$B$7)))</f>
        <v>0.69100573562121848</v>
      </c>
      <c r="F376" s="39">
        <f>IF(_xlfn.NORM.INV(S376,D376,'Regressão Grupo 2'!$B$7)&lt;=0,0,IF(_xlfn.NORM.INV(S376,D376,'Regressão Grupo 2'!$B$7)&gt;100%,100%,_xlfn.NORM.INV(S376,D376,'Regressão Grupo 2'!$B$7)))</f>
        <v>0.95263426442220878</v>
      </c>
      <c r="G376" s="41">
        <v>2.2820573033191884E-2</v>
      </c>
      <c r="H376" s="41">
        <v>2.0944142309436725E-2</v>
      </c>
      <c r="I376" s="40">
        <f t="shared" si="62"/>
        <v>0</v>
      </c>
      <c r="J376" s="40">
        <f t="shared" si="63"/>
        <v>399.04215205808634</v>
      </c>
      <c r="K376" s="36">
        <v>0.17111081767352809</v>
      </c>
      <c r="L376" s="42">
        <f t="shared" si="71"/>
        <v>0</v>
      </c>
      <c r="M376" s="42">
        <f t="shared" si="71"/>
        <v>20000</v>
      </c>
      <c r="N376" s="42">
        <f t="shared" si="64"/>
        <v>3422.2163534705619</v>
      </c>
      <c r="O376" s="36">
        <v>4.9887007474969263</v>
      </c>
      <c r="P376" s="42">
        <f t="shared" si="65"/>
        <v>14539.189367178798</v>
      </c>
      <c r="Q376" s="42"/>
      <c r="R376">
        <v>6.9277016510513626E-3</v>
      </c>
      <c r="S376">
        <v>0.70030823694570754</v>
      </c>
    </row>
    <row r="377" spans="1:19" x14ac:dyDescent="0.25">
      <c r="A377" s="40">
        <f t="shared" si="66"/>
        <v>0</v>
      </c>
      <c r="B377" s="40">
        <f t="shared" si="67"/>
        <v>50</v>
      </c>
      <c r="C377" s="41">
        <f t="shared" si="60"/>
        <v>1.0313000000000001</v>
      </c>
      <c r="D377" s="41">
        <f t="shared" si="61"/>
        <v>0.88000000000000012</v>
      </c>
      <c r="E377" s="39">
        <f>IF(_xlfn.NORM.INV(R377,C377,'Regressão Grupo 2'!$B$7)&lt;=0,0,IF(_xlfn.NORM.INV(R377,C377,'Regressão Grupo 2'!$B$7)&gt;100%,100%,_xlfn.NORM.INV(R377,C377,'Regressão Grupo 2'!$B$7)))</f>
        <v>0.64884307493552651</v>
      </c>
      <c r="F377" s="39">
        <f>IF(_xlfn.NORM.INV(S377,D377,'Regressão Grupo 2'!$B$7)&lt;=0,0,IF(_xlfn.NORM.INV(S377,D377,'Regressão Grupo 2'!$B$7)&gt;100%,100%,_xlfn.NORM.INV(S377,D377,'Regressão Grupo 2'!$B$7)))</f>
        <v>0.94434616299681484</v>
      </c>
      <c r="G377" s="41">
        <v>1.1474397957660053E-2</v>
      </c>
      <c r="H377" s="41">
        <v>1.9939133293194182E-2</v>
      </c>
      <c r="I377" s="40">
        <f t="shared" si="62"/>
        <v>0</v>
      </c>
      <c r="J377" s="40">
        <f t="shared" si="63"/>
        <v>376.58888037819941</v>
      </c>
      <c r="K377" s="36">
        <v>0.35001147631996049</v>
      </c>
      <c r="L377" s="42">
        <f t="shared" si="71"/>
        <v>0</v>
      </c>
      <c r="M377" s="42">
        <f t="shared" si="71"/>
        <v>20000</v>
      </c>
      <c r="N377" s="42">
        <f t="shared" si="64"/>
        <v>7000.22952639921</v>
      </c>
      <c r="O377" s="36">
        <v>5.9690434559223409</v>
      </c>
      <c r="P377" s="42">
        <f t="shared" si="65"/>
        <v>9581.3391005161466</v>
      </c>
      <c r="Q377" s="42"/>
      <c r="R377">
        <v>2.8382213812677389E-3</v>
      </c>
      <c r="S377">
        <v>0.67915890987884153</v>
      </c>
    </row>
    <row r="378" spans="1:19" x14ac:dyDescent="0.25">
      <c r="A378" s="40">
        <f t="shared" si="66"/>
        <v>0</v>
      </c>
      <c r="B378" s="40">
        <f t="shared" si="67"/>
        <v>50</v>
      </c>
      <c r="C378" s="41">
        <f t="shared" si="60"/>
        <v>1.0313000000000001</v>
      </c>
      <c r="D378" s="41">
        <f t="shared" si="61"/>
        <v>0.88000000000000012</v>
      </c>
      <c r="E378" s="39">
        <f>IF(_xlfn.NORM.INV(R378,C378,'Regressão Grupo 2'!$B$7)&lt;=0,0,IF(_xlfn.NORM.INV(R378,C378,'Regressão Grupo 2'!$B$7)&gt;100%,100%,_xlfn.NORM.INV(R378,C378,'Regressão Grupo 2'!$B$7)))</f>
        <v>0.91626961973970933</v>
      </c>
      <c r="F378" s="39">
        <f>IF(_xlfn.NORM.INV(S378,D378,'Regressão Grupo 2'!$B$7)&lt;=0,0,IF(_xlfn.NORM.INV(S378,D378,'Regressão Grupo 2'!$B$7)&gt;100%,100%,_xlfn.NORM.INV(S378,D378,'Regressão Grupo 2'!$B$7)))</f>
        <v>0.90151192317844353</v>
      </c>
      <c r="G378" s="41">
        <v>1.0637025199003174E-3</v>
      </c>
      <c r="H378" s="41">
        <v>8.8612150673131312E-3</v>
      </c>
      <c r="I378" s="40">
        <f t="shared" si="62"/>
        <v>0</v>
      </c>
      <c r="J378" s="40">
        <f t="shared" si="63"/>
        <v>159.76982074062525</v>
      </c>
      <c r="K378" s="36">
        <v>0.2579461164701678</v>
      </c>
      <c r="L378" s="42">
        <f t="shared" si="71"/>
        <v>0</v>
      </c>
      <c r="M378" s="42">
        <f t="shared" si="71"/>
        <v>20000</v>
      </c>
      <c r="N378" s="42">
        <f t="shared" si="64"/>
        <v>5158.9223294033563</v>
      </c>
      <c r="O378" s="36">
        <v>7.8141911448904295</v>
      </c>
      <c r="P378" s="42">
        <f t="shared" si="65"/>
        <v>1581.0967891757809</v>
      </c>
      <c r="Q378" s="42"/>
      <c r="R378">
        <v>0.20273445844904936</v>
      </c>
      <c r="S378">
        <v>0.56181524094363233</v>
      </c>
    </row>
    <row r="379" spans="1:19" x14ac:dyDescent="0.25">
      <c r="A379" s="40">
        <f t="shared" si="66"/>
        <v>0</v>
      </c>
      <c r="B379" s="40">
        <f t="shared" si="67"/>
        <v>50</v>
      </c>
      <c r="C379" s="41">
        <f t="shared" si="60"/>
        <v>1.0313000000000001</v>
      </c>
      <c r="D379" s="41">
        <f t="shared" si="61"/>
        <v>0.88000000000000012</v>
      </c>
      <c r="E379" s="39">
        <f>IF(_xlfn.NORM.INV(R379,C379,'Regressão Grupo 2'!$B$7)&lt;=0,0,IF(_xlfn.NORM.INV(R379,C379,'Regressão Grupo 2'!$B$7)&gt;100%,100%,_xlfn.NORM.INV(R379,C379,'Regressão Grupo 2'!$B$7)))</f>
        <v>1</v>
      </c>
      <c r="F379" s="39">
        <f>IF(_xlfn.NORM.INV(S379,D379,'Regressão Grupo 2'!$B$7)&lt;=0,0,IF(_xlfn.NORM.INV(S379,D379,'Regressão Grupo 2'!$B$7)&gt;100%,100%,_xlfn.NORM.INV(S379,D379,'Regressão Grupo 2'!$B$7)))</f>
        <v>0.79165932741953471</v>
      </c>
      <c r="G379" s="41">
        <v>1.5674059714629603E-2</v>
      </c>
      <c r="H379" s="41">
        <v>1.1893696873155814E-2</v>
      </c>
      <c r="I379" s="40">
        <f t="shared" si="62"/>
        <v>0</v>
      </c>
      <c r="J379" s="40">
        <f t="shared" si="63"/>
        <v>188.31512134268709</v>
      </c>
      <c r="K379" s="36">
        <v>0.21920428467032821</v>
      </c>
      <c r="L379" s="42">
        <f t="shared" si="71"/>
        <v>0</v>
      </c>
      <c r="M379" s="42">
        <f t="shared" si="71"/>
        <v>20000</v>
      </c>
      <c r="N379" s="42">
        <f t="shared" si="64"/>
        <v>4384.0856934065641</v>
      </c>
      <c r="O379" s="36">
        <v>4.1394643491095708</v>
      </c>
      <c r="P379" s="42">
        <f t="shared" si="65"/>
        <v>4252.1466425314948</v>
      </c>
      <c r="Q379" s="42"/>
      <c r="R379">
        <v>0.4328745384075442</v>
      </c>
      <c r="S379">
        <v>0.26145207068086795</v>
      </c>
    </row>
    <row r="380" spans="1:19" x14ac:dyDescent="0.25">
      <c r="A380" s="40">
        <f t="shared" si="66"/>
        <v>0</v>
      </c>
      <c r="B380" s="40">
        <f t="shared" si="67"/>
        <v>50</v>
      </c>
      <c r="C380" s="41">
        <f t="shared" si="60"/>
        <v>1.0313000000000001</v>
      </c>
      <c r="D380" s="41">
        <f t="shared" si="61"/>
        <v>0.88000000000000012</v>
      </c>
      <c r="E380" s="39">
        <f>IF(_xlfn.NORM.INV(R380,C380,'Regressão Grupo 2'!$B$7)&lt;=0,0,IF(_xlfn.NORM.INV(R380,C380,'Regressão Grupo 2'!$B$7)&gt;100%,100%,_xlfn.NORM.INV(R380,C380,'Regressão Grupo 2'!$B$7)))</f>
        <v>0.84634671133170769</v>
      </c>
      <c r="F380" s="39">
        <f>IF(_xlfn.NORM.INV(S380,D380,'Regressão Grupo 2'!$B$7)&lt;=0,0,IF(_xlfn.NORM.INV(S380,D380,'Regressão Grupo 2'!$B$7)&gt;100%,100%,_xlfn.NORM.INV(S380,D380,'Regressão Grupo 2'!$B$7)))</f>
        <v>0.78160028907102352</v>
      </c>
      <c r="G380" s="41">
        <v>2.4344588473594095E-2</v>
      </c>
      <c r="H380" s="41">
        <v>2.643227839414369E-2</v>
      </c>
      <c r="I380" s="40">
        <f t="shared" si="62"/>
        <v>0</v>
      </c>
      <c r="J380" s="40">
        <f t="shared" si="63"/>
        <v>413.18952867336958</v>
      </c>
      <c r="K380" s="36">
        <v>0.38153807798765921</v>
      </c>
      <c r="L380" s="42">
        <f t="shared" si="71"/>
        <v>0</v>
      </c>
      <c r="M380" s="42">
        <f t="shared" si="71"/>
        <v>20000</v>
      </c>
      <c r="N380" s="42">
        <f t="shared" si="64"/>
        <v>7630.761559753184</v>
      </c>
      <c r="O380" s="36">
        <v>4.1438557545904242</v>
      </c>
      <c r="P380" s="42">
        <f t="shared" si="65"/>
        <v>11316.517067785648</v>
      </c>
      <c r="Q380" s="42"/>
      <c r="R380">
        <v>9.0517899105807667E-2</v>
      </c>
      <c r="S380">
        <v>0.23834955900753807</v>
      </c>
    </row>
    <row r="381" spans="1:19" x14ac:dyDescent="0.25">
      <c r="A381" s="40">
        <f t="shared" si="66"/>
        <v>0</v>
      </c>
      <c r="B381" s="40">
        <f t="shared" si="67"/>
        <v>50</v>
      </c>
      <c r="C381" s="41">
        <f t="shared" si="60"/>
        <v>1.0313000000000001</v>
      </c>
      <c r="D381" s="41">
        <f t="shared" si="61"/>
        <v>0.88000000000000012</v>
      </c>
      <c r="E381" s="39">
        <f>IF(_xlfn.NORM.INV(R381,C381,'Regressão Grupo 2'!$B$7)&lt;=0,0,IF(_xlfn.NORM.INV(R381,C381,'Regressão Grupo 2'!$B$7)&gt;100%,100%,_xlfn.NORM.INV(R381,C381,'Regressão Grupo 2'!$B$7)))</f>
        <v>1</v>
      </c>
      <c r="F381" s="39">
        <f>IF(_xlfn.NORM.INV(S381,D381,'Regressão Grupo 2'!$B$7)&lt;=0,0,IF(_xlfn.NORM.INV(S381,D381,'Regressão Grupo 2'!$B$7)&gt;100%,100%,_xlfn.NORM.INV(S381,D381,'Regressão Grupo 2'!$B$7)))</f>
        <v>0.66659252861876539</v>
      </c>
      <c r="G381" s="41">
        <v>1.6313231396995139E-2</v>
      </c>
      <c r="H381" s="41">
        <v>9.9675307051370118E-3</v>
      </c>
      <c r="I381" s="40">
        <f t="shared" si="62"/>
        <v>0</v>
      </c>
      <c r="J381" s="40">
        <f t="shared" si="63"/>
        <v>132.88562993644933</v>
      </c>
      <c r="K381" s="36">
        <v>0.4099628970013926</v>
      </c>
      <c r="L381" s="42">
        <f t="shared" si="71"/>
        <v>0</v>
      </c>
      <c r="M381" s="42">
        <f t="shared" si="71"/>
        <v>20000</v>
      </c>
      <c r="N381" s="42">
        <f t="shared" si="64"/>
        <v>8199.2579400278519</v>
      </c>
      <c r="O381" s="36">
        <v>4.9581370736332531</v>
      </c>
      <c r="P381" s="42">
        <f t="shared" si="65"/>
        <v>-2213.8416115464033</v>
      </c>
      <c r="Q381" s="42"/>
      <c r="R381">
        <v>0.65092928861354415</v>
      </c>
      <c r="S381">
        <v>6.1372722556230351E-2</v>
      </c>
    </row>
    <row r="382" spans="1:19" x14ac:dyDescent="0.25">
      <c r="A382" s="40">
        <f t="shared" si="66"/>
        <v>0</v>
      </c>
      <c r="B382" s="40">
        <f t="shared" si="67"/>
        <v>50</v>
      </c>
      <c r="C382" s="41">
        <f t="shared" si="60"/>
        <v>1.0313000000000001</v>
      </c>
      <c r="D382" s="41">
        <f t="shared" si="61"/>
        <v>0.88000000000000012</v>
      </c>
      <c r="E382" s="39">
        <f>IF(_xlfn.NORM.INV(R382,C382,'Regressão Grupo 2'!$B$7)&lt;=0,0,IF(_xlfn.NORM.INV(R382,C382,'Regressão Grupo 2'!$B$7)&gt;100%,100%,_xlfn.NORM.INV(R382,C382,'Regressão Grupo 2'!$B$7)))</f>
        <v>1</v>
      </c>
      <c r="F382" s="39">
        <f>IF(_xlfn.NORM.INV(S382,D382,'Regressão Grupo 2'!$B$7)&lt;=0,0,IF(_xlfn.NORM.INV(S382,D382,'Regressão Grupo 2'!$B$7)&gt;100%,100%,_xlfn.NORM.INV(S382,D382,'Regressão Grupo 2'!$B$7)))</f>
        <v>1</v>
      </c>
      <c r="G382" s="41">
        <v>2.52751654638773E-2</v>
      </c>
      <c r="H382" s="41">
        <v>1.6464496215193383E-2</v>
      </c>
      <c r="I382" s="40">
        <f t="shared" si="62"/>
        <v>0</v>
      </c>
      <c r="J382" s="40">
        <f t="shared" si="63"/>
        <v>329.28992430386768</v>
      </c>
      <c r="K382" s="36">
        <v>0.45053265093668299</v>
      </c>
      <c r="L382" s="42">
        <f t="shared" si="71"/>
        <v>0</v>
      </c>
      <c r="M382" s="42">
        <f t="shared" si="71"/>
        <v>20000</v>
      </c>
      <c r="N382" s="42">
        <f t="shared" si="64"/>
        <v>9010.6530187336593</v>
      </c>
      <c r="O382" s="36">
        <v>8.5095237221123483</v>
      </c>
      <c r="P382" s="42">
        <f t="shared" si="65"/>
        <v>4651.7427741433821</v>
      </c>
      <c r="Q382" s="42"/>
      <c r="R382">
        <v>0.73668630024109627</v>
      </c>
      <c r="S382">
        <v>0.93771172215948972</v>
      </c>
    </row>
    <row r="383" spans="1:19" x14ac:dyDescent="0.25">
      <c r="A383" s="40">
        <f t="shared" si="66"/>
        <v>0</v>
      </c>
      <c r="B383" s="40">
        <f t="shared" si="67"/>
        <v>50</v>
      </c>
      <c r="C383" s="41">
        <f t="shared" si="60"/>
        <v>1.0313000000000001</v>
      </c>
      <c r="D383" s="41">
        <f t="shared" si="61"/>
        <v>0.88000000000000012</v>
      </c>
      <c r="E383" s="39">
        <f>IF(_xlfn.NORM.INV(R383,C383,'Regressão Grupo 2'!$B$7)&lt;=0,0,IF(_xlfn.NORM.INV(R383,C383,'Regressão Grupo 2'!$B$7)&gt;100%,100%,_xlfn.NORM.INV(R383,C383,'Regressão Grupo 2'!$B$7)))</f>
        <v>0.96415869755820571</v>
      </c>
      <c r="F383" s="39">
        <f>IF(_xlfn.NORM.INV(S383,D383,'Regressão Grupo 2'!$B$7)&lt;=0,0,IF(_xlfn.NORM.INV(S383,D383,'Regressão Grupo 2'!$B$7)&gt;100%,100%,_xlfn.NORM.INV(S383,D383,'Regressão Grupo 2'!$B$7)))</f>
        <v>0.98204494726347824</v>
      </c>
      <c r="G383" s="41">
        <v>1.9814575255098908E-2</v>
      </c>
      <c r="H383" s="41">
        <v>1.9833821193187197E-2</v>
      </c>
      <c r="I383" s="40">
        <f t="shared" si="62"/>
        <v>0</v>
      </c>
      <c r="J383" s="40">
        <f t="shared" si="63"/>
        <v>389.55407775393553</v>
      </c>
      <c r="K383" s="36">
        <v>0.16869730230196012</v>
      </c>
      <c r="L383" s="42">
        <f t="shared" si="71"/>
        <v>0</v>
      </c>
      <c r="M383" s="42">
        <f t="shared" si="71"/>
        <v>20000</v>
      </c>
      <c r="N383" s="42">
        <f t="shared" si="64"/>
        <v>3373.9460460392024</v>
      </c>
      <c r="O383" s="36">
        <v>5.6213100701241627</v>
      </c>
      <c r="P383" s="42">
        <f t="shared" si="65"/>
        <v>13913.953581521446</v>
      </c>
      <c r="Q383" s="42"/>
      <c r="R383">
        <v>0.31363872188482317</v>
      </c>
      <c r="S383">
        <v>0.76973784600360118</v>
      </c>
    </row>
    <row r="384" spans="1:19" x14ac:dyDescent="0.25">
      <c r="A384" s="40">
        <f t="shared" si="66"/>
        <v>0</v>
      </c>
      <c r="B384" s="40">
        <f t="shared" si="67"/>
        <v>50</v>
      </c>
      <c r="C384" s="41">
        <f t="shared" si="60"/>
        <v>1.0313000000000001</v>
      </c>
      <c r="D384" s="41">
        <f t="shared" si="61"/>
        <v>0.88000000000000012</v>
      </c>
      <c r="E384" s="39">
        <f>IF(_xlfn.NORM.INV(R384,C384,'Regressão Grupo 2'!$B$7)&lt;=0,0,IF(_xlfn.NORM.INV(R384,C384,'Regressão Grupo 2'!$B$7)&gt;100%,100%,_xlfn.NORM.INV(R384,C384,'Regressão Grupo 2'!$B$7)))</f>
        <v>1</v>
      </c>
      <c r="F384" s="39">
        <f>IF(_xlfn.NORM.INV(S384,D384,'Regressão Grupo 2'!$B$7)&lt;=0,0,IF(_xlfn.NORM.INV(S384,D384,'Regressão Grupo 2'!$B$7)&gt;100%,100%,_xlfn.NORM.INV(S384,D384,'Regressão Grupo 2'!$B$7)))</f>
        <v>0.79469966840602613</v>
      </c>
      <c r="G384" s="41">
        <v>9.3383932674521927E-3</v>
      </c>
      <c r="H384" s="41">
        <v>2.0577726344101765E-2</v>
      </c>
      <c r="I384" s="40">
        <f t="shared" si="62"/>
        <v>0</v>
      </c>
      <c r="J384" s="40">
        <f t="shared" si="63"/>
        <v>327.06224604415246</v>
      </c>
      <c r="K384" s="36">
        <v>0.31506712662172576</v>
      </c>
      <c r="L384" s="42">
        <f t="shared" si="71"/>
        <v>0</v>
      </c>
      <c r="M384" s="42">
        <f t="shared" si="71"/>
        <v>20000</v>
      </c>
      <c r="N384" s="42">
        <f t="shared" si="64"/>
        <v>6301.3425324345153</v>
      </c>
      <c r="O384" s="36">
        <v>8.3165445821508897</v>
      </c>
      <c r="P384" s="42">
        <f t="shared" si="65"/>
        <v>7331.7420194085098</v>
      </c>
      <c r="Q384" s="42"/>
      <c r="R384">
        <v>0.58677938169499799</v>
      </c>
      <c r="S384">
        <v>0.26865443891720331</v>
      </c>
    </row>
    <row r="385" spans="1:19" x14ac:dyDescent="0.25">
      <c r="A385" s="40">
        <f t="shared" si="66"/>
        <v>0</v>
      </c>
      <c r="B385" s="40">
        <f t="shared" si="67"/>
        <v>50</v>
      </c>
      <c r="C385" s="41">
        <f t="shared" si="60"/>
        <v>1.0313000000000001</v>
      </c>
      <c r="D385" s="41">
        <f t="shared" si="61"/>
        <v>0.88000000000000012</v>
      </c>
      <c r="E385" s="39">
        <f>IF(_xlfn.NORM.INV(R385,C385,'Regressão Grupo 2'!$B$7)&lt;=0,0,IF(_xlfn.NORM.INV(R385,C385,'Regressão Grupo 2'!$B$7)&gt;100%,100%,_xlfn.NORM.INV(R385,C385,'Regressão Grupo 2'!$B$7)))</f>
        <v>0.94105692288501586</v>
      </c>
      <c r="F385" s="39">
        <f>IF(_xlfn.NORM.INV(S385,D385,'Regressão Grupo 2'!$B$7)&lt;=0,0,IF(_xlfn.NORM.INV(S385,D385,'Regressão Grupo 2'!$B$7)&gt;100%,100%,_xlfn.NORM.INV(S385,D385,'Regressão Grupo 2'!$B$7)))</f>
        <v>0.84158457064945524</v>
      </c>
      <c r="G385" s="41">
        <v>1.8628332211206383E-2</v>
      </c>
      <c r="H385" s="41">
        <v>1.7968675696177893E-2</v>
      </c>
      <c r="I385" s="40">
        <f t="shared" si="62"/>
        <v>0</v>
      </c>
      <c r="J385" s="40">
        <f t="shared" si="63"/>
        <v>302.44320441814347</v>
      </c>
      <c r="K385" s="36">
        <v>0.25708990567301093</v>
      </c>
      <c r="L385" s="42">
        <f t="shared" si="71"/>
        <v>0</v>
      </c>
      <c r="M385" s="42">
        <f t="shared" si="71"/>
        <v>20000</v>
      </c>
      <c r="N385" s="42">
        <f t="shared" si="64"/>
        <v>5141.7981134602187</v>
      </c>
      <c r="O385" s="36">
        <v>3.1590216897756713</v>
      </c>
      <c r="P385" s="42">
        <f t="shared" si="65"/>
        <v>9024.9374647647819</v>
      </c>
      <c r="Q385" s="42"/>
      <c r="R385">
        <v>0.25699636829737238</v>
      </c>
      <c r="S385">
        <v>0.39057588427381207</v>
      </c>
    </row>
    <row r="386" spans="1:19" x14ac:dyDescent="0.25">
      <c r="A386" s="40">
        <f t="shared" si="66"/>
        <v>0</v>
      </c>
      <c r="B386" s="40">
        <f t="shared" si="67"/>
        <v>50</v>
      </c>
      <c r="C386" s="41">
        <f t="shared" si="60"/>
        <v>1.0313000000000001</v>
      </c>
      <c r="D386" s="41">
        <f t="shared" si="61"/>
        <v>0.88000000000000012</v>
      </c>
      <c r="E386" s="39">
        <f>IF(_xlfn.NORM.INV(R386,C386,'Regressão Grupo 2'!$B$7)&lt;=0,0,IF(_xlfn.NORM.INV(R386,C386,'Regressão Grupo 2'!$B$7)&gt;100%,100%,_xlfn.NORM.INV(R386,C386,'Regressão Grupo 2'!$B$7)))</f>
        <v>1</v>
      </c>
      <c r="F386" s="39">
        <f>IF(_xlfn.NORM.INV(S386,D386,'Regressão Grupo 2'!$B$7)&lt;=0,0,IF(_xlfn.NORM.INV(S386,D386,'Regressão Grupo 2'!$B$7)&gt;100%,100%,_xlfn.NORM.INV(S386,D386,'Regressão Grupo 2'!$B$7)))</f>
        <v>1</v>
      </c>
      <c r="G386" s="41">
        <v>2.506660356712314E-2</v>
      </c>
      <c r="H386" s="41">
        <v>1.5580491570147709E-2</v>
      </c>
      <c r="I386" s="40">
        <f t="shared" si="62"/>
        <v>0</v>
      </c>
      <c r="J386" s="40">
        <f t="shared" si="63"/>
        <v>311.60983140295417</v>
      </c>
      <c r="K386" s="36">
        <v>0.2801654595620755</v>
      </c>
      <c r="L386" s="42">
        <f t="shared" si="71"/>
        <v>0</v>
      </c>
      <c r="M386" s="42">
        <f t="shared" si="71"/>
        <v>20000</v>
      </c>
      <c r="N386" s="42">
        <f t="shared" si="64"/>
        <v>5603.3091912415102</v>
      </c>
      <c r="O386" s="36">
        <v>4.3548250599898344</v>
      </c>
      <c r="P386" s="42">
        <f t="shared" si="65"/>
        <v>8620.1760761734076</v>
      </c>
      <c r="Q386" s="42"/>
      <c r="R386">
        <v>0.5919064912869656</v>
      </c>
      <c r="S386">
        <v>0.98794518875698112</v>
      </c>
    </row>
    <row r="387" spans="1:19" x14ac:dyDescent="0.25">
      <c r="A387" s="40">
        <f t="shared" si="66"/>
        <v>0</v>
      </c>
      <c r="B387" s="40">
        <f t="shared" si="67"/>
        <v>50</v>
      </c>
      <c r="C387" s="41">
        <f t="shared" si="60"/>
        <v>1.0313000000000001</v>
      </c>
      <c r="D387" s="41">
        <f t="shared" si="61"/>
        <v>0.88000000000000012</v>
      </c>
      <c r="E387" s="39">
        <f>IF(_xlfn.NORM.INV(R387,C387,'Regressão Grupo 2'!$B$7)&lt;=0,0,IF(_xlfn.NORM.INV(R387,C387,'Regressão Grupo 2'!$B$7)&gt;100%,100%,_xlfn.NORM.INV(R387,C387,'Regressão Grupo 2'!$B$7)))</f>
        <v>1</v>
      </c>
      <c r="F387" s="39">
        <f>IF(_xlfn.NORM.INV(S387,D387,'Regressão Grupo 2'!$B$7)&lt;=0,0,IF(_xlfn.NORM.INV(S387,D387,'Regressão Grupo 2'!$B$7)&gt;100%,100%,_xlfn.NORM.INV(S387,D387,'Regressão Grupo 2'!$B$7)))</f>
        <v>0.76930884352739282</v>
      </c>
      <c r="G387" s="41">
        <v>1.8720580863254913E-2</v>
      </c>
      <c r="H387" s="41">
        <v>8.6433911991744619E-3</v>
      </c>
      <c r="I387" s="40">
        <f t="shared" si="62"/>
        <v>0</v>
      </c>
      <c r="J387" s="40">
        <f t="shared" si="63"/>
        <v>132.98874575183501</v>
      </c>
      <c r="K387" s="36">
        <v>0.20321050624744325</v>
      </c>
      <c r="L387" s="42">
        <f t="shared" si="71"/>
        <v>0</v>
      </c>
      <c r="M387" s="42">
        <f t="shared" si="71"/>
        <v>20000</v>
      </c>
      <c r="N387" s="42">
        <f t="shared" si="64"/>
        <v>4064.2101249488651</v>
      </c>
      <c r="O387" s="36">
        <v>6.5275105736539221</v>
      </c>
      <c r="P387" s="42">
        <f t="shared" si="65"/>
        <v>1717.1417185708096</v>
      </c>
      <c r="Q387" s="42"/>
      <c r="R387">
        <v>0.88140507217627495</v>
      </c>
      <c r="S387">
        <v>0.21170690023499253</v>
      </c>
    </row>
    <row r="388" spans="1:19" x14ac:dyDescent="0.25">
      <c r="A388" s="40">
        <f t="shared" si="66"/>
        <v>0</v>
      </c>
      <c r="B388" s="40">
        <f t="shared" si="67"/>
        <v>50</v>
      </c>
      <c r="C388" s="41">
        <f t="shared" si="60"/>
        <v>1.0313000000000001</v>
      </c>
      <c r="D388" s="41">
        <f t="shared" si="61"/>
        <v>0.88000000000000012</v>
      </c>
      <c r="E388" s="39">
        <f>IF(_xlfn.NORM.INV(R388,C388,'Regressão Grupo 2'!$B$7)&lt;=0,0,IF(_xlfn.NORM.INV(R388,C388,'Regressão Grupo 2'!$B$7)&gt;100%,100%,_xlfn.NORM.INV(R388,C388,'Regressão Grupo 2'!$B$7)))</f>
        <v>1</v>
      </c>
      <c r="F388" s="39">
        <f>IF(_xlfn.NORM.INV(S388,D388,'Regressão Grupo 2'!$B$7)&lt;=0,0,IF(_xlfn.NORM.INV(S388,D388,'Regressão Grupo 2'!$B$7)&gt;100%,100%,_xlfn.NORM.INV(S388,D388,'Regressão Grupo 2'!$B$7)))</f>
        <v>1</v>
      </c>
      <c r="G388" s="41">
        <v>2.9023880105183277E-2</v>
      </c>
      <c r="H388" s="41">
        <v>2.7104048610138914E-2</v>
      </c>
      <c r="I388" s="40">
        <f t="shared" si="62"/>
        <v>0</v>
      </c>
      <c r="J388" s="40">
        <f t="shared" si="63"/>
        <v>542.0809722027783</v>
      </c>
      <c r="K388" s="36">
        <v>0.36110316511207918</v>
      </c>
      <c r="L388" s="42">
        <f t="shared" si="71"/>
        <v>0</v>
      </c>
      <c r="M388" s="42">
        <f t="shared" si="71"/>
        <v>20000</v>
      </c>
      <c r="N388" s="42">
        <f t="shared" si="64"/>
        <v>7222.0633022415841</v>
      </c>
      <c r="O388" s="36">
        <v>4.6963866374022114</v>
      </c>
      <c r="P388" s="42">
        <f t="shared" si="65"/>
        <v>17336.163473654204</v>
      </c>
      <c r="Q388" s="42"/>
      <c r="R388">
        <v>0.92254402294991911</v>
      </c>
      <c r="S388">
        <v>0.98312326425977359</v>
      </c>
    </row>
    <row r="389" spans="1:19" x14ac:dyDescent="0.25">
      <c r="A389" s="40">
        <f t="shared" si="66"/>
        <v>0</v>
      </c>
      <c r="B389" s="40">
        <f t="shared" si="67"/>
        <v>50</v>
      </c>
      <c r="C389" s="41">
        <f t="shared" si="60"/>
        <v>1.0313000000000001</v>
      </c>
      <c r="D389" s="41">
        <f t="shared" si="61"/>
        <v>0.88000000000000012</v>
      </c>
      <c r="E389" s="39">
        <f>IF(_xlfn.NORM.INV(R389,C389,'Regressão Grupo 2'!$B$7)&lt;=0,0,IF(_xlfn.NORM.INV(R389,C389,'Regressão Grupo 2'!$B$7)&gt;100%,100%,_xlfn.NORM.INV(R389,C389,'Regressão Grupo 2'!$B$7)))</f>
        <v>1</v>
      </c>
      <c r="F389" s="39">
        <f>IF(_xlfn.NORM.INV(S389,D389,'Regressão Grupo 2'!$B$7)&lt;=0,0,IF(_xlfn.NORM.INV(S389,D389,'Regressão Grupo 2'!$B$7)&gt;100%,100%,_xlfn.NORM.INV(S389,D389,'Regressão Grupo 2'!$B$7)))</f>
        <v>1</v>
      </c>
      <c r="G389" s="41">
        <v>1.3783162613579848E-2</v>
      </c>
      <c r="H389" s="41">
        <v>1.6395702786473218E-2</v>
      </c>
      <c r="I389" s="40">
        <f t="shared" si="62"/>
        <v>0</v>
      </c>
      <c r="J389" s="40">
        <f t="shared" si="63"/>
        <v>327.91405572946434</v>
      </c>
      <c r="K389" s="36">
        <v>0.38459109317502338</v>
      </c>
      <c r="L389" s="42">
        <f t="shared" si="71"/>
        <v>0</v>
      </c>
      <c r="M389" s="42">
        <f t="shared" si="71"/>
        <v>20000</v>
      </c>
      <c r="N389" s="42">
        <f t="shared" si="64"/>
        <v>7691.8218635004678</v>
      </c>
      <c r="O389" s="36">
        <v>4.3557614955894879</v>
      </c>
      <c r="P389" s="42">
        <f t="shared" si="65"/>
        <v>7275.5655051637614</v>
      </c>
      <c r="Q389" s="42"/>
      <c r="R389">
        <v>0.82735679189428391</v>
      </c>
      <c r="S389">
        <v>0.90182195501571705</v>
      </c>
    </row>
    <row r="390" spans="1:19" x14ac:dyDescent="0.25">
      <c r="A390" s="40">
        <f t="shared" si="66"/>
        <v>0</v>
      </c>
      <c r="B390" s="40">
        <f t="shared" si="67"/>
        <v>50</v>
      </c>
      <c r="C390" s="41">
        <f t="shared" ref="C390:C453" si="72">-0.0071*A390 + 1.0313</f>
        <v>1.0313000000000001</v>
      </c>
      <c r="D390" s="41">
        <f t="shared" ref="D390:D453" si="73">-0.0059*B390+1.175</f>
        <v>0.88000000000000012</v>
      </c>
      <c r="E390" s="39">
        <f>IF(_xlfn.NORM.INV(R390,C390,'Regressão Grupo 2'!$B$7)&lt;=0,0,IF(_xlfn.NORM.INV(R390,C390,'Regressão Grupo 2'!$B$7)&gt;100%,100%,_xlfn.NORM.INV(R390,C390,'Regressão Grupo 2'!$B$7)))</f>
        <v>0.95944172649501169</v>
      </c>
      <c r="F390" s="39">
        <f>IF(_xlfn.NORM.INV(S390,D390,'Regressão Grupo 2'!$B$7)&lt;=0,0,IF(_xlfn.NORM.INV(S390,D390,'Regressão Grupo 2'!$B$7)&gt;100%,100%,_xlfn.NORM.INV(S390,D390,'Regressão Grupo 2'!$B$7)))</f>
        <v>0.84431476741052192</v>
      </c>
      <c r="G390" s="41">
        <v>1.5368093660727495E-2</v>
      </c>
      <c r="H390" s="41">
        <v>9.8510061495673366E-3</v>
      </c>
      <c r="I390" s="40">
        <f t="shared" ref="I390:I453" si="74">IF(E390*G390*L390&gt;0,E390*G390*L390,0)</f>
        <v>0</v>
      </c>
      <c r="J390" s="40">
        <f t="shared" ref="J390:J453" si="75">IF(F390*H390*M390&gt;0,F390*H390*M390,0)</f>
        <v>166.34699931863133</v>
      </c>
      <c r="K390" s="36">
        <v>0.29970305571761202</v>
      </c>
      <c r="L390" s="42">
        <f t="shared" si="71"/>
        <v>0</v>
      </c>
      <c r="M390" s="42">
        <f t="shared" si="71"/>
        <v>20000</v>
      </c>
      <c r="N390" s="42">
        <f t="shared" ref="N390:N453" si="76">(L390+M390)*K390</f>
        <v>5994.0611143522401</v>
      </c>
      <c r="O390" s="36">
        <v>9.2454011920846479</v>
      </c>
      <c r="P390" s="42">
        <f t="shared" ref="P390:P453" si="77">SUMPRODUCT(A390:B390,I390:J390)-SUM(I390:J390)*O390-N390</f>
        <v>785.34410577914969</v>
      </c>
      <c r="Q390" s="42"/>
      <c r="R390">
        <v>0.30164494766075622</v>
      </c>
      <c r="S390">
        <v>0.39817499313333538</v>
      </c>
    </row>
    <row r="391" spans="1:19" x14ac:dyDescent="0.25">
      <c r="A391" s="40">
        <f t="shared" ref="A391:A454" si="78">A390</f>
        <v>0</v>
      </c>
      <c r="B391" s="40">
        <f t="shared" ref="B391:B454" si="79">B390</f>
        <v>50</v>
      </c>
      <c r="C391" s="41">
        <f t="shared" si="72"/>
        <v>1.0313000000000001</v>
      </c>
      <c r="D391" s="41">
        <f t="shared" si="73"/>
        <v>0.88000000000000012</v>
      </c>
      <c r="E391" s="39">
        <f>IF(_xlfn.NORM.INV(R391,C391,'Regressão Grupo 2'!$B$7)&lt;=0,0,IF(_xlfn.NORM.INV(R391,C391,'Regressão Grupo 2'!$B$7)&gt;100%,100%,_xlfn.NORM.INV(R391,C391,'Regressão Grupo 2'!$B$7)))</f>
        <v>0.92630115881500885</v>
      </c>
      <c r="F391" s="39">
        <f>IF(_xlfn.NORM.INV(S391,D391,'Regressão Grupo 2'!$B$7)&lt;=0,0,IF(_xlfn.NORM.INV(S391,D391,'Regressão Grupo 2'!$B$7)&gt;100%,100%,_xlfn.NORM.INV(S391,D391,'Regressão Grupo 2'!$B$7)))</f>
        <v>1</v>
      </c>
      <c r="G391" s="41">
        <v>2.4896504906959535E-2</v>
      </c>
      <c r="H391" s="41">
        <v>2.4424117274524267E-2</v>
      </c>
      <c r="I391" s="40">
        <f t="shared" si="74"/>
        <v>0</v>
      </c>
      <c r="J391" s="40">
        <f t="shared" si="75"/>
        <v>488.48234549048533</v>
      </c>
      <c r="K391" s="36">
        <v>0.15861584056235603</v>
      </c>
      <c r="L391" s="42">
        <f t="shared" ref="L391:M406" si="80">L390</f>
        <v>0</v>
      </c>
      <c r="M391" s="42">
        <f t="shared" si="80"/>
        <v>20000</v>
      </c>
      <c r="N391" s="42">
        <f t="shared" si="76"/>
        <v>3172.3168112471208</v>
      </c>
      <c r="O391" s="36">
        <v>6.1860706544624255</v>
      </c>
      <c r="P391" s="42">
        <f t="shared" si="77"/>
        <v>18230.014160615476</v>
      </c>
      <c r="Q391" s="42"/>
      <c r="R391">
        <v>0.2238227484969634</v>
      </c>
      <c r="S391">
        <v>0.89092684713278603</v>
      </c>
    </row>
    <row r="392" spans="1:19" x14ac:dyDescent="0.25">
      <c r="A392" s="40">
        <f t="shared" si="78"/>
        <v>0</v>
      </c>
      <c r="B392" s="40">
        <f t="shared" si="79"/>
        <v>50</v>
      </c>
      <c r="C392" s="41">
        <f t="shared" si="72"/>
        <v>1.0313000000000001</v>
      </c>
      <c r="D392" s="41">
        <f t="shared" si="73"/>
        <v>0.88000000000000012</v>
      </c>
      <c r="E392" s="39">
        <f>IF(_xlfn.NORM.INV(R392,C392,'Regressão Grupo 2'!$B$7)&lt;=0,0,IF(_xlfn.NORM.INV(R392,C392,'Regressão Grupo 2'!$B$7)&gt;100%,100%,_xlfn.NORM.INV(R392,C392,'Regressão Grupo 2'!$B$7)))</f>
        <v>1</v>
      </c>
      <c r="F392" s="39">
        <f>IF(_xlfn.NORM.INV(S392,D392,'Regressão Grupo 2'!$B$7)&lt;=0,0,IF(_xlfn.NORM.INV(S392,D392,'Regressão Grupo 2'!$B$7)&gt;100%,100%,_xlfn.NORM.INV(S392,D392,'Regressão Grupo 2'!$B$7)))</f>
        <v>0.81068428885221488</v>
      </c>
      <c r="G392" s="41">
        <v>2.0247023266590357E-2</v>
      </c>
      <c r="H392" s="41">
        <v>2.3708530199634061E-2</v>
      </c>
      <c r="I392" s="40">
        <f t="shared" si="74"/>
        <v>0</v>
      </c>
      <c r="J392" s="40">
        <f t="shared" si="75"/>
        <v>384.40265889243199</v>
      </c>
      <c r="K392" s="36">
        <v>0.20357335046572927</v>
      </c>
      <c r="L392" s="42">
        <f t="shared" si="80"/>
        <v>0</v>
      </c>
      <c r="M392" s="42">
        <f t="shared" si="80"/>
        <v>20000</v>
      </c>
      <c r="N392" s="42">
        <f t="shared" si="76"/>
        <v>4071.4670093145855</v>
      </c>
      <c r="O392" s="36">
        <v>6.6520204895593551</v>
      </c>
      <c r="P392" s="42">
        <f t="shared" si="77"/>
        <v>12591.611572113461</v>
      </c>
      <c r="Q392" s="42"/>
      <c r="R392">
        <v>0.48826563310647908</v>
      </c>
      <c r="S392">
        <v>0.30808435316019167</v>
      </c>
    </row>
    <row r="393" spans="1:19" x14ac:dyDescent="0.25">
      <c r="A393" s="40">
        <f t="shared" si="78"/>
        <v>0</v>
      </c>
      <c r="B393" s="40">
        <f t="shared" si="79"/>
        <v>50</v>
      </c>
      <c r="C393" s="41">
        <f t="shared" si="72"/>
        <v>1.0313000000000001</v>
      </c>
      <c r="D393" s="41">
        <f t="shared" si="73"/>
        <v>0.88000000000000012</v>
      </c>
      <c r="E393" s="39">
        <f>IF(_xlfn.NORM.INV(R393,C393,'Regressão Grupo 2'!$B$7)&lt;=0,0,IF(_xlfn.NORM.INV(R393,C393,'Regressão Grupo 2'!$B$7)&gt;100%,100%,_xlfn.NORM.INV(R393,C393,'Regressão Grupo 2'!$B$7)))</f>
        <v>0.9546889329404078</v>
      </c>
      <c r="F393" s="39">
        <f>IF(_xlfn.NORM.INV(S393,D393,'Regressão Grupo 2'!$B$7)&lt;=0,0,IF(_xlfn.NORM.INV(S393,D393,'Regressão Grupo 2'!$B$7)&gt;100%,100%,_xlfn.NORM.INV(S393,D393,'Regressão Grupo 2'!$B$7)))</f>
        <v>0.9487765062935698</v>
      </c>
      <c r="G393" s="41">
        <v>2.4265627827242266E-2</v>
      </c>
      <c r="H393" s="41">
        <v>1.9775857199357007E-2</v>
      </c>
      <c r="I393" s="40">
        <f t="shared" si="74"/>
        <v>0</v>
      </c>
      <c r="J393" s="40">
        <f t="shared" si="75"/>
        <v>375.25737405132963</v>
      </c>
      <c r="K393" s="36">
        <v>0.36520631943978332</v>
      </c>
      <c r="L393" s="42">
        <f t="shared" si="80"/>
        <v>0</v>
      </c>
      <c r="M393" s="42">
        <f t="shared" si="80"/>
        <v>20000</v>
      </c>
      <c r="N393" s="42">
        <f t="shared" si="76"/>
        <v>7304.1263887956666</v>
      </c>
      <c r="O393" s="36">
        <v>6.1904503837294911</v>
      </c>
      <c r="P393" s="42">
        <f t="shared" si="77"/>
        <v>9135.7301585774403</v>
      </c>
      <c r="Q393" s="42"/>
      <c r="R393">
        <v>0.28977324747459332</v>
      </c>
      <c r="S393">
        <v>0.69054231391338849</v>
      </c>
    </row>
    <row r="394" spans="1:19" x14ac:dyDescent="0.25">
      <c r="A394" s="40">
        <f t="shared" si="78"/>
        <v>0</v>
      </c>
      <c r="B394" s="40">
        <f t="shared" si="79"/>
        <v>50</v>
      </c>
      <c r="C394" s="41">
        <f t="shared" si="72"/>
        <v>1.0313000000000001</v>
      </c>
      <c r="D394" s="41">
        <f t="shared" si="73"/>
        <v>0.88000000000000012</v>
      </c>
      <c r="E394" s="39">
        <f>IF(_xlfn.NORM.INV(R394,C394,'Regressão Grupo 2'!$B$7)&lt;=0,0,IF(_xlfn.NORM.INV(R394,C394,'Regressão Grupo 2'!$B$7)&gt;100%,100%,_xlfn.NORM.INV(R394,C394,'Regressão Grupo 2'!$B$7)))</f>
        <v>1</v>
      </c>
      <c r="F394" s="39">
        <f>IF(_xlfn.NORM.INV(S394,D394,'Regressão Grupo 2'!$B$7)&lt;=0,0,IF(_xlfn.NORM.INV(S394,D394,'Regressão Grupo 2'!$B$7)&gt;100%,100%,_xlfn.NORM.INV(S394,D394,'Regressão Grupo 2'!$B$7)))</f>
        <v>1</v>
      </c>
      <c r="G394" s="41">
        <v>2.5261051234431897E-2</v>
      </c>
      <c r="H394" s="41">
        <v>2.6824074836416349E-2</v>
      </c>
      <c r="I394" s="40">
        <f t="shared" si="74"/>
        <v>0</v>
      </c>
      <c r="J394" s="40">
        <f t="shared" si="75"/>
        <v>536.48149672832699</v>
      </c>
      <c r="K394" s="36">
        <v>0.36763884999917451</v>
      </c>
      <c r="L394" s="42">
        <f t="shared" si="80"/>
        <v>0</v>
      </c>
      <c r="M394" s="42">
        <f t="shared" si="80"/>
        <v>20000</v>
      </c>
      <c r="N394" s="42">
        <f t="shared" si="76"/>
        <v>7352.77699998349</v>
      </c>
      <c r="O394" s="36">
        <v>7.98655026080821</v>
      </c>
      <c r="P394" s="42">
        <f t="shared" si="77"/>
        <v>15186.661398818462</v>
      </c>
      <c r="Q394" s="42"/>
      <c r="R394">
        <v>0.94262520218512524</v>
      </c>
      <c r="S394">
        <v>0.84829248939481794</v>
      </c>
    </row>
    <row r="395" spans="1:19" x14ac:dyDescent="0.25">
      <c r="A395" s="40">
        <f t="shared" si="78"/>
        <v>0</v>
      </c>
      <c r="B395" s="40">
        <f t="shared" si="79"/>
        <v>50</v>
      </c>
      <c r="C395" s="41">
        <f t="shared" si="72"/>
        <v>1.0313000000000001</v>
      </c>
      <c r="D395" s="41">
        <f t="shared" si="73"/>
        <v>0.88000000000000012</v>
      </c>
      <c r="E395" s="39">
        <f>IF(_xlfn.NORM.INV(R395,C395,'Regressão Grupo 2'!$B$7)&lt;=0,0,IF(_xlfn.NORM.INV(R395,C395,'Regressão Grupo 2'!$B$7)&gt;100%,100%,_xlfn.NORM.INV(R395,C395,'Regressão Grupo 2'!$B$7)))</f>
        <v>1</v>
      </c>
      <c r="F395" s="39">
        <f>IF(_xlfn.NORM.INV(S395,D395,'Regressão Grupo 2'!$B$7)&lt;=0,0,IF(_xlfn.NORM.INV(S395,D395,'Regressão Grupo 2'!$B$7)&gt;100%,100%,_xlfn.NORM.INV(S395,D395,'Regressão Grupo 2'!$B$7)))</f>
        <v>0.81109178493454159</v>
      </c>
      <c r="G395" s="41">
        <v>1.4665497877771818E-2</v>
      </c>
      <c r="H395" s="41">
        <v>1.1395262037296515E-2</v>
      </c>
      <c r="I395" s="40">
        <f t="shared" si="74"/>
        <v>0</v>
      </c>
      <c r="J395" s="40">
        <f t="shared" si="75"/>
        <v>184.85206851255302</v>
      </c>
      <c r="K395" s="36">
        <v>0.29873459570346317</v>
      </c>
      <c r="L395" s="42">
        <f t="shared" si="80"/>
        <v>0</v>
      </c>
      <c r="M395" s="42">
        <f t="shared" si="80"/>
        <v>20000</v>
      </c>
      <c r="N395" s="42">
        <f t="shared" si="76"/>
        <v>5974.6919140692635</v>
      </c>
      <c r="O395" s="36">
        <v>8.7216802892182947</v>
      </c>
      <c r="P395" s="42">
        <f t="shared" si="77"/>
        <v>1655.690869191224</v>
      </c>
      <c r="Q395" s="42"/>
      <c r="R395">
        <v>0.57075716422009948</v>
      </c>
      <c r="S395">
        <v>0.30912198248237555</v>
      </c>
    </row>
    <row r="396" spans="1:19" x14ac:dyDescent="0.25">
      <c r="A396" s="40">
        <f t="shared" si="78"/>
        <v>0</v>
      </c>
      <c r="B396" s="40">
        <f t="shared" si="79"/>
        <v>50</v>
      </c>
      <c r="C396" s="41">
        <f t="shared" si="72"/>
        <v>1.0313000000000001</v>
      </c>
      <c r="D396" s="41">
        <f t="shared" si="73"/>
        <v>0.88000000000000012</v>
      </c>
      <c r="E396" s="39">
        <f>IF(_xlfn.NORM.INV(R396,C396,'Regressão Grupo 2'!$B$7)&lt;=0,0,IF(_xlfn.NORM.INV(R396,C396,'Regressão Grupo 2'!$B$7)&gt;100%,100%,_xlfn.NORM.INV(R396,C396,'Regressão Grupo 2'!$B$7)))</f>
        <v>0.91700061887580009</v>
      </c>
      <c r="F396" s="39">
        <f>IF(_xlfn.NORM.INV(S396,D396,'Regressão Grupo 2'!$B$7)&lt;=0,0,IF(_xlfn.NORM.INV(S396,D396,'Regressão Grupo 2'!$B$7)&gt;100%,100%,_xlfn.NORM.INV(S396,D396,'Regressão Grupo 2'!$B$7)))</f>
        <v>0.7662356500313694</v>
      </c>
      <c r="G396" s="41">
        <v>2.4665244662095125E-2</v>
      </c>
      <c r="H396" s="41">
        <v>1.4056225966538593E-2</v>
      </c>
      <c r="I396" s="40">
        <f t="shared" si="74"/>
        <v>0</v>
      </c>
      <c r="J396" s="40">
        <f t="shared" si="75"/>
        <v>215.40762880917026</v>
      </c>
      <c r="K396" s="36">
        <v>0.33626158252940785</v>
      </c>
      <c r="L396" s="42">
        <f t="shared" si="80"/>
        <v>0</v>
      </c>
      <c r="M396" s="42">
        <f t="shared" si="80"/>
        <v>20000</v>
      </c>
      <c r="N396" s="42">
        <f t="shared" si="76"/>
        <v>6725.2316505881572</v>
      </c>
      <c r="O396" s="36">
        <v>4.4713928466171016</v>
      </c>
      <c r="P396" s="42">
        <f t="shared" si="77"/>
        <v>3081.9776593062816</v>
      </c>
      <c r="Q396" s="42"/>
      <c r="R396">
        <v>0.20422986541337321</v>
      </c>
      <c r="S396">
        <v>0.2053285317545091</v>
      </c>
    </row>
    <row r="397" spans="1:19" x14ac:dyDescent="0.25">
      <c r="A397" s="40">
        <f t="shared" si="78"/>
        <v>0</v>
      </c>
      <c r="B397" s="40">
        <f t="shared" si="79"/>
        <v>50</v>
      </c>
      <c r="C397" s="41">
        <f t="shared" si="72"/>
        <v>1.0313000000000001</v>
      </c>
      <c r="D397" s="41">
        <f t="shared" si="73"/>
        <v>0.88000000000000012</v>
      </c>
      <c r="E397" s="39">
        <f>IF(_xlfn.NORM.INV(R397,C397,'Regressão Grupo 2'!$B$7)&lt;=0,0,IF(_xlfn.NORM.INV(R397,C397,'Regressão Grupo 2'!$B$7)&gt;100%,100%,_xlfn.NORM.INV(R397,C397,'Regressão Grupo 2'!$B$7)))</f>
        <v>1</v>
      </c>
      <c r="F397" s="39">
        <f>IF(_xlfn.NORM.INV(S397,D397,'Regressão Grupo 2'!$B$7)&lt;=0,0,IF(_xlfn.NORM.INV(S397,D397,'Regressão Grupo 2'!$B$7)&gt;100%,100%,_xlfn.NORM.INV(S397,D397,'Regressão Grupo 2'!$B$7)))</f>
        <v>0.85200602801491054</v>
      </c>
      <c r="G397" s="41">
        <v>5.9816316536663158E-3</v>
      </c>
      <c r="H397" s="41">
        <v>2.0197216081943969E-2</v>
      </c>
      <c r="I397" s="40">
        <f t="shared" si="74"/>
        <v>0</v>
      </c>
      <c r="J397" s="40">
        <f t="shared" si="75"/>
        <v>344.16299701871912</v>
      </c>
      <c r="K397" s="36">
        <v>0.29390983141743204</v>
      </c>
      <c r="L397" s="42">
        <f t="shared" si="80"/>
        <v>0</v>
      </c>
      <c r="M397" s="42">
        <f t="shared" si="80"/>
        <v>20000</v>
      </c>
      <c r="N397" s="42">
        <f t="shared" si="76"/>
        <v>5878.1966283486408</v>
      </c>
      <c r="O397" s="36">
        <v>7.0666457611844287</v>
      </c>
      <c r="P397" s="42">
        <f t="shared" si="77"/>
        <v>8897.8752385484549</v>
      </c>
      <c r="Q397" s="42"/>
      <c r="R397">
        <v>0.59123508407849357</v>
      </c>
      <c r="S397">
        <v>0.41978209784234138</v>
      </c>
    </row>
    <row r="398" spans="1:19" x14ac:dyDescent="0.25">
      <c r="A398" s="40">
        <f t="shared" si="78"/>
        <v>0</v>
      </c>
      <c r="B398" s="40">
        <f t="shared" si="79"/>
        <v>50</v>
      </c>
      <c r="C398" s="41">
        <f t="shared" si="72"/>
        <v>1.0313000000000001</v>
      </c>
      <c r="D398" s="41">
        <f t="shared" si="73"/>
        <v>0.88000000000000012</v>
      </c>
      <c r="E398" s="39">
        <f>IF(_xlfn.NORM.INV(R398,C398,'Regressão Grupo 2'!$B$7)&lt;=0,0,IF(_xlfn.NORM.INV(R398,C398,'Regressão Grupo 2'!$B$7)&gt;100%,100%,_xlfn.NORM.INV(R398,C398,'Regressão Grupo 2'!$B$7)))</f>
        <v>0.72773642366061253</v>
      </c>
      <c r="F398" s="39">
        <f>IF(_xlfn.NORM.INV(S398,D398,'Regressão Grupo 2'!$B$7)&lt;=0,0,IF(_xlfn.NORM.INV(S398,D398,'Regressão Grupo 2'!$B$7)&gt;100%,100%,_xlfn.NORM.INV(S398,D398,'Regressão Grupo 2'!$B$7)))</f>
        <v>0.83618897184384289</v>
      </c>
      <c r="G398" s="41">
        <v>2.3772484214554634E-2</v>
      </c>
      <c r="H398" s="41">
        <v>5.7754487494961499E-3</v>
      </c>
      <c r="I398" s="40">
        <f t="shared" si="74"/>
        <v>0</v>
      </c>
      <c r="J398" s="40">
        <f t="shared" si="75"/>
        <v>96.58733103555987</v>
      </c>
      <c r="K398" s="36">
        <v>0.32793582576481295</v>
      </c>
      <c r="L398" s="42">
        <f t="shared" si="80"/>
        <v>0</v>
      </c>
      <c r="M398" s="42">
        <f t="shared" si="80"/>
        <v>20000</v>
      </c>
      <c r="N398" s="42">
        <f t="shared" si="76"/>
        <v>6558.7165152962589</v>
      </c>
      <c r="O398" s="36">
        <v>5.3324853617617824</v>
      </c>
      <c r="P398" s="42">
        <f t="shared" si="77"/>
        <v>-2244.4004923970278</v>
      </c>
      <c r="Q398" s="42"/>
      <c r="R398">
        <v>1.4069032868434707E-2</v>
      </c>
      <c r="S398">
        <v>0.37568285164952542</v>
      </c>
    </row>
    <row r="399" spans="1:19" x14ac:dyDescent="0.25">
      <c r="A399" s="40">
        <f t="shared" si="78"/>
        <v>0</v>
      </c>
      <c r="B399" s="40">
        <f t="shared" si="79"/>
        <v>50</v>
      </c>
      <c r="C399" s="41">
        <f t="shared" si="72"/>
        <v>1.0313000000000001</v>
      </c>
      <c r="D399" s="41">
        <f t="shared" si="73"/>
        <v>0.88000000000000012</v>
      </c>
      <c r="E399" s="39">
        <f>IF(_xlfn.NORM.INV(R399,C399,'Regressão Grupo 2'!$B$7)&lt;=0,0,IF(_xlfn.NORM.INV(R399,C399,'Regressão Grupo 2'!$B$7)&gt;100%,100%,_xlfn.NORM.INV(R399,C399,'Regressão Grupo 2'!$B$7)))</f>
        <v>0.91710478656998395</v>
      </c>
      <c r="F399" s="39">
        <f>IF(_xlfn.NORM.INV(S399,D399,'Regressão Grupo 2'!$B$7)&lt;=0,0,IF(_xlfn.NORM.INV(S399,D399,'Regressão Grupo 2'!$B$7)&gt;100%,100%,_xlfn.NORM.INV(S399,D399,'Regressão Grupo 2'!$B$7)))</f>
        <v>0.85773829156957804</v>
      </c>
      <c r="G399" s="41">
        <v>1.4446839073973192E-2</v>
      </c>
      <c r="H399" s="41">
        <v>2.5293486057706996E-2</v>
      </c>
      <c r="I399" s="40">
        <f t="shared" si="74"/>
        <v>0</v>
      </c>
      <c r="J399" s="40">
        <f t="shared" si="75"/>
        <v>433.9038303795308</v>
      </c>
      <c r="K399" s="36">
        <v>0.31205209189622912</v>
      </c>
      <c r="L399" s="42">
        <f t="shared" si="80"/>
        <v>0</v>
      </c>
      <c r="M399" s="42">
        <f t="shared" si="80"/>
        <v>20000</v>
      </c>
      <c r="N399" s="42">
        <f t="shared" si="76"/>
        <v>6241.0418379245821</v>
      </c>
      <c r="O399" s="36">
        <v>9.8752331975397354</v>
      </c>
      <c r="P399" s="42">
        <f t="shared" si="77"/>
        <v>11169.248170748364</v>
      </c>
      <c r="Q399" s="42"/>
      <c r="R399">
        <v>0.20444349497970518</v>
      </c>
      <c r="S399">
        <v>0.43604846339304787</v>
      </c>
    </row>
    <row r="400" spans="1:19" x14ac:dyDescent="0.25">
      <c r="A400" s="40">
        <f t="shared" si="78"/>
        <v>0</v>
      </c>
      <c r="B400" s="40">
        <f t="shared" si="79"/>
        <v>50</v>
      </c>
      <c r="C400" s="41">
        <f t="shared" si="72"/>
        <v>1.0313000000000001</v>
      </c>
      <c r="D400" s="41">
        <f t="shared" si="73"/>
        <v>0.88000000000000012</v>
      </c>
      <c r="E400" s="39">
        <f>IF(_xlfn.NORM.INV(R400,C400,'Regressão Grupo 2'!$B$7)&lt;=0,0,IF(_xlfn.NORM.INV(R400,C400,'Regressão Grupo 2'!$B$7)&gt;100%,100%,_xlfn.NORM.INV(R400,C400,'Regressão Grupo 2'!$B$7)))</f>
        <v>1</v>
      </c>
      <c r="F400" s="39">
        <f>IF(_xlfn.NORM.INV(S400,D400,'Regressão Grupo 2'!$B$7)&lt;=0,0,IF(_xlfn.NORM.INV(S400,D400,'Regressão Grupo 2'!$B$7)&gt;100%,100%,_xlfn.NORM.INV(S400,D400,'Regressão Grupo 2'!$B$7)))</f>
        <v>0.700883800645975</v>
      </c>
      <c r="G400" s="41">
        <v>2.2095349002341048E-2</v>
      </c>
      <c r="H400" s="41">
        <v>2.7706069186318568E-2</v>
      </c>
      <c r="I400" s="40">
        <f t="shared" si="74"/>
        <v>0</v>
      </c>
      <c r="J400" s="40">
        <f t="shared" si="75"/>
        <v>388.37470144534586</v>
      </c>
      <c r="K400" s="36">
        <v>0.3058756599118162</v>
      </c>
      <c r="L400" s="42">
        <f t="shared" si="80"/>
        <v>0</v>
      </c>
      <c r="M400" s="42">
        <f t="shared" si="80"/>
        <v>20000</v>
      </c>
      <c r="N400" s="42">
        <f t="shared" si="76"/>
        <v>6117.5131982363237</v>
      </c>
      <c r="O400" s="36">
        <v>3.4978208209673571</v>
      </c>
      <c r="P400" s="42">
        <f t="shared" si="77"/>
        <v>11942.756756978459</v>
      </c>
      <c r="Q400" s="42"/>
      <c r="R400">
        <v>0.71214941862239445</v>
      </c>
      <c r="S400">
        <v>9.7598193304239023E-2</v>
      </c>
    </row>
    <row r="401" spans="1:19" x14ac:dyDescent="0.25">
      <c r="A401" s="40">
        <f t="shared" si="78"/>
        <v>0</v>
      </c>
      <c r="B401" s="40">
        <f t="shared" si="79"/>
        <v>50</v>
      </c>
      <c r="C401" s="41">
        <f t="shared" si="72"/>
        <v>1.0313000000000001</v>
      </c>
      <c r="D401" s="41">
        <f t="shared" si="73"/>
        <v>0.88000000000000012</v>
      </c>
      <c r="E401" s="39">
        <f>IF(_xlfn.NORM.INV(R401,C401,'Regressão Grupo 2'!$B$7)&lt;=0,0,IF(_xlfn.NORM.INV(R401,C401,'Regressão Grupo 2'!$B$7)&gt;100%,100%,_xlfn.NORM.INV(R401,C401,'Regressão Grupo 2'!$B$7)))</f>
        <v>1</v>
      </c>
      <c r="F401" s="39">
        <f>IF(_xlfn.NORM.INV(S401,D401,'Regressão Grupo 2'!$B$7)&lt;=0,0,IF(_xlfn.NORM.INV(S401,D401,'Regressão Grupo 2'!$B$7)&gt;100%,100%,_xlfn.NORM.INV(S401,D401,'Regressão Grupo 2'!$B$7)))</f>
        <v>0.73792898236242799</v>
      </c>
      <c r="G401" s="41">
        <v>1.2904052676636701E-2</v>
      </c>
      <c r="H401" s="41">
        <v>8.965976618576111E-3</v>
      </c>
      <c r="I401" s="40">
        <f t="shared" si="74"/>
        <v>0</v>
      </c>
      <c r="J401" s="40">
        <f t="shared" si="75"/>
        <v>132.32508004062387</v>
      </c>
      <c r="K401" s="36">
        <v>0.33161257382305936</v>
      </c>
      <c r="L401" s="42">
        <f t="shared" si="80"/>
        <v>0</v>
      </c>
      <c r="M401" s="42">
        <f t="shared" si="80"/>
        <v>20000</v>
      </c>
      <c r="N401" s="42">
        <f t="shared" si="76"/>
        <v>6632.2514764611869</v>
      </c>
      <c r="O401" s="36">
        <v>9.6948155875443227</v>
      </c>
      <c r="P401" s="42">
        <f t="shared" si="77"/>
        <v>-1298.8647230308843</v>
      </c>
      <c r="Q401" s="42"/>
      <c r="R401">
        <v>0.4205145420697653</v>
      </c>
      <c r="S401">
        <v>0.15210425122837001</v>
      </c>
    </row>
    <row r="402" spans="1:19" x14ac:dyDescent="0.25">
      <c r="A402" s="40">
        <f t="shared" si="78"/>
        <v>0</v>
      </c>
      <c r="B402" s="40">
        <f t="shared" si="79"/>
        <v>50</v>
      </c>
      <c r="C402" s="41">
        <f t="shared" si="72"/>
        <v>1.0313000000000001</v>
      </c>
      <c r="D402" s="41">
        <f t="shared" si="73"/>
        <v>0.88000000000000012</v>
      </c>
      <c r="E402" s="39">
        <f>IF(_xlfn.NORM.INV(R402,C402,'Regressão Grupo 2'!$B$7)&lt;=0,0,IF(_xlfn.NORM.INV(R402,C402,'Regressão Grupo 2'!$B$7)&gt;100%,100%,_xlfn.NORM.INV(R402,C402,'Regressão Grupo 2'!$B$7)))</f>
        <v>1</v>
      </c>
      <c r="F402" s="39">
        <f>IF(_xlfn.NORM.INV(S402,D402,'Regressão Grupo 2'!$B$7)&lt;=0,0,IF(_xlfn.NORM.INV(S402,D402,'Regressão Grupo 2'!$B$7)&gt;100%,100%,_xlfn.NORM.INV(S402,D402,'Regressão Grupo 2'!$B$7)))</f>
        <v>1</v>
      </c>
      <c r="G402" s="41">
        <v>2.4073881718382106E-2</v>
      </c>
      <c r="H402" s="41">
        <v>1.8013216808915409E-2</v>
      </c>
      <c r="I402" s="40">
        <f t="shared" si="74"/>
        <v>0</v>
      </c>
      <c r="J402" s="40">
        <f t="shared" si="75"/>
        <v>360.26433617830816</v>
      </c>
      <c r="K402" s="36">
        <v>0.34886730613131434</v>
      </c>
      <c r="L402" s="42">
        <f t="shared" si="80"/>
        <v>0</v>
      </c>
      <c r="M402" s="42">
        <f t="shared" si="80"/>
        <v>20000</v>
      </c>
      <c r="N402" s="42">
        <f t="shared" si="76"/>
        <v>6977.3461226262871</v>
      </c>
      <c r="O402" s="36">
        <v>6.8314514134463353</v>
      </c>
      <c r="P402" s="42">
        <f t="shared" si="77"/>
        <v>8574.7423776895121</v>
      </c>
      <c r="Q402" s="42"/>
      <c r="R402">
        <v>0.94170964690084535</v>
      </c>
      <c r="S402">
        <v>0.86367381817072053</v>
      </c>
    </row>
    <row r="403" spans="1:19" x14ac:dyDescent="0.25">
      <c r="A403" s="40">
        <f t="shared" si="78"/>
        <v>0</v>
      </c>
      <c r="B403" s="40">
        <f t="shared" si="79"/>
        <v>50</v>
      </c>
      <c r="C403" s="41">
        <f t="shared" si="72"/>
        <v>1.0313000000000001</v>
      </c>
      <c r="D403" s="41">
        <f t="shared" si="73"/>
        <v>0.88000000000000012</v>
      </c>
      <c r="E403" s="39">
        <f>IF(_xlfn.NORM.INV(R403,C403,'Regressão Grupo 2'!$B$7)&lt;=0,0,IF(_xlfn.NORM.INV(R403,C403,'Regressão Grupo 2'!$B$7)&gt;100%,100%,_xlfn.NORM.INV(R403,C403,'Regressão Grupo 2'!$B$7)))</f>
        <v>1</v>
      </c>
      <c r="F403" s="39">
        <f>IF(_xlfn.NORM.INV(S403,D403,'Regressão Grupo 2'!$B$7)&lt;=0,0,IF(_xlfn.NORM.INV(S403,D403,'Regressão Grupo 2'!$B$7)&gt;100%,100%,_xlfn.NORM.INV(S403,D403,'Regressão Grupo 2'!$B$7)))</f>
        <v>0.70576487699535262</v>
      </c>
      <c r="G403" s="41">
        <v>2.1344960032180168E-2</v>
      </c>
      <c r="H403" s="41">
        <v>1.0877930410782194E-2</v>
      </c>
      <c r="I403" s="40">
        <f t="shared" si="74"/>
        <v>0</v>
      </c>
      <c r="J403" s="40">
        <f t="shared" si="75"/>
        <v>153.54522436659403</v>
      </c>
      <c r="K403" s="36">
        <v>0.43696396855951647</v>
      </c>
      <c r="L403" s="42">
        <f t="shared" si="80"/>
        <v>0</v>
      </c>
      <c r="M403" s="42">
        <f t="shared" si="80"/>
        <v>20000</v>
      </c>
      <c r="N403" s="42">
        <f t="shared" si="76"/>
        <v>8739.2793711903287</v>
      </c>
      <c r="O403" s="36">
        <v>8.2153416633270879</v>
      </c>
      <c r="P403" s="42">
        <f t="shared" si="77"/>
        <v>-2323.4446318044129</v>
      </c>
      <c r="Q403" s="42"/>
      <c r="R403">
        <v>0.99465926084170053</v>
      </c>
      <c r="S403">
        <v>0.10382396923734245</v>
      </c>
    </row>
    <row r="404" spans="1:19" x14ac:dyDescent="0.25">
      <c r="A404" s="40">
        <f t="shared" si="78"/>
        <v>0</v>
      </c>
      <c r="B404" s="40">
        <f t="shared" si="79"/>
        <v>50</v>
      </c>
      <c r="C404" s="41">
        <f t="shared" si="72"/>
        <v>1.0313000000000001</v>
      </c>
      <c r="D404" s="41">
        <f t="shared" si="73"/>
        <v>0.88000000000000012</v>
      </c>
      <c r="E404" s="39">
        <f>IF(_xlfn.NORM.INV(R404,C404,'Regressão Grupo 2'!$B$7)&lt;=0,0,IF(_xlfn.NORM.INV(R404,C404,'Regressão Grupo 2'!$B$7)&gt;100%,100%,_xlfn.NORM.INV(R404,C404,'Regressão Grupo 2'!$B$7)))</f>
        <v>0.91058005765358718</v>
      </c>
      <c r="F404" s="39">
        <f>IF(_xlfn.NORM.INV(S404,D404,'Regressão Grupo 2'!$B$7)&lt;=0,0,IF(_xlfn.NORM.INV(S404,D404,'Regressão Grupo 2'!$B$7)&gt;100%,100%,_xlfn.NORM.INV(S404,D404,'Regressão Grupo 2'!$B$7)))</f>
        <v>0.85188725206130156</v>
      </c>
      <c r="G404" s="41">
        <v>2.4345050118159982E-2</v>
      </c>
      <c r="H404" s="41">
        <v>1.4497749104577361E-2</v>
      </c>
      <c r="I404" s="40">
        <f t="shared" si="74"/>
        <v>0</v>
      </c>
      <c r="J404" s="40">
        <f t="shared" si="75"/>
        <v>247.00895291545208</v>
      </c>
      <c r="K404" s="36">
        <v>0.3053896409912974</v>
      </c>
      <c r="L404" s="42">
        <f t="shared" si="80"/>
        <v>0</v>
      </c>
      <c r="M404" s="42">
        <f t="shared" si="80"/>
        <v>20000</v>
      </c>
      <c r="N404" s="42">
        <f t="shared" si="76"/>
        <v>6107.7928198259478</v>
      </c>
      <c r="O404" s="36">
        <v>5.2290408920516622</v>
      </c>
      <c r="P404" s="42">
        <f t="shared" si="77"/>
        <v>4951.0349104488951</v>
      </c>
      <c r="Q404" s="42"/>
      <c r="R404">
        <v>0.1913205359050264</v>
      </c>
      <c r="S404">
        <v>0.41944639423810542</v>
      </c>
    </row>
    <row r="405" spans="1:19" x14ac:dyDescent="0.25">
      <c r="A405" s="40">
        <f t="shared" si="78"/>
        <v>0</v>
      </c>
      <c r="B405" s="40">
        <f t="shared" si="79"/>
        <v>50</v>
      </c>
      <c r="C405" s="41">
        <f t="shared" si="72"/>
        <v>1.0313000000000001</v>
      </c>
      <c r="D405" s="41">
        <f t="shared" si="73"/>
        <v>0.88000000000000012</v>
      </c>
      <c r="E405" s="39">
        <f>IF(_xlfn.NORM.INV(R405,C405,'Regressão Grupo 2'!$B$7)&lt;=0,0,IF(_xlfn.NORM.INV(R405,C405,'Regressão Grupo 2'!$B$7)&gt;100%,100%,_xlfn.NORM.INV(R405,C405,'Regressão Grupo 2'!$B$7)))</f>
        <v>1</v>
      </c>
      <c r="F405" s="39">
        <f>IF(_xlfn.NORM.INV(S405,D405,'Regressão Grupo 2'!$B$7)&lt;=0,0,IF(_xlfn.NORM.INV(S405,D405,'Regressão Grupo 2'!$B$7)&gt;100%,100%,_xlfn.NORM.INV(S405,D405,'Regressão Grupo 2'!$B$7)))</f>
        <v>0.81011999160137516</v>
      </c>
      <c r="G405" s="41">
        <v>1.0974277244874182E-3</v>
      </c>
      <c r="H405" s="41">
        <v>2.5918396602584624E-2</v>
      </c>
      <c r="I405" s="40">
        <f t="shared" si="74"/>
        <v>0</v>
      </c>
      <c r="J405" s="40">
        <f t="shared" si="75"/>
        <v>419.94022476013936</v>
      </c>
      <c r="K405" s="36">
        <v>0.28030677561540696</v>
      </c>
      <c r="L405" s="42">
        <f t="shared" si="80"/>
        <v>0</v>
      </c>
      <c r="M405" s="42">
        <f t="shared" si="80"/>
        <v>20000</v>
      </c>
      <c r="N405" s="42">
        <f t="shared" si="76"/>
        <v>5606.1355123081394</v>
      </c>
      <c r="O405" s="36">
        <v>7.590620148939303</v>
      </c>
      <c r="P405" s="42">
        <f t="shared" si="77"/>
        <v>12203.268994284417</v>
      </c>
      <c r="Q405" s="42"/>
      <c r="R405">
        <v>0.55589465010528882</v>
      </c>
      <c r="S405">
        <v>0.30664998321481979</v>
      </c>
    </row>
    <row r="406" spans="1:19" x14ac:dyDescent="0.25">
      <c r="A406" s="40">
        <f t="shared" si="78"/>
        <v>0</v>
      </c>
      <c r="B406" s="40">
        <f t="shared" si="79"/>
        <v>50</v>
      </c>
      <c r="C406" s="41">
        <f t="shared" si="72"/>
        <v>1.0313000000000001</v>
      </c>
      <c r="D406" s="41">
        <f t="shared" si="73"/>
        <v>0.88000000000000012</v>
      </c>
      <c r="E406" s="39">
        <f>IF(_xlfn.NORM.INV(R406,C406,'Regressão Grupo 2'!$B$7)&lt;=0,0,IF(_xlfn.NORM.INV(R406,C406,'Regressão Grupo 2'!$B$7)&gt;100%,100%,_xlfn.NORM.INV(R406,C406,'Regressão Grupo 2'!$B$7)))</f>
        <v>0.91800980735267412</v>
      </c>
      <c r="F406" s="39">
        <f>IF(_xlfn.NORM.INV(S406,D406,'Regressão Grupo 2'!$B$7)&lt;=0,0,IF(_xlfn.NORM.INV(S406,D406,'Regressão Grupo 2'!$B$7)&gt;100%,100%,_xlfn.NORM.INV(S406,D406,'Regressão Grupo 2'!$B$7)))</f>
        <v>0.9349985413506523</v>
      </c>
      <c r="G406" s="41">
        <v>1.570376266778983E-2</v>
      </c>
      <c r="H406" s="41">
        <v>2.3047421937658547E-2</v>
      </c>
      <c r="I406" s="40">
        <f t="shared" si="74"/>
        <v>0</v>
      </c>
      <c r="J406" s="40">
        <f t="shared" si="75"/>
        <v>430.98611787207528</v>
      </c>
      <c r="K406" s="36">
        <v>0.2430835200674934</v>
      </c>
      <c r="L406" s="42">
        <f t="shared" si="80"/>
        <v>0</v>
      </c>
      <c r="M406" s="42">
        <f t="shared" si="80"/>
        <v>20000</v>
      </c>
      <c r="N406" s="42">
        <f t="shared" si="76"/>
        <v>4861.6704013498684</v>
      </c>
      <c r="O406" s="36">
        <v>4.0359149185064283</v>
      </c>
      <c r="P406" s="42">
        <f t="shared" si="77"/>
        <v>14948.212189464815</v>
      </c>
      <c r="Q406" s="42"/>
      <c r="R406">
        <v>0.20630512405774101</v>
      </c>
      <c r="S406">
        <v>0.65459150975066382</v>
      </c>
    </row>
    <row r="407" spans="1:19" x14ac:dyDescent="0.25">
      <c r="A407" s="40">
        <f t="shared" si="78"/>
        <v>0</v>
      </c>
      <c r="B407" s="40">
        <f t="shared" si="79"/>
        <v>50</v>
      </c>
      <c r="C407" s="41">
        <f t="shared" si="72"/>
        <v>1.0313000000000001</v>
      </c>
      <c r="D407" s="41">
        <f t="shared" si="73"/>
        <v>0.88000000000000012</v>
      </c>
      <c r="E407" s="39">
        <f>IF(_xlfn.NORM.INV(R407,C407,'Regressão Grupo 2'!$B$7)&lt;=0,0,IF(_xlfn.NORM.INV(R407,C407,'Regressão Grupo 2'!$B$7)&gt;100%,100%,_xlfn.NORM.INV(R407,C407,'Regressão Grupo 2'!$B$7)))</f>
        <v>1</v>
      </c>
      <c r="F407" s="39">
        <f>IF(_xlfn.NORM.INV(S407,D407,'Regressão Grupo 2'!$B$7)&lt;=0,0,IF(_xlfn.NORM.INV(S407,D407,'Regressão Grupo 2'!$B$7)&gt;100%,100%,_xlfn.NORM.INV(S407,D407,'Regressão Grupo 2'!$B$7)))</f>
        <v>0.88922544735392628</v>
      </c>
      <c r="G407" s="41">
        <v>1.7552978839914322E-2</v>
      </c>
      <c r="H407" s="41">
        <v>1.9176312555601847E-2</v>
      </c>
      <c r="I407" s="40">
        <f t="shared" si="74"/>
        <v>0</v>
      </c>
      <c r="J407" s="40">
        <f t="shared" si="75"/>
        <v>341.04130221707533</v>
      </c>
      <c r="K407" s="36">
        <v>0.33477610086954102</v>
      </c>
      <c r="L407" s="42">
        <f t="shared" ref="L407:M422" si="81">L406</f>
        <v>0</v>
      </c>
      <c r="M407" s="42">
        <f t="shared" si="81"/>
        <v>20000</v>
      </c>
      <c r="N407" s="42">
        <f t="shared" si="76"/>
        <v>6695.5220173908201</v>
      </c>
      <c r="O407" s="36">
        <v>3.5984459303468577</v>
      </c>
      <c r="P407" s="42">
        <f t="shared" si="77"/>
        <v>9129.324407419721</v>
      </c>
      <c r="Q407" s="42"/>
      <c r="R407">
        <v>0.55876338999603259</v>
      </c>
      <c r="S407">
        <v>0.52659688100833157</v>
      </c>
    </row>
    <row r="408" spans="1:19" x14ac:dyDescent="0.25">
      <c r="A408" s="40">
        <f t="shared" si="78"/>
        <v>0</v>
      </c>
      <c r="B408" s="40">
        <f t="shared" si="79"/>
        <v>50</v>
      </c>
      <c r="C408" s="41">
        <f t="shared" si="72"/>
        <v>1.0313000000000001</v>
      </c>
      <c r="D408" s="41">
        <f t="shared" si="73"/>
        <v>0.88000000000000012</v>
      </c>
      <c r="E408" s="39">
        <f>IF(_xlfn.NORM.INV(R408,C408,'Regressão Grupo 2'!$B$7)&lt;=0,0,IF(_xlfn.NORM.INV(R408,C408,'Regressão Grupo 2'!$B$7)&gt;100%,100%,_xlfn.NORM.INV(R408,C408,'Regressão Grupo 2'!$B$7)))</f>
        <v>1</v>
      </c>
      <c r="F408" s="39">
        <f>IF(_xlfn.NORM.INV(S408,D408,'Regressão Grupo 2'!$B$7)&lt;=0,0,IF(_xlfn.NORM.INV(S408,D408,'Regressão Grupo 2'!$B$7)&gt;100%,100%,_xlfn.NORM.INV(S408,D408,'Regressão Grupo 2'!$B$7)))</f>
        <v>0.80471733458421968</v>
      </c>
      <c r="G408" s="41">
        <v>1.0473788173563632E-2</v>
      </c>
      <c r="H408" s="41">
        <v>2.3866619452281596E-2</v>
      </c>
      <c r="I408" s="40">
        <f t="shared" si="74"/>
        <v>0</v>
      </c>
      <c r="J408" s="40">
        <f t="shared" si="75"/>
        <v>384.11764782351872</v>
      </c>
      <c r="K408" s="36">
        <v>0.40386611412055462</v>
      </c>
      <c r="L408" s="42">
        <f t="shared" si="81"/>
        <v>0</v>
      </c>
      <c r="M408" s="42">
        <f t="shared" si="81"/>
        <v>20000</v>
      </c>
      <c r="N408" s="42">
        <f t="shared" si="76"/>
        <v>8077.3222824110926</v>
      </c>
      <c r="O408" s="36">
        <v>4.8842750188954724</v>
      </c>
      <c r="P408" s="42">
        <f t="shared" si="77"/>
        <v>9252.4238771835408</v>
      </c>
      <c r="Q408" s="42"/>
      <c r="R408">
        <v>0.80025635547959839</v>
      </c>
      <c r="S408">
        <v>0.29306924649800103</v>
      </c>
    </row>
    <row r="409" spans="1:19" x14ac:dyDescent="0.25">
      <c r="A409" s="40">
        <f t="shared" si="78"/>
        <v>0</v>
      </c>
      <c r="B409" s="40">
        <f t="shared" si="79"/>
        <v>50</v>
      </c>
      <c r="C409" s="41">
        <f t="shared" si="72"/>
        <v>1.0313000000000001</v>
      </c>
      <c r="D409" s="41">
        <f t="shared" si="73"/>
        <v>0.88000000000000012</v>
      </c>
      <c r="E409" s="39">
        <f>IF(_xlfn.NORM.INV(R409,C409,'Regressão Grupo 2'!$B$7)&lt;=0,0,IF(_xlfn.NORM.INV(R409,C409,'Regressão Grupo 2'!$B$7)&gt;100%,100%,_xlfn.NORM.INV(R409,C409,'Regressão Grupo 2'!$B$7)))</f>
        <v>1</v>
      </c>
      <c r="F409" s="39">
        <f>IF(_xlfn.NORM.INV(S409,D409,'Regressão Grupo 2'!$B$7)&lt;=0,0,IF(_xlfn.NORM.INV(S409,D409,'Regressão Grupo 2'!$B$7)&gt;100%,100%,_xlfn.NORM.INV(S409,D409,'Regressão Grupo 2'!$B$7)))</f>
        <v>0.96942010165174108</v>
      </c>
      <c r="G409" s="41">
        <v>2.0410415746155867E-2</v>
      </c>
      <c r="H409" s="41">
        <v>1.0232993462186105E-2</v>
      </c>
      <c r="I409" s="40">
        <f t="shared" si="74"/>
        <v>0</v>
      </c>
      <c r="J409" s="40">
        <f t="shared" si="75"/>
        <v>198.40139124628109</v>
      </c>
      <c r="K409" s="36">
        <v>0.35155708724404133</v>
      </c>
      <c r="L409" s="42">
        <f t="shared" si="81"/>
        <v>0</v>
      </c>
      <c r="M409" s="42">
        <f t="shared" si="81"/>
        <v>20000</v>
      </c>
      <c r="N409" s="42">
        <f t="shared" si="76"/>
        <v>7031.141744880827</v>
      </c>
      <c r="O409" s="36">
        <v>5.7132693180778649</v>
      </c>
      <c r="P409" s="42">
        <f t="shared" si="77"/>
        <v>1755.4072361618882</v>
      </c>
      <c r="Q409" s="42"/>
      <c r="R409">
        <v>0.83776360362559887</v>
      </c>
      <c r="S409">
        <v>0.74108096560563985</v>
      </c>
    </row>
    <row r="410" spans="1:19" x14ac:dyDescent="0.25">
      <c r="A410" s="40">
        <f t="shared" si="78"/>
        <v>0</v>
      </c>
      <c r="B410" s="40">
        <f t="shared" si="79"/>
        <v>50</v>
      </c>
      <c r="C410" s="41">
        <f t="shared" si="72"/>
        <v>1.0313000000000001</v>
      </c>
      <c r="D410" s="41">
        <f t="shared" si="73"/>
        <v>0.88000000000000012</v>
      </c>
      <c r="E410" s="39">
        <f>IF(_xlfn.NORM.INV(R410,C410,'Regressão Grupo 2'!$B$7)&lt;=0,0,IF(_xlfn.NORM.INV(R410,C410,'Regressão Grupo 2'!$B$7)&gt;100%,100%,_xlfn.NORM.INV(R410,C410,'Regressão Grupo 2'!$B$7)))</f>
        <v>0.85262348376334329</v>
      </c>
      <c r="F410" s="39">
        <f>IF(_xlfn.NORM.INV(S410,D410,'Regressão Grupo 2'!$B$7)&lt;=0,0,IF(_xlfn.NORM.INV(S410,D410,'Regressão Grupo 2'!$B$7)&gt;100%,100%,_xlfn.NORM.INV(S410,D410,'Regressão Grupo 2'!$B$7)))</f>
        <v>0.80274680915097341</v>
      </c>
      <c r="G410" s="41">
        <v>1.790618952396426E-2</v>
      </c>
      <c r="H410" s="41">
        <v>1.728387549876401E-2</v>
      </c>
      <c r="I410" s="40">
        <f t="shared" si="74"/>
        <v>0</v>
      </c>
      <c r="J410" s="40">
        <f t="shared" si="75"/>
        <v>277.49151812790996</v>
      </c>
      <c r="K410" s="36">
        <v>0.24352814513340082</v>
      </c>
      <c r="L410" s="42">
        <f t="shared" si="81"/>
        <v>0</v>
      </c>
      <c r="M410" s="42">
        <f t="shared" si="81"/>
        <v>20000</v>
      </c>
      <c r="N410" s="42">
        <f t="shared" si="76"/>
        <v>4870.5629026680162</v>
      </c>
      <c r="O410" s="36">
        <v>3.6587837200287621</v>
      </c>
      <c r="P410" s="42">
        <f t="shared" si="77"/>
        <v>7988.7315547550188</v>
      </c>
      <c r="Q410" s="42"/>
      <c r="R410">
        <v>9.814752647480697E-2</v>
      </c>
      <c r="S410">
        <v>0.28818628498184151</v>
      </c>
    </row>
    <row r="411" spans="1:19" x14ac:dyDescent="0.25">
      <c r="A411" s="40">
        <f t="shared" si="78"/>
        <v>0</v>
      </c>
      <c r="B411" s="40">
        <f t="shared" si="79"/>
        <v>50</v>
      </c>
      <c r="C411" s="41">
        <f t="shared" si="72"/>
        <v>1.0313000000000001</v>
      </c>
      <c r="D411" s="41">
        <f t="shared" si="73"/>
        <v>0.88000000000000012</v>
      </c>
      <c r="E411" s="39">
        <f>IF(_xlfn.NORM.INV(R411,C411,'Regressão Grupo 2'!$B$7)&lt;=0,0,IF(_xlfn.NORM.INV(R411,C411,'Regressão Grupo 2'!$B$7)&gt;100%,100%,_xlfn.NORM.INV(R411,C411,'Regressão Grupo 2'!$B$7)))</f>
        <v>0.79986193859455557</v>
      </c>
      <c r="F411" s="39">
        <f>IF(_xlfn.NORM.INV(S411,D411,'Regressão Grupo 2'!$B$7)&lt;=0,0,IF(_xlfn.NORM.INV(S411,D411,'Regressão Grupo 2'!$B$7)&gt;100%,100%,_xlfn.NORM.INV(S411,D411,'Regressão Grupo 2'!$B$7)))</f>
        <v>1</v>
      </c>
      <c r="G411" s="41">
        <v>1.9363636868558673E-2</v>
      </c>
      <c r="H411" s="41">
        <v>6.2979565394438363E-3</v>
      </c>
      <c r="I411" s="40">
        <f t="shared" si="74"/>
        <v>0</v>
      </c>
      <c r="J411" s="40">
        <f t="shared" si="75"/>
        <v>125.95913078887672</v>
      </c>
      <c r="K411" s="36">
        <v>0.28101870807891804</v>
      </c>
      <c r="L411" s="42">
        <f t="shared" si="81"/>
        <v>0</v>
      </c>
      <c r="M411" s="42">
        <f t="shared" si="81"/>
        <v>20000</v>
      </c>
      <c r="N411" s="42">
        <f t="shared" si="76"/>
        <v>5620.3741615783611</v>
      </c>
      <c r="O411" s="36">
        <v>6.4128450128431655</v>
      </c>
      <c r="P411" s="42">
        <f t="shared" si="77"/>
        <v>-130.17400583603285</v>
      </c>
      <c r="Q411" s="42"/>
      <c r="R411">
        <v>4.7090060121463669E-2</v>
      </c>
      <c r="S411">
        <v>0.94494460890530108</v>
      </c>
    </row>
    <row r="412" spans="1:19" x14ac:dyDescent="0.25">
      <c r="A412" s="40">
        <f t="shared" si="78"/>
        <v>0</v>
      </c>
      <c r="B412" s="40">
        <f t="shared" si="79"/>
        <v>50</v>
      </c>
      <c r="C412" s="41">
        <f t="shared" si="72"/>
        <v>1.0313000000000001</v>
      </c>
      <c r="D412" s="41">
        <f t="shared" si="73"/>
        <v>0.88000000000000012</v>
      </c>
      <c r="E412" s="39">
        <f>IF(_xlfn.NORM.INV(R412,C412,'Regressão Grupo 2'!$B$7)&lt;=0,0,IF(_xlfn.NORM.INV(R412,C412,'Regressão Grupo 2'!$B$7)&gt;100%,100%,_xlfn.NORM.INV(R412,C412,'Regressão Grupo 2'!$B$7)))</f>
        <v>1</v>
      </c>
      <c r="F412" s="39">
        <f>IF(_xlfn.NORM.INV(S412,D412,'Regressão Grupo 2'!$B$7)&lt;=0,0,IF(_xlfn.NORM.INV(S412,D412,'Regressão Grupo 2'!$B$7)&gt;100%,100%,_xlfn.NORM.INV(S412,D412,'Regressão Grupo 2'!$B$7)))</f>
        <v>0.81883147429359826</v>
      </c>
      <c r="G412" s="41">
        <v>1.2886272736064092E-2</v>
      </c>
      <c r="H412" s="41">
        <v>1.6868237093929317E-2</v>
      </c>
      <c r="I412" s="40">
        <f t="shared" si="74"/>
        <v>0</v>
      </c>
      <c r="J412" s="40">
        <f t="shared" si="75"/>
        <v>276.2448689671221</v>
      </c>
      <c r="K412" s="36">
        <v>0.28249393975633963</v>
      </c>
      <c r="L412" s="42">
        <f t="shared" si="81"/>
        <v>0</v>
      </c>
      <c r="M412" s="42">
        <f t="shared" si="81"/>
        <v>20000</v>
      </c>
      <c r="N412" s="42">
        <f t="shared" si="76"/>
        <v>5649.8787951267923</v>
      </c>
      <c r="O412" s="36">
        <v>9.0160820653856462</v>
      </c>
      <c r="P412" s="42">
        <f t="shared" si="77"/>
        <v>5671.7182444800355</v>
      </c>
      <c r="Q412" s="42"/>
      <c r="R412">
        <v>0.74291207617419963</v>
      </c>
      <c r="S412">
        <v>0.32911160618915375</v>
      </c>
    </row>
    <row r="413" spans="1:19" x14ac:dyDescent="0.25">
      <c r="A413" s="40">
        <f t="shared" si="78"/>
        <v>0</v>
      </c>
      <c r="B413" s="40">
        <f t="shared" si="79"/>
        <v>50</v>
      </c>
      <c r="C413" s="41">
        <f t="shared" si="72"/>
        <v>1.0313000000000001</v>
      </c>
      <c r="D413" s="41">
        <f t="shared" si="73"/>
        <v>0.88000000000000012</v>
      </c>
      <c r="E413" s="39">
        <f>IF(_xlfn.NORM.INV(R413,C413,'Regressão Grupo 2'!$B$7)&lt;=0,0,IF(_xlfn.NORM.INV(R413,C413,'Regressão Grupo 2'!$B$7)&gt;100%,100%,_xlfn.NORM.INV(R413,C413,'Regressão Grupo 2'!$B$7)))</f>
        <v>1</v>
      </c>
      <c r="F413" s="39">
        <f>IF(_xlfn.NORM.INV(S413,D413,'Regressão Grupo 2'!$B$7)&lt;=0,0,IF(_xlfn.NORM.INV(S413,D413,'Regressão Grupo 2'!$B$7)&gt;100%,100%,_xlfn.NORM.INV(S413,D413,'Regressão Grupo 2'!$B$7)))</f>
        <v>1</v>
      </c>
      <c r="G413" s="41">
        <v>9.787814755695113E-3</v>
      </c>
      <c r="H413" s="41">
        <v>1.1536389329874696E-2</v>
      </c>
      <c r="I413" s="40">
        <f t="shared" si="74"/>
        <v>0</v>
      </c>
      <c r="J413" s="40">
        <f t="shared" si="75"/>
        <v>230.72778659749392</v>
      </c>
      <c r="K413" s="36">
        <v>0.38736878735470048</v>
      </c>
      <c r="L413" s="42">
        <f t="shared" si="81"/>
        <v>0</v>
      </c>
      <c r="M413" s="42">
        <f t="shared" si="81"/>
        <v>20000</v>
      </c>
      <c r="N413" s="42">
        <f t="shared" si="76"/>
        <v>7747.37574709401</v>
      </c>
      <c r="O413" s="36">
        <v>2.8849499238927883</v>
      </c>
      <c r="P413" s="42">
        <f t="shared" si="77"/>
        <v>3123.3754723962929</v>
      </c>
      <c r="Q413" s="42"/>
      <c r="R413">
        <v>0.76628925443281348</v>
      </c>
      <c r="S413">
        <v>0.95880001220740374</v>
      </c>
    </row>
    <row r="414" spans="1:19" x14ac:dyDescent="0.25">
      <c r="A414" s="40">
        <f t="shared" si="78"/>
        <v>0</v>
      </c>
      <c r="B414" s="40">
        <f t="shared" si="79"/>
        <v>50</v>
      </c>
      <c r="C414" s="41">
        <f t="shared" si="72"/>
        <v>1.0313000000000001</v>
      </c>
      <c r="D414" s="41">
        <f t="shared" si="73"/>
        <v>0.88000000000000012</v>
      </c>
      <c r="E414" s="39">
        <f>IF(_xlfn.NORM.INV(R414,C414,'Regressão Grupo 2'!$B$7)&lt;=0,0,IF(_xlfn.NORM.INV(R414,C414,'Regressão Grupo 2'!$B$7)&gt;100%,100%,_xlfn.NORM.INV(R414,C414,'Regressão Grupo 2'!$B$7)))</f>
        <v>0.85040668486828619</v>
      </c>
      <c r="F414" s="39">
        <f>IF(_xlfn.NORM.INV(S414,D414,'Regressão Grupo 2'!$B$7)&lt;=0,0,IF(_xlfn.NORM.INV(S414,D414,'Regressão Grupo 2'!$B$7)&gt;100%,100%,_xlfn.NORM.INV(S414,D414,'Regressão Grupo 2'!$B$7)))</f>
        <v>0.83224447753236308</v>
      </c>
      <c r="G414" s="41">
        <v>2.0866807878615994E-2</v>
      </c>
      <c r="H414" s="41">
        <v>1.7510432811989073E-2</v>
      </c>
      <c r="I414" s="40">
        <f t="shared" si="74"/>
        <v>0</v>
      </c>
      <c r="J414" s="40">
        <f t="shared" si="75"/>
        <v>291.45922013958784</v>
      </c>
      <c r="K414" s="36">
        <v>0.42277332265396439</v>
      </c>
      <c r="L414" s="42">
        <f t="shared" si="81"/>
        <v>0</v>
      </c>
      <c r="M414" s="42">
        <f t="shared" si="81"/>
        <v>20000</v>
      </c>
      <c r="N414" s="42">
        <f t="shared" si="76"/>
        <v>8455.466453079287</v>
      </c>
      <c r="O414" s="36">
        <v>5.8673320424822712</v>
      </c>
      <c r="P414" s="42">
        <f t="shared" si="77"/>
        <v>4407.4065324982075</v>
      </c>
      <c r="Q414" s="42"/>
      <c r="R414">
        <v>9.5400860621967218E-2</v>
      </c>
      <c r="S414">
        <v>0.36490981780449844</v>
      </c>
    </row>
    <row r="415" spans="1:19" x14ac:dyDescent="0.25">
      <c r="A415" s="40">
        <f t="shared" si="78"/>
        <v>0</v>
      </c>
      <c r="B415" s="40">
        <f t="shared" si="79"/>
        <v>50</v>
      </c>
      <c r="C415" s="41">
        <f t="shared" si="72"/>
        <v>1.0313000000000001</v>
      </c>
      <c r="D415" s="41">
        <f t="shared" si="73"/>
        <v>0.88000000000000012</v>
      </c>
      <c r="E415" s="39">
        <f>IF(_xlfn.NORM.INV(R415,C415,'Regressão Grupo 2'!$B$7)&lt;=0,0,IF(_xlfn.NORM.INV(R415,C415,'Regressão Grupo 2'!$B$7)&gt;100%,100%,_xlfn.NORM.INV(R415,C415,'Regressão Grupo 2'!$B$7)))</f>
        <v>1</v>
      </c>
      <c r="F415" s="39">
        <f>IF(_xlfn.NORM.INV(S415,D415,'Regressão Grupo 2'!$B$7)&lt;=0,0,IF(_xlfn.NORM.INV(S415,D415,'Regressão Grupo 2'!$B$7)&gt;100%,100%,_xlfn.NORM.INV(S415,D415,'Regressão Grupo 2'!$B$7)))</f>
        <v>0.84332960965128434</v>
      </c>
      <c r="G415" s="41">
        <v>2.2061821733753609E-2</v>
      </c>
      <c r="H415" s="41">
        <v>1.0748644743367524E-2</v>
      </c>
      <c r="I415" s="40">
        <f t="shared" si="74"/>
        <v>0</v>
      </c>
      <c r="J415" s="40">
        <f t="shared" si="75"/>
        <v>181.29300751408925</v>
      </c>
      <c r="K415" s="36">
        <v>0.27911703028388934</v>
      </c>
      <c r="L415" s="42">
        <f t="shared" si="81"/>
        <v>0</v>
      </c>
      <c r="M415" s="42">
        <f t="shared" si="81"/>
        <v>20000</v>
      </c>
      <c r="N415" s="42">
        <f t="shared" si="76"/>
        <v>5582.3406056777867</v>
      </c>
      <c r="O415" s="36">
        <v>7.5632855012351534</v>
      </c>
      <c r="P415" s="42">
        <f t="shared" si="77"/>
        <v>2111.1389948200494</v>
      </c>
      <c r="Q415" s="42"/>
      <c r="R415">
        <v>0.55290383617664118</v>
      </c>
      <c r="S415">
        <v>0.3954283272804956</v>
      </c>
    </row>
    <row r="416" spans="1:19" x14ac:dyDescent="0.25">
      <c r="A416" s="40">
        <f t="shared" si="78"/>
        <v>0</v>
      </c>
      <c r="B416" s="40">
        <f t="shared" si="79"/>
        <v>50</v>
      </c>
      <c r="C416" s="41">
        <f t="shared" si="72"/>
        <v>1.0313000000000001</v>
      </c>
      <c r="D416" s="41">
        <f t="shared" si="73"/>
        <v>0.88000000000000012</v>
      </c>
      <c r="E416" s="39">
        <f>IF(_xlfn.NORM.INV(R416,C416,'Regressão Grupo 2'!$B$7)&lt;=0,0,IF(_xlfn.NORM.INV(R416,C416,'Regressão Grupo 2'!$B$7)&gt;100%,100%,_xlfn.NORM.INV(R416,C416,'Regressão Grupo 2'!$B$7)))</f>
        <v>1</v>
      </c>
      <c r="F416" s="39">
        <f>IF(_xlfn.NORM.INV(S416,D416,'Regressão Grupo 2'!$B$7)&lt;=0,0,IF(_xlfn.NORM.INV(S416,D416,'Regressão Grupo 2'!$B$7)&gt;100%,100%,_xlfn.NORM.INV(S416,D416,'Regressão Grupo 2'!$B$7)))</f>
        <v>0.89820939701023828</v>
      </c>
      <c r="G416" s="41">
        <v>1.4483402602260923E-2</v>
      </c>
      <c r="H416" s="41">
        <v>1.9086834430894418E-2</v>
      </c>
      <c r="I416" s="40">
        <f t="shared" si="74"/>
        <v>0</v>
      </c>
      <c r="J416" s="40">
        <f t="shared" si="75"/>
        <v>342.87948090015863</v>
      </c>
      <c r="K416" s="36">
        <v>0.25120213720738716</v>
      </c>
      <c r="L416" s="42">
        <f t="shared" si="81"/>
        <v>0</v>
      </c>
      <c r="M416" s="42">
        <f t="shared" si="81"/>
        <v>20000</v>
      </c>
      <c r="N416" s="42">
        <f t="shared" si="76"/>
        <v>5024.0427441477432</v>
      </c>
      <c r="O416" s="36">
        <v>5.6271620929382209</v>
      </c>
      <c r="P416" s="42">
        <f t="shared" si="77"/>
        <v>10190.492883492479</v>
      </c>
      <c r="Q416" s="42"/>
      <c r="R416">
        <v>0.96032593768120367</v>
      </c>
      <c r="S416">
        <v>0.55238502151554913</v>
      </c>
    </row>
    <row r="417" spans="1:19" x14ac:dyDescent="0.25">
      <c r="A417" s="40">
        <f t="shared" si="78"/>
        <v>0</v>
      </c>
      <c r="B417" s="40">
        <f t="shared" si="79"/>
        <v>50</v>
      </c>
      <c r="C417" s="41">
        <f t="shared" si="72"/>
        <v>1.0313000000000001</v>
      </c>
      <c r="D417" s="41">
        <f t="shared" si="73"/>
        <v>0.88000000000000012</v>
      </c>
      <c r="E417" s="39">
        <f>IF(_xlfn.NORM.INV(R417,C417,'Regressão Grupo 2'!$B$7)&lt;=0,0,IF(_xlfn.NORM.INV(R417,C417,'Regressão Grupo 2'!$B$7)&gt;100%,100%,_xlfn.NORM.INV(R417,C417,'Regressão Grupo 2'!$B$7)))</f>
        <v>1</v>
      </c>
      <c r="F417" s="39">
        <f>IF(_xlfn.NORM.INV(S417,D417,'Regressão Grupo 2'!$B$7)&lt;=0,0,IF(_xlfn.NORM.INV(S417,D417,'Regressão Grupo 2'!$B$7)&gt;100%,100%,_xlfn.NORM.INV(S417,D417,'Regressão Grupo 2'!$B$7)))</f>
        <v>0.85938698694336202</v>
      </c>
      <c r="G417" s="41">
        <v>1.1122394706757575E-2</v>
      </c>
      <c r="H417" s="41">
        <v>1.7445807334213012E-2</v>
      </c>
      <c r="I417" s="40">
        <f t="shared" si="74"/>
        <v>0</v>
      </c>
      <c r="J417" s="40">
        <f t="shared" si="75"/>
        <v>299.85399599487454</v>
      </c>
      <c r="K417" s="36">
        <v>0.27339343636749802</v>
      </c>
      <c r="L417" s="42">
        <f t="shared" si="81"/>
        <v>0</v>
      </c>
      <c r="M417" s="42">
        <f t="shared" si="81"/>
        <v>20000</v>
      </c>
      <c r="N417" s="42">
        <f t="shared" si="76"/>
        <v>5467.8687273499609</v>
      </c>
      <c r="O417" s="36">
        <v>4.0261759840138716</v>
      </c>
      <c r="P417" s="42">
        <f t="shared" si="77"/>
        <v>8317.5661150086089</v>
      </c>
      <c r="Q417" s="42"/>
      <c r="R417">
        <v>0.72411267433698534</v>
      </c>
      <c r="S417">
        <v>0.44074831385235147</v>
      </c>
    </row>
    <row r="418" spans="1:19" x14ac:dyDescent="0.25">
      <c r="A418" s="40">
        <f t="shared" si="78"/>
        <v>0</v>
      </c>
      <c r="B418" s="40">
        <f t="shared" si="79"/>
        <v>50</v>
      </c>
      <c r="C418" s="41">
        <f t="shared" si="72"/>
        <v>1.0313000000000001</v>
      </c>
      <c r="D418" s="41">
        <f t="shared" si="73"/>
        <v>0.88000000000000012</v>
      </c>
      <c r="E418" s="39">
        <f>IF(_xlfn.NORM.INV(R418,C418,'Regressão Grupo 2'!$B$7)&lt;=0,0,IF(_xlfn.NORM.INV(R418,C418,'Regressão Grupo 2'!$B$7)&gt;100%,100%,_xlfn.NORM.INV(R418,C418,'Regressão Grupo 2'!$B$7)))</f>
        <v>1</v>
      </c>
      <c r="F418" s="39">
        <f>IF(_xlfn.NORM.INV(S418,D418,'Regressão Grupo 2'!$B$7)&lt;=0,0,IF(_xlfn.NORM.INV(S418,D418,'Regressão Grupo 2'!$B$7)&gt;100%,100%,_xlfn.NORM.INV(S418,D418,'Regressão Grupo 2'!$B$7)))</f>
        <v>0.89183519680518164</v>
      </c>
      <c r="G418" s="41">
        <v>1.4714735224652479E-2</v>
      </c>
      <c r="H418" s="41">
        <v>1.6660116895515137E-2</v>
      </c>
      <c r="I418" s="40">
        <f t="shared" si="74"/>
        <v>0</v>
      </c>
      <c r="J418" s="40">
        <f t="shared" si="75"/>
        <v>297.16157260618149</v>
      </c>
      <c r="K418" s="36">
        <v>0.23767217779943434</v>
      </c>
      <c r="L418" s="42">
        <f t="shared" si="81"/>
        <v>0</v>
      </c>
      <c r="M418" s="42">
        <f t="shared" si="81"/>
        <v>20000</v>
      </c>
      <c r="N418" s="42">
        <f t="shared" si="76"/>
        <v>4753.443555988687</v>
      </c>
      <c r="O418" s="36">
        <v>5.680257920246758</v>
      </c>
      <c r="P418" s="42">
        <f t="shared" si="77"/>
        <v>8416.6806979311441</v>
      </c>
      <c r="Q418" s="42"/>
      <c r="R418">
        <v>0.86837366863002408</v>
      </c>
      <c r="S418">
        <v>0.53410443433942689</v>
      </c>
    </row>
    <row r="419" spans="1:19" x14ac:dyDescent="0.25">
      <c r="A419" s="40">
        <f t="shared" si="78"/>
        <v>0</v>
      </c>
      <c r="B419" s="40">
        <f t="shared" si="79"/>
        <v>50</v>
      </c>
      <c r="C419" s="41">
        <f t="shared" si="72"/>
        <v>1.0313000000000001</v>
      </c>
      <c r="D419" s="41">
        <f t="shared" si="73"/>
        <v>0.88000000000000012</v>
      </c>
      <c r="E419" s="39">
        <f>IF(_xlfn.NORM.INV(R419,C419,'Regressão Grupo 2'!$B$7)&lt;=0,0,IF(_xlfn.NORM.INV(R419,C419,'Regressão Grupo 2'!$B$7)&gt;100%,100%,_xlfn.NORM.INV(R419,C419,'Regressão Grupo 2'!$B$7)))</f>
        <v>0.88656664586219902</v>
      </c>
      <c r="F419" s="39">
        <f>IF(_xlfn.NORM.INV(S419,D419,'Regressão Grupo 2'!$B$7)&lt;=0,0,IF(_xlfn.NORM.INV(S419,D419,'Regressão Grupo 2'!$B$7)&gt;100%,100%,_xlfn.NORM.INV(S419,D419,'Regressão Grupo 2'!$B$7)))</f>
        <v>0.91691148815197643</v>
      </c>
      <c r="G419" s="41">
        <v>1.1663226006286522E-2</v>
      </c>
      <c r="H419" s="41">
        <v>1.3586446181125183E-2</v>
      </c>
      <c r="I419" s="40">
        <f t="shared" si="74"/>
        <v>0</v>
      </c>
      <c r="J419" s="40">
        <f t="shared" si="75"/>
        <v>249.15137173264455</v>
      </c>
      <c r="K419" s="36">
        <v>0.25738297732058879</v>
      </c>
      <c r="L419" s="42">
        <f t="shared" si="81"/>
        <v>0</v>
      </c>
      <c r="M419" s="42">
        <f t="shared" si="81"/>
        <v>20000</v>
      </c>
      <c r="N419" s="42">
        <f t="shared" si="76"/>
        <v>5147.6595464117754</v>
      </c>
      <c r="O419" s="36">
        <v>5.0622361191611516</v>
      </c>
      <c r="P419" s="42">
        <f t="shared" si="77"/>
        <v>6048.6459670969116</v>
      </c>
      <c r="Q419" s="42"/>
      <c r="R419">
        <v>0.14761803033539841</v>
      </c>
      <c r="S419">
        <v>0.60524307992797632</v>
      </c>
    </row>
    <row r="420" spans="1:19" x14ac:dyDescent="0.25">
      <c r="A420" s="40">
        <f t="shared" si="78"/>
        <v>0</v>
      </c>
      <c r="B420" s="40">
        <f t="shared" si="79"/>
        <v>50</v>
      </c>
      <c r="C420" s="41">
        <f t="shared" si="72"/>
        <v>1.0313000000000001</v>
      </c>
      <c r="D420" s="41">
        <f t="shared" si="73"/>
        <v>0.88000000000000012</v>
      </c>
      <c r="E420" s="39">
        <f>IF(_xlfn.NORM.INV(R420,C420,'Regressão Grupo 2'!$B$7)&lt;=0,0,IF(_xlfn.NORM.INV(R420,C420,'Regressão Grupo 2'!$B$7)&gt;100%,100%,_xlfn.NORM.INV(R420,C420,'Regressão Grupo 2'!$B$7)))</f>
        <v>1</v>
      </c>
      <c r="F420" s="39">
        <f>IF(_xlfn.NORM.INV(S420,D420,'Regressão Grupo 2'!$B$7)&lt;=0,0,IF(_xlfn.NORM.INV(S420,D420,'Regressão Grupo 2'!$B$7)&gt;100%,100%,_xlfn.NORM.INV(S420,D420,'Regressão Grupo 2'!$B$7)))</f>
        <v>0.86353907030563493</v>
      </c>
      <c r="G420" s="41">
        <v>1.65632949494375E-2</v>
      </c>
      <c r="H420" s="41">
        <v>5.7574105400658706E-3</v>
      </c>
      <c r="I420" s="40">
        <f t="shared" si="74"/>
        <v>0</v>
      </c>
      <c r="J420" s="40">
        <f t="shared" si="75"/>
        <v>99.434978902726911</v>
      </c>
      <c r="K420" s="36">
        <v>0.31648825021469296</v>
      </c>
      <c r="L420" s="42">
        <f t="shared" si="81"/>
        <v>0</v>
      </c>
      <c r="M420" s="42">
        <f t="shared" si="81"/>
        <v>20000</v>
      </c>
      <c r="N420" s="42">
        <f t="shared" si="76"/>
        <v>6329.7650042938594</v>
      </c>
      <c r="O420" s="36">
        <v>6.1496112418886852</v>
      </c>
      <c r="P420" s="42">
        <f t="shared" si="77"/>
        <v>-1969.5025232546877</v>
      </c>
      <c r="Q420" s="42"/>
      <c r="R420">
        <v>0.44669942320017092</v>
      </c>
      <c r="S420">
        <v>0.45262001403851437</v>
      </c>
    </row>
    <row r="421" spans="1:19" x14ac:dyDescent="0.25">
      <c r="A421" s="40">
        <f t="shared" si="78"/>
        <v>0</v>
      </c>
      <c r="B421" s="40">
        <f t="shared" si="79"/>
        <v>50</v>
      </c>
      <c r="C421" s="41">
        <f t="shared" si="72"/>
        <v>1.0313000000000001</v>
      </c>
      <c r="D421" s="41">
        <f t="shared" si="73"/>
        <v>0.88000000000000012</v>
      </c>
      <c r="E421" s="39">
        <f>IF(_xlfn.NORM.INV(R421,C421,'Regressão Grupo 2'!$B$7)&lt;=0,0,IF(_xlfn.NORM.INV(R421,C421,'Regressão Grupo 2'!$B$7)&gt;100%,100%,_xlfn.NORM.INV(R421,C421,'Regressão Grupo 2'!$B$7)))</f>
        <v>1</v>
      </c>
      <c r="F421" s="39">
        <f>IF(_xlfn.NORM.INV(S421,D421,'Regressão Grupo 2'!$B$7)&lt;=0,0,IF(_xlfn.NORM.INV(S421,D421,'Regressão Grupo 2'!$B$7)&gt;100%,100%,_xlfn.NORM.INV(S421,D421,'Regressão Grupo 2'!$B$7)))</f>
        <v>0.70487213623520073</v>
      </c>
      <c r="G421" s="41">
        <v>2.1965703703332149E-2</v>
      </c>
      <c r="H421" s="41">
        <v>2.8909355211847339E-2</v>
      </c>
      <c r="I421" s="40">
        <f t="shared" si="74"/>
        <v>0</v>
      </c>
      <c r="J421" s="40">
        <f t="shared" si="75"/>
        <v>407.5479793071413</v>
      </c>
      <c r="K421" s="36">
        <v>0.37604549851984065</v>
      </c>
      <c r="L421" s="42">
        <f t="shared" si="81"/>
        <v>0</v>
      </c>
      <c r="M421" s="42">
        <f t="shared" si="81"/>
        <v>20000</v>
      </c>
      <c r="N421" s="42">
        <f t="shared" si="76"/>
        <v>7520.9099703968132</v>
      </c>
      <c r="O421" s="36">
        <v>7.1097409523870017</v>
      </c>
      <c r="P421" s="42">
        <f t="shared" si="77"/>
        <v>9958.9284364176965</v>
      </c>
      <c r="Q421" s="42"/>
      <c r="R421">
        <v>0.8239692373424482</v>
      </c>
      <c r="S421">
        <v>0.10266426587725455</v>
      </c>
    </row>
    <row r="422" spans="1:19" x14ac:dyDescent="0.25">
      <c r="A422" s="40">
        <f t="shared" si="78"/>
        <v>0</v>
      </c>
      <c r="B422" s="40">
        <f t="shared" si="79"/>
        <v>50</v>
      </c>
      <c r="C422" s="41">
        <f t="shared" si="72"/>
        <v>1.0313000000000001</v>
      </c>
      <c r="D422" s="41">
        <f t="shared" si="73"/>
        <v>0.88000000000000012</v>
      </c>
      <c r="E422" s="39">
        <f>IF(_xlfn.NORM.INV(R422,C422,'Regressão Grupo 2'!$B$7)&lt;=0,0,IF(_xlfn.NORM.INV(R422,C422,'Regressão Grupo 2'!$B$7)&gt;100%,100%,_xlfn.NORM.INV(R422,C422,'Regressão Grupo 2'!$B$7)))</f>
        <v>1</v>
      </c>
      <c r="F422" s="39">
        <f>IF(_xlfn.NORM.INV(S422,D422,'Regressão Grupo 2'!$B$7)&lt;=0,0,IF(_xlfn.NORM.INV(S422,D422,'Regressão Grupo 2'!$B$7)&gt;100%,100%,_xlfn.NORM.INV(S422,D422,'Regressão Grupo 2'!$B$7)))</f>
        <v>0.91767936850646714</v>
      </c>
      <c r="G422" s="41">
        <v>9.445247678321304E-3</v>
      </c>
      <c r="H422" s="41">
        <v>7.7391361263106995E-3</v>
      </c>
      <c r="I422" s="40">
        <f t="shared" si="74"/>
        <v>0</v>
      </c>
      <c r="J422" s="40">
        <f t="shared" si="75"/>
        <v>142.04091106356779</v>
      </c>
      <c r="K422" s="36">
        <v>0.22139989730730064</v>
      </c>
      <c r="L422" s="42">
        <f t="shared" si="81"/>
        <v>0</v>
      </c>
      <c r="M422" s="42">
        <f t="shared" si="81"/>
        <v>20000</v>
      </c>
      <c r="N422" s="42">
        <f t="shared" si="76"/>
        <v>4427.9979461460125</v>
      </c>
      <c r="O422" s="36">
        <v>3.4117524261764505</v>
      </c>
      <c r="P422" s="42">
        <f t="shared" si="77"/>
        <v>2189.4391840949356</v>
      </c>
      <c r="Q422" s="42"/>
      <c r="R422">
        <v>0.90820032349620039</v>
      </c>
      <c r="S422">
        <v>0.60737937559129607</v>
      </c>
    </row>
    <row r="423" spans="1:19" x14ac:dyDescent="0.25">
      <c r="A423" s="40">
        <f t="shared" si="78"/>
        <v>0</v>
      </c>
      <c r="B423" s="40">
        <f t="shared" si="79"/>
        <v>50</v>
      </c>
      <c r="C423" s="41">
        <f t="shared" si="72"/>
        <v>1.0313000000000001</v>
      </c>
      <c r="D423" s="41">
        <f t="shared" si="73"/>
        <v>0.88000000000000012</v>
      </c>
      <c r="E423" s="39">
        <f>IF(_xlfn.NORM.INV(R423,C423,'Regressão Grupo 2'!$B$7)&lt;=0,0,IF(_xlfn.NORM.INV(R423,C423,'Regressão Grupo 2'!$B$7)&gt;100%,100%,_xlfn.NORM.INV(R423,C423,'Regressão Grupo 2'!$B$7)))</f>
        <v>1</v>
      </c>
      <c r="F423" s="39">
        <f>IF(_xlfn.NORM.INV(S423,D423,'Regressão Grupo 2'!$B$7)&lt;=0,0,IF(_xlfn.NORM.INV(S423,D423,'Regressão Grupo 2'!$B$7)&gt;100%,100%,_xlfn.NORM.INV(S423,D423,'Regressão Grupo 2'!$B$7)))</f>
        <v>0.566223214099977</v>
      </c>
      <c r="G423" s="41">
        <v>1.0022543292695476E-2</v>
      </c>
      <c r="H423" s="41">
        <v>6.3041146737841747E-3</v>
      </c>
      <c r="I423" s="40">
        <f t="shared" si="74"/>
        <v>0</v>
      </c>
      <c r="J423" s="40">
        <f t="shared" si="75"/>
        <v>71.390721452898063</v>
      </c>
      <c r="K423" s="36">
        <v>0.25377405366142813</v>
      </c>
      <c r="L423" s="42">
        <f t="shared" ref="L423:M438" si="82">L422</f>
        <v>0</v>
      </c>
      <c r="M423" s="42">
        <f t="shared" si="82"/>
        <v>20000</v>
      </c>
      <c r="N423" s="42">
        <f t="shared" si="76"/>
        <v>5075.4810732285623</v>
      </c>
      <c r="O423" s="36">
        <v>4.0473737036350803</v>
      </c>
      <c r="P423" s="42">
        <f t="shared" si="77"/>
        <v>-1794.889929275656</v>
      </c>
      <c r="Q423" s="42"/>
      <c r="R423">
        <v>0.54094058046205018</v>
      </c>
      <c r="S423">
        <v>1.1627552110354931E-2</v>
      </c>
    </row>
    <row r="424" spans="1:19" x14ac:dyDescent="0.25">
      <c r="A424" s="40">
        <f t="shared" si="78"/>
        <v>0</v>
      </c>
      <c r="B424" s="40">
        <f t="shared" si="79"/>
        <v>50</v>
      </c>
      <c r="C424" s="41">
        <f t="shared" si="72"/>
        <v>1.0313000000000001</v>
      </c>
      <c r="D424" s="41">
        <f t="shared" si="73"/>
        <v>0.88000000000000012</v>
      </c>
      <c r="E424" s="39">
        <f>IF(_xlfn.NORM.INV(R424,C424,'Regressão Grupo 2'!$B$7)&lt;=0,0,IF(_xlfn.NORM.INV(R424,C424,'Regressão Grupo 2'!$B$7)&gt;100%,100%,_xlfn.NORM.INV(R424,C424,'Regressão Grupo 2'!$B$7)))</f>
        <v>0.91048712118712982</v>
      </c>
      <c r="F424" s="39">
        <f>IF(_xlfn.NORM.INV(S424,D424,'Regressão Grupo 2'!$B$7)&lt;=0,0,IF(_xlfn.NORM.INV(S424,D424,'Regressão Grupo 2'!$B$7)&gt;100%,100%,_xlfn.NORM.INV(S424,D424,'Regressão Grupo 2'!$B$7)))</f>
        <v>0.74268651290884524</v>
      </c>
      <c r="G424" s="41">
        <v>1.1987842182609842E-2</v>
      </c>
      <c r="H424" s="41">
        <v>2.4525214664539292E-2</v>
      </c>
      <c r="I424" s="40">
        <f t="shared" si="74"/>
        <v>0</v>
      </c>
      <c r="J424" s="40">
        <f t="shared" si="75"/>
        <v>364.29092315095119</v>
      </c>
      <c r="K424" s="36">
        <v>0.30001381683392114</v>
      </c>
      <c r="L424" s="42">
        <f t="shared" si="82"/>
        <v>0</v>
      </c>
      <c r="M424" s="42">
        <f t="shared" si="82"/>
        <v>20000</v>
      </c>
      <c r="N424" s="42">
        <f t="shared" si="76"/>
        <v>6000.2763366784229</v>
      </c>
      <c r="O424" s="36">
        <v>5.0023757452437438</v>
      </c>
      <c r="P424" s="42">
        <f t="shared" si="77"/>
        <v>10391.949742686364</v>
      </c>
      <c r="Q424" s="42"/>
      <c r="R424">
        <v>0.19113742484817042</v>
      </c>
      <c r="S424">
        <v>0.16034424878688924</v>
      </c>
    </row>
    <row r="425" spans="1:19" x14ac:dyDescent="0.25">
      <c r="A425" s="40">
        <f t="shared" si="78"/>
        <v>0</v>
      </c>
      <c r="B425" s="40">
        <f t="shared" si="79"/>
        <v>50</v>
      </c>
      <c r="C425" s="41">
        <f t="shared" si="72"/>
        <v>1.0313000000000001</v>
      </c>
      <c r="D425" s="41">
        <f t="shared" si="73"/>
        <v>0.88000000000000012</v>
      </c>
      <c r="E425" s="39">
        <f>IF(_xlfn.NORM.INV(R425,C425,'Regressão Grupo 2'!$B$7)&lt;=0,0,IF(_xlfn.NORM.INV(R425,C425,'Regressão Grupo 2'!$B$7)&gt;100%,100%,_xlfn.NORM.INV(R425,C425,'Regressão Grupo 2'!$B$7)))</f>
        <v>0.98955291839574988</v>
      </c>
      <c r="F425" s="39">
        <f>IF(_xlfn.NORM.INV(S425,D425,'Regressão Grupo 2'!$B$7)&lt;=0,0,IF(_xlfn.NORM.INV(S425,D425,'Regressão Grupo 2'!$B$7)&gt;100%,100%,_xlfn.NORM.INV(S425,D425,'Regressão Grupo 2'!$B$7)))</f>
        <v>1</v>
      </c>
      <c r="G425" s="41">
        <v>2.3456919656822669E-2</v>
      </c>
      <c r="H425" s="41">
        <v>9.3060437038042249E-3</v>
      </c>
      <c r="I425" s="40">
        <f t="shared" si="74"/>
        <v>0</v>
      </c>
      <c r="J425" s="40">
        <f t="shared" si="75"/>
        <v>186.1208740760845</v>
      </c>
      <c r="K425" s="36">
        <v>0.25772169163248781</v>
      </c>
      <c r="L425" s="42">
        <f t="shared" si="82"/>
        <v>0</v>
      </c>
      <c r="M425" s="42">
        <f t="shared" si="82"/>
        <v>20000</v>
      </c>
      <c r="N425" s="42">
        <f t="shared" si="76"/>
        <v>5154.4338326497564</v>
      </c>
      <c r="O425" s="36">
        <v>6.5708811080389493</v>
      </c>
      <c r="P425" s="42">
        <f t="shared" si="77"/>
        <v>2928.631735876229</v>
      </c>
      <c r="Q425" s="42"/>
      <c r="R425">
        <v>0.3813592944120609</v>
      </c>
      <c r="S425">
        <v>0.87697988830225537</v>
      </c>
    </row>
    <row r="426" spans="1:19" x14ac:dyDescent="0.25">
      <c r="A426" s="40">
        <f t="shared" si="78"/>
        <v>0</v>
      </c>
      <c r="B426" s="40">
        <f t="shared" si="79"/>
        <v>50</v>
      </c>
      <c r="C426" s="41">
        <f t="shared" si="72"/>
        <v>1.0313000000000001</v>
      </c>
      <c r="D426" s="41">
        <f t="shared" si="73"/>
        <v>0.88000000000000012</v>
      </c>
      <c r="E426" s="39">
        <f>IF(_xlfn.NORM.INV(R426,C426,'Regressão Grupo 2'!$B$7)&lt;=0,0,IF(_xlfn.NORM.INV(R426,C426,'Regressão Grupo 2'!$B$7)&gt;100%,100%,_xlfn.NORM.INV(R426,C426,'Regressão Grupo 2'!$B$7)))</f>
        <v>1</v>
      </c>
      <c r="F426" s="39">
        <f>IF(_xlfn.NORM.INV(S426,D426,'Regressão Grupo 2'!$B$7)&lt;=0,0,IF(_xlfn.NORM.INV(S426,D426,'Regressão Grupo 2'!$B$7)&gt;100%,100%,_xlfn.NORM.INV(S426,D426,'Regressão Grupo 2'!$B$7)))</f>
        <v>0.99483612902530205</v>
      </c>
      <c r="G426" s="41">
        <v>2.0393958320965425E-2</v>
      </c>
      <c r="H426" s="41">
        <v>1.0221324491356537E-2</v>
      </c>
      <c r="I426" s="40">
        <f t="shared" si="74"/>
        <v>0</v>
      </c>
      <c r="J426" s="40">
        <f t="shared" si="75"/>
        <v>203.37085780985305</v>
      </c>
      <c r="K426" s="36">
        <v>0.23250492158782299</v>
      </c>
      <c r="L426" s="42">
        <f t="shared" si="82"/>
        <v>0</v>
      </c>
      <c r="M426" s="42">
        <f t="shared" si="82"/>
        <v>20000</v>
      </c>
      <c r="N426" s="42">
        <f t="shared" si="76"/>
        <v>4650.0984317564598</v>
      </c>
      <c r="O426" s="36">
        <v>10.20488731930913</v>
      </c>
      <c r="P426" s="42">
        <f t="shared" si="77"/>
        <v>3443.0677707554023</v>
      </c>
      <c r="Q426" s="42"/>
      <c r="R426">
        <v>0.78090762047181617</v>
      </c>
      <c r="S426">
        <v>0.79686880092776269</v>
      </c>
    </row>
    <row r="427" spans="1:19" x14ac:dyDescent="0.25">
      <c r="A427" s="40">
        <f t="shared" si="78"/>
        <v>0</v>
      </c>
      <c r="B427" s="40">
        <f t="shared" si="79"/>
        <v>50</v>
      </c>
      <c r="C427" s="41">
        <f t="shared" si="72"/>
        <v>1.0313000000000001</v>
      </c>
      <c r="D427" s="41">
        <f t="shared" si="73"/>
        <v>0.88000000000000012</v>
      </c>
      <c r="E427" s="39">
        <f>IF(_xlfn.NORM.INV(R427,C427,'Regressão Grupo 2'!$B$7)&lt;=0,0,IF(_xlfn.NORM.INV(R427,C427,'Regressão Grupo 2'!$B$7)&gt;100%,100%,_xlfn.NORM.INV(R427,C427,'Regressão Grupo 2'!$B$7)))</f>
        <v>0.98395969521614379</v>
      </c>
      <c r="F427" s="39">
        <f>IF(_xlfn.NORM.INV(S427,D427,'Regressão Grupo 2'!$B$7)&lt;=0,0,IF(_xlfn.NORM.INV(S427,D427,'Regressão Grupo 2'!$B$7)&gt;100%,100%,_xlfn.NORM.INV(S427,D427,'Regressão Grupo 2'!$B$7)))</f>
        <v>1</v>
      </c>
      <c r="G427" s="41">
        <v>2.5943356847786807E-2</v>
      </c>
      <c r="H427" s="41">
        <v>1.3717943015726999E-2</v>
      </c>
      <c r="I427" s="40">
        <f t="shared" si="74"/>
        <v>0</v>
      </c>
      <c r="J427" s="40">
        <f t="shared" si="75"/>
        <v>274.35886031453998</v>
      </c>
      <c r="K427" s="36">
        <v>0.31217501512027651</v>
      </c>
      <c r="L427" s="42">
        <f t="shared" si="82"/>
        <v>0</v>
      </c>
      <c r="M427" s="42">
        <f t="shared" si="82"/>
        <v>20000</v>
      </c>
      <c r="N427" s="42">
        <f t="shared" si="76"/>
        <v>6243.5003024055304</v>
      </c>
      <c r="O427" s="36">
        <v>3.7514885634131412</v>
      </c>
      <c r="P427" s="42">
        <f t="shared" si="77"/>
        <v>6445.1885865804097</v>
      </c>
      <c r="Q427" s="42"/>
      <c r="R427">
        <v>0.3660390026551103</v>
      </c>
      <c r="S427">
        <v>0.9064912869655446</v>
      </c>
    </row>
    <row r="428" spans="1:19" x14ac:dyDescent="0.25">
      <c r="A428" s="40">
        <f t="shared" si="78"/>
        <v>0</v>
      </c>
      <c r="B428" s="40">
        <f t="shared" si="79"/>
        <v>50</v>
      </c>
      <c r="C428" s="41">
        <f t="shared" si="72"/>
        <v>1.0313000000000001</v>
      </c>
      <c r="D428" s="41">
        <f t="shared" si="73"/>
        <v>0.88000000000000012</v>
      </c>
      <c r="E428" s="39">
        <f>IF(_xlfn.NORM.INV(R428,C428,'Regressão Grupo 2'!$B$7)&lt;=0,0,IF(_xlfn.NORM.INV(R428,C428,'Regressão Grupo 2'!$B$7)&gt;100%,100%,_xlfn.NORM.INV(R428,C428,'Regressão Grupo 2'!$B$7)))</f>
        <v>1</v>
      </c>
      <c r="F428" s="39">
        <f>IF(_xlfn.NORM.INV(S428,D428,'Regressão Grupo 2'!$B$7)&lt;=0,0,IF(_xlfn.NORM.INV(S428,D428,'Regressão Grupo 2'!$B$7)&gt;100%,100%,_xlfn.NORM.INV(S428,D428,'Regressão Grupo 2'!$B$7)))</f>
        <v>0.97222877367755522</v>
      </c>
      <c r="G428" s="41">
        <v>1.1506511606933882E-2</v>
      </c>
      <c r="H428" s="41">
        <v>1.5674068841244431E-2</v>
      </c>
      <c r="I428" s="40">
        <f t="shared" si="74"/>
        <v>0</v>
      </c>
      <c r="J428" s="40">
        <f t="shared" si="75"/>
        <v>304.77561456121305</v>
      </c>
      <c r="K428" s="36">
        <v>0.24831422204047951</v>
      </c>
      <c r="L428" s="42">
        <f t="shared" si="82"/>
        <v>0</v>
      </c>
      <c r="M428" s="42">
        <f t="shared" si="82"/>
        <v>20000</v>
      </c>
      <c r="N428" s="42">
        <f t="shared" si="76"/>
        <v>4966.2844408095898</v>
      </c>
      <c r="O428" s="36">
        <v>4.9522082404446577</v>
      </c>
      <c r="P428" s="42">
        <f t="shared" si="77"/>
        <v>8763.1839773344382</v>
      </c>
      <c r="Q428" s="42"/>
      <c r="R428">
        <v>0.74388866847743151</v>
      </c>
      <c r="S428">
        <v>0.74761192663350318</v>
      </c>
    </row>
    <row r="429" spans="1:19" x14ac:dyDescent="0.25">
      <c r="A429" s="40">
        <f t="shared" si="78"/>
        <v>0</v>
      </c>
      <c r="B429" s="40">
        <f t="shared" si="79"/>
        <v>50</v>
      </c>
      <c r="C429" s="41">
        <f t="shared" si="72"/>
        <v>1.0313000000000001</v>
      </c>
      <c r="D429" s="41">
        <f t="shared" si="73"/>
        <v>0.88000000000000012</v>
      </c>
      <c r="E429" s="39">
        <f>IF(_xlfn.NORM.INV(R429,C429,'Regressão Grupo 2'!$B$7)&lt;=0,0,IF(_xlfn.NORM.INV(R429,C429,'Regressão Grupo 2'!$B$7)&gt;100%,100%,_xlfn.NORM.INV(R429,C429,'Regressão Grupo 2'!$B$7)))</f>
        <v>0.72010611006460445</v>
      </c>
      <c r="F429" s="39">
        <f>IF(_xlfn.NORM.INV(S429,D429,'Regressão Grupo 2'!$B$7)&lt;=0,0,IF(_xlfn.NORM.INV(S429,D429,'Regressão Grupo 2'!$B$7)&gt;100%,100%,_xlfn.NORM.INV(S429,D429,'Regressão Grupo 2'!$B$7)))</f>
        <v>0.85202762142127941</v>
      </c>
      <c r="G429" s="41">
        <v>1.7984852417442944E-2</v>
      </c>
      <c r="H429" s="41">
        <v>8.3319998309995692E-3</v>
      </c>
      <c r="I429" s="40">
        <f t="shared" si="74"/>
        <v>0</v>
      </c>
      <c r="J429" s="40">
        <f t="shared" si="75"/>
        <v>141.98187995378129</v>
      </c>
      <c r="K429" s="36">
        <v>0.27863446376495293</v>
      </c>
      <c r="L429" s="42">
        <f t="shared" si="82"/>
        <v>0</v>
      </c>
      <c r="M429" s="42">
        <f t="shared" si="82"/>
        <v>20000</v>
      </c>
      <c r="N429" s="42">
        <f t="shared" si="76"/>
        <v>5572.6892752990589</v>
      </c>
      <c r="O429" s="36">
        <v>5.6335560676541547</v>
      </c>
      <c r="P429" s="42">
        <f t="shared" si="77"/>
        <v>726.54184107943729</v>
      </c>
      <c r="Q429" s="42"/>
      <c r="R429">
        <v>1.2207403790398877E-2</v>
      </c>
      <c r="S429">
        <v>0.41984313486129338</v>
      </c>
    </row>
    <row r="430" spans="1:19" x14ac:dyDescent="0.25">
      <c r="A430" s="40">
        <f t="shared" si="78"/>
        <v>0</v>
      </c>
      <c r="B430" s="40">
        <f t="shared" si="79"/>
        <v>50</v>
      </c>
      <c r="C430" s="41">
        <f t="shared" si="72"/>
        <v>1.0313000000000001</v>
      </c>
      <c r="D430" s="41">
        <f t="shared" si="73"/>
        <v>0.88000000000000012</v>
      </c>
      <c r="E430" s="39">
        <f>IF(_xlfn.NORM.INV(R430,C430,'Regressão Grupo 2'!$B$7)&lt;=0,0,IF(_xlfn.NORM.INV(R430,C430,'Regressão Grupo 2'!$B$7)&gt;100%,100%,_xlfn.NORM.INV(R430,C430,'Regressão Grupo 2'!$B$7)))</f>
        <v>0.68573863072801644</v>
      </c>
      <c r="F430" s="39">
        <f>IF(_xlfn.NORM.INV(S430,D430,'Regressão Grupo 2'!$B$7)&lt;=0,0,IF(_xlfn.NORM.INV(S430,D430,'Regressão Grupo 2'!$B$7)&gt;100%,100%,_xlfn.NORM.INV(S430,D430,'Regressão Grupo 2'!$B$7)))</f>
        <v>0.68424446137802186</v>
      </c>
      <c r="G430" s="41">
        <v>2.4759386278959614E-2</v>
      </c>
      <c r="H430" s="41">
        <v>1.9683495977226659E-2</v>
      </c>
      <c r="I430" s="40">
        <f t="shared" si="74"/>
        <v>0</v>
      </c>
      <c r="J430" s="40">
        <f t="shared" si="75"/>
        <v>269.36646205947829</v>
      </c>
      <c r="K430" s="36">
        <v>0.37996110195539862</v>
      </c>
      <c r="L430" s="42">
        <f t="shared" si="82"/>
        <v>0</v>
      </c>
      <c r="M430" s="42">
        <f t="shared" si="82"/>
        <v>20000</v>
      </c>
      <c r="N430" s="42">
        <f t="shared" si="76"/>
        <v>7599.2220391079727</v>
      </c>
      <c r="O430" s="36">
        <v>4.0516355206640435</v>
      </c>
      <c r="P430" s="42">
        <f t="shared" si="77"/>
        <v>4777.7263381101557</v>
      </c>
      <c r="Q430" s="42"/>
      <c r="R430">
        <v>6.2257759331034272E-3</v>
      </c>
      <c r="S430">
        <v>7.8432569353312789E-2</v>
      </c>
    </row>
    <row r="431" spans="1:19" x14ac:dyDescent="0.25">
      <c r="A431" s="40">
        <f t="shared" si="78"/>
        <v>0</v>
      </c>
      <c r="B431" s="40">
        <f t="shared" si="79"/>
        <v>50</v>
      </c>
      <c r="C431" s="41">
        <f t="shared" si="72"/>
        <v>1.0313000000000001</v>
      </c>
      <c r="D431" s="41">
        <f t="shared" si="73"/>
        <v>0.88000000000000012</v>
      </c>
      <c r="E431" s="39">
        <f>IF(_xlfn.NORM.INV(R431,C431,'Regressão Grupo 2'!$B$7)&lt;=0,0,IF(_xlfn.NORM.INV(R431,C431,'Regressão Grupo 2'!$B$7)&gt;100%,100%,_xlfn.NORM.INV(R431,C431,'Regressão Grupo 2'!$B$7)))</f>
        <v>0.8456717354142822</v>
      </c>
      <c r="F431" s="39">
        <f>IF(_xlfn.NORM.INV(S431,D431,'Regressão Grupo 2'!$B$7)&lt;=0,0,IF(_xlfn.NORM.INV(S431,D431,'Regressão Grupo 2'!$B$7)&gt;100%,100%,_xlfn.NORM.INV(S431,D431,'Regressão Grupo 2'!$B$7)))</f>
        <v>0.9548046736269199</v>
      </c>
      <c r="G431" s="41">
        <v>8.2170379363929007E-3</v>
      </c>
      <c r="H431" s="41">
        <v>2.3222909981587929E-2</v>
      </c>
      <c r="I431" s="40">
        <f t="shared" si="74"/>
        <v>0</v>
      </c>
      <c r="J431" s="40">
        <f t="shared" si="75"/>
        <v>443.46685971274809</v>
      </c>
      <c r="K431" s="36">
        <v>0.25246705371611294</v>
      </c>
      <c r="L431" s="42">
        <f t="shared" si="82"/>
        <v>0</v>
      </c>
      <c r="M431" s="42">
        <f t="shared" si="82"/>
        <v>20000</v>
      </c>
      <c r="N431" s="42">
        <f t="shared" si="76"/>
        <v>5049.3410743222585</v>
      </c>
      <c r="O431" s="36">
        <v>6.7500543036844745</v>
      </c>
      <c r="P431" s="42">
        <f t="shared" si="77"/>
        <v>14130.57652636967</v>
      </c>
      <c r="Q431" s="42"/>
      <c r="R431">
        <v>8.9724417859431749E-2</v>
      </c>
      <c r="S431">
        <v>0.70574053163243511</v>
      </c>
    </row>
    <row r="432" spans="1:19" x14ac:dyDescent="0.25">
      <c r="A432" s="40">
        <f t="shared" si="78"/>
        <v>0</v>
      </c>
      <c r="B432" s="40">
        <f t="shared" si="79"/>
        <v>50</v>
      </c>
      <c r="C432" s="41">
        <f t="shared" si="72"/>
        <v>1.0313000000000001</v>
      </c>
      <c r="D432" s="41">
        <f t="shared" si="73"/>
        <v>0.88000000000000012</v>
      </c>
      <c r="E432" s="39">
        <f>IF(_xlfn.NORM.INV(R432,C432,'Regressão Grupo 2'!$B$7)&lt;=0,0,IF(_xlfn.NORM.INV(R432,C432,'Regressão Grupo 2'!$B$7)&gt;100%,100%,_xlfn.NORM.INV(R432,C432,'Regressão Grupo 2'!$B$7)))</f>
        <v>0.99899459783559885</v>
      </c>
      <c r="F432" s="39">
        <f>IF(_xlfn.NORM.INV(S432,D432,'Regressão Grupo 2'!$B$7)&lt;=0,0,IF(_xlfn.NORM.INV(S432,D432,'Regressão Grupo 2'!$B$7)&gt;100%,100%,_xlfn.NORM.INV(S432,D432,'Regressão Grupo 2'!$B$7)))</f>
        <v>0.93468956711243467</v>
      </c>
      <c r="G432" s="41">
        <v>1.027490351555068E-2</v>
      </c>
      <c r="H432" s="41">
        <v>2.2299630911495387E-2</v>
      </c>
      <c r="I432" s="40">
        <f t="shared" si="74"/>
        <v>0</v>
      </c>
      <c r="J432" s="40">
        <f t="shared" si="75"/>
        <v>416.86464726865381</v>
      </c>
      <c r="K432" s="36">
        <v>0.27095600313958107</v>
      </c>
      <c r="L432" s="42">
        <f t="shared" si="82"/>
        <v>0</v>
      </c>
      <c r="M432" s="42">
        <f t="shared" si="82"/>
        <v>20000</v>
      </c>
      <c r="N432" s="42">
        <f t="shared" si="76"/>
        <v>5419.1200627916214</v>
      </c>
      <c r="O432" s="36">
        <v>5.3041870902166472</v>
      </c>
      <c r="P432" s="42">
        <f t="shared" si="77"/>
        <v>13212.984220230956</v>
      </c>
      <c r="Q432" s="42"/>
      <c r="R432">
        <v>0.40763573107089451</v>
      </c>
      <c r="S432">
        <v>0.65376750999481181</v>
      </c>
    </row>
    <row r="433" spans="1:19" x14ac:dyDescent="0.25">
      <c r="A433" s="40">
        <f t="shared" si="78"/>
        <v>0</v>
      </c>
      <c r="B433" s="40">
        <f t="shared" si="79"/>
        <v>50</v>
      </c>
      <c r="C433" s="41">
        <f t="shared" si="72"/>
        <v>1.0313000000000001</v>
      </c>
      <c r="D433" s="41">
        <f t="shared" si="73"/>
        <v>0.88000000000000012</v>
      </c>
      <c r="E433" s="39">
        <f>IF(_xlfn.NORM.INV(R433,C433,'Regressão Grupo 2'!$B$7)&lt;=0,0,IF(_xlfn.NORM.INV(R433,C433,'Regressão Grupo 2'!$B$7)&gt;100%,100%,_xlfn.NORM.INV(R433,C433,'Regressão Grupo 2'!$B$7)))</f>
        <v>0.9800595661057635</v>
      </c>
      <c r="F433" s="39">
        <f>IF(_xlfn.NORM.INV(S433,D433,'Regressão Grupo 2'!$B$7)&lt;=0,0,IF(_xlfn.NORM.INV(S433,D433,'Regressão Grupo 2'!$B$7)&gt;100%,100%,_xlfn.NORM.INV(S433,D433,'Regressão Grupo 2'!$B$7)))</f>
        <v>1</v>
      </c>
      <c r="G433" s="41">
        <v>1.8331578741497722E-2</v>
      </c>
      <c r="H433" s="41">
        <v>1.4709102895054303E-2</v>
      </c>
      <c r="I433" s="40">
        <f t="shared" si="74"/>
        <v>0</v>
      </c>
      <c r="J433" s="40">
        <f t="shared" si="75"/>
        <v>294.18205790108607</v>
      </c>
      <c r="K433" s="36">
        <v>0.1936967571385414</v>
      </c>
      <c r="L433" s="42">
        <f t="shared" si="82"/>
        <v>0</v>
      </c>
      <c r="M433" s="42">
        <f t="shared" si="82"/>
        <v>20000</v>
      </c>
      <c r="N433" s="42">
        <f t="shared" si="76"/>
        <v>3873.935142770828</v>
      </c>
      <c r="O433" s="36">
        <v>4.8254950714108844</v>
      </c>
      <c r="P433" s="42">
        <f t="shared" si="77"/>
        <v>9415.5936817842739</v>
      </c>
      <c r="Q433" s="42"/>
      <c r="R433">
        <v>0.3554795983764153</v>
      </c>
      <c r="S433">
        <v>0.94323557237464517</v>
      </c>
    </row>
    <row r="434" spans="1:19" x14ac:dyDescent="0.25">
      <c r="A434" s="40">
        <f t="shared" si="78"/>
        <v>0</v>
      </c>
      <c r="B434" s="40">
        <f t="shared" si="79"/>
        <v>50</v>
      </c>
      <c r="C434" s="41">
        <f t="shared" si="72"/>
        <v>1.0313000000000001</v>
      </c>
      <c r="D434" s="41">
        <f t="shared" si="73"/>
        <v>0.88000000000000012</v>
      </c>
      <c r="E434" s="39">
        <f>IF(_xlfn.NORM.INV(R434,C434,'Regressão Grupo 2'!$B$7)&lt;=0,0,IF(_xlfn.NORM.INV(R434,C434,'Regressão Grupo 2'!$B$7)&gt;100%,100%,_xlfn.NORM.INV(R434,C434,'Regressão Grupo 2'!$B$7)))</f>
        <v>1</v>
      </c>
      <c r="F434" s="39">
        <f>IF(_xlfn.NORM.INV(S434,D434,'Regressão Grupo 2'!$B$7)&lt;=0,0,IF(_xlfn.NORM.INV(S434,D434,'Regressão Grupo 2'!$B$7)&gt;100%,100%,_xlfn.NORM.INV(S434,D434,'Regressão Grupo 2'!$B$7)))</f>
        <v>0.94472360241009878</v>
      </c>
      <c r="G434" s="41">
        <v>6.3419276283631617E-3</v>
      </c>
      <c r="H434" s="41">
        <v>1.8899154592710035E-2</v>
      </c>
      <c r="I434" s="40">
        <f t="shared" si="74"/>
        <v>0</v>
      </c>
      <c r="J434" s="40">
        <f t="shared" si="75"/>
        <v>357.08954818660771</v>
      </c>
      <c r="K434" s="36">
        <v>0.43701648818929062</v>
      </c>
      <c r="L434" s="42">
        <f t="shared" si="82"/>
        <v>0</v>
      </c>
      <c r="M434" s="42">
        <f t="shared" si="82"/>
        <v>20000</v>
      </c>
      <c r="N434" s="42">
        <f t="shared" si="76"/>
        <v>8740.3297637858122</v>
      </c>
      <c r="O434" s="36">
        <v>2.3196398487543162</v>
      </c>
      <c r="P434" s="42">
        <f t="shared" si="77"/>
        <v>8285.828499997242</v>
      </c>
      <c r="Q434" s="42"/>
      <c r="R434">
        <v>0.56163212988677635</v>
      </c>
      <c r="S434">
        <v>0.68013550218207341</v>
      </c>
    </row>
    <row r="435" spans="1:19" x14ac:dyDescent="0.25">
      <c r="A435" s="40">
        <f t="shared" si="78"/>
        <v>0</v>
      </c>
      <c r="B435" s="40">
        <f t="shared" si="79"/>
        <v>50</v>
      </c>
      <c r="C435" s="41">
        <f t="shared" si="72"/>
        <v>1.0313000000000001</v>
      </c>
      <c r="D435" s="41">
        <f t="shared" si="73"/>
        <v>0.88000000000000012</v>
      </c>
      <c r="E435" s="39">
        <f>IF(_xlfn.NORM.INV(R435,C435,'Regressão Grupo 2'!$B$7)&lt;=0,0,IF(_xlfn.NORM.INV(R435,C435,'Regressão Grupo 2'!$B$7)&gt;100%,100%,_xlfn.NORM.INV(R435,C435,'Regressão Grupo 2'!$B$7)))</f>
        <v>1</v>
      </c>
      <c r="F435" s="39">
        <f>IF(_xlfn.NORM.INV(S435,D435,'Regressão Grupo 2'!$B$7)&lt;=0,0,IF(_xlfn.NORM.INV(S435,D435,'Regressão Grupo 2'!$B$7)&gt;100%,100%,_xlfn.NORM.INV(S435,D435,'Regressão Grupo 2'!$B$7)))</f>
        <v>0.8245088203186357</v>
      </c>
      <c r="G435" s="41">
        <v>1.6521682104922334E-2</v>
      </c>
      <c r="H435" s="41">
        <v>5.7417172609193845E-3</v>
      </c>
      <c r="I435" s="40">
        <f t="shared" si="74"/>
        <v>0</v>
      </c>
      <c r="J435" s="40">
        <f t="shared" si="75"/>
        <v>94.681930508075794</v>
      </c>
      <c r="K435" s="36">
        <v>0.19397312315751011</v>
      </c>
      <c r="L435" s="42">
        <f t="shared" si="82"/>
        <v>0</v>
      </c>
      <c r="M435" s="42">
        <f t="shared" si="82"/>
        <v>20000</v>
      </c>
      <c r="N435" s="42">
        <f t="shared" si="76"/>
        <v>3879.4624631502024</v>
      </c>
      <c r="O435" s="36">
        <v>5.4198476484546942</v>
      </c>
      <c r="P435" s="42">
        <f t="shared" si="77"/>
        <v>341.47242383824278</v>
      </c>
      <c r="Q435" s="42"/>
      <c r="R435">
        <v>0.5476241340372936</v>
      </c>
      <c r="S435">
        <v>0.34409619434186833</v>
      </c>
    </row>
    <row r="436" spans="1:19" x14ac:dyDescent="0.25">
      <c r="A436" s="40">
        <f t="shared" si="78"/>
        <v>0</v>
      </c>
      <c r="B436" s="40">
        <f t="shared" si="79"/>
        <v>50</v>
      </c>
      <c r="C436" s="41">
        <f t="shared" si="72"/>
        <v>1.0313000000000001</v>
      </c>
      <c r="D436" s="41">
        <f t="shared" si="73"/>
        <v>0.88000000000000012</v>
      </c>
      <c r="E436" s="39">
        <f>IF(_xlfn.NORM.INV(R436,C436,'Regressão Grupo 2'!$B$7)&lt;=0,0,IF(_xlfn.NORM.INV(R436,C436,'Regressão Grupo 2'!$B$7)&gt;100%,100%,_xlfn.NORM.INV(R436,C436,'Regressão Grupo 2'!$B$7)))</f>
        <v>0.80923345230495536</v>
      </c>
      <c r="F436" s="39">
        <f>IF(_xlfn.NORM.INV(S436,D436,'Regressão Grupo 2'!$B$7)&lt;=0,0,IF(_xlfn.NORM.INV(S436,D436,'Regressão Grupo 2'!$B$7)&gt;100%,100%,_xlfn.NORM.INV(S436,D436,'Regressão Grupo 2'!$B$7)))</f>
        <v>0.78064412578984443</v>
      </c>
      <c r="G436" s="41">
        <v>1.3043092190688752E-2</v>
      </c>
      <c r="H436" s="41">
        <v>8.1888630729721554E-3</v>
      </c>
      <c r="I436" s="40">
        <f t="shared" si="74"/>
        <v>0</v>
      </c>
      <c r="J436" s="40">
        <f t="shared" si="75"/>
        <v>127.85175709626175</v>
      </c>
      <c r="K436" s="36">
        <v>0.45962920862171774</v>
      </c>
      <c r="L436" s="42">
        <f t="shared" si="82"/>
        <v>0</v>
      </c>
      <c r="M436" s="42">
        <f t="shared" si="82"/>
        <v>20000</v>
      </c>
      <c r="N436" s="42">
        <f t="shared" si="76"/>
        <v>9192.5841724343554</v>
      </c>
      <c r="O436" s="36">
        <v>9.8201631552133311</v>
      </c>
      <c r="P436" s="42">
        <f t="shared" si="77"/>
        <v>-4055.5214319872621</v>
      </c>
      <c r="Q436" s="42"/>
      <c r="R436">
        <v>5.4139835810419021E-2</v>
      </c>
      <c r="S436">
        <v>0.23621326334421827</v>
      </c>
    </row>
    <row r="437" spans="1:19" x14ac:dyDescent="0.25">
      <c r="A437" s="40">
        <f t="shared" si="78"/>
        <v>0</v>
      </c>
      <c r="B437" s="40">
        <f t="shared" si="79"/>
        <v>50</v>
      </c>
      <c r="C437" s="41">
        <f t="shared" si="72"/>
        <v>1.0313000000000001</v>
      </c>
      <c r="D437" s="41">
        <f t="shared" si="73"/>
        <v>0.88000000000000012</v>
      </c>
      <c r="E437" s="39">
        <f>IF(_xlfn.NORM.INV(R437,C437,'Regressão Grupo 2'!$B$7)&lt;=0,0,IF(_xlfn.NORM.INV(R437,C437,'Regressão Grupo 2'!$B$7)&gt;100%,100%,_xlfn.NORM.INV(R437,C437,'Regressão Grupo 2'!$B$7)))</f>
        <v>1</v>
      </c>
      <c r="F437" s="39">
        <f>IF(_xlfn.NORM.INV(S437,D437,'Regressão Grupo 2'!$B$7)&lt;=0,0,IF(_xlfn.NORM.INV(S437,D437,'Regressão Grupo 2'!$B$7)&gt;100%,100%,_xlfn.NORM.INV(S437,D437,'Regressão Grupo 2'!$B$7)))</f>
        <v>0.74911940475017569</v>
      </c>
      <c r="G437" s="41">
        <v>2.1515214750819196E-2</v>
      </c>
      <c r="H437" s="41">
        <v>2.4606241224877343E-2</v>
      </c>
      <c r="I437" s="40">
        <f t="shared" si="74"/>
        <v>0</v>
      </c>
      <c r="J437" s="40">
        <f t="shared" si="75"/>
        <v>368.66025559038701</v>
      </c>
      <c r="K437" s="36">
        <v>0.3431683342590236</v>
      </c>
      <c r="L437" s="42">
        <f t="shared" si="82"/>
        <v>0</v>
      </c>
      <c r="M437" s="42">
        <f t="shared" si="82"/>
        <v>20000</v>
      </c>
      <c r="N437" s="42">
        <f t="shared" si="76"/>
        <v>6863.3666851804719</v>
      </c>
      <c r="O437" s="36">
        <v>7.9113165988174705</v>
      </c>
      <c r="P437" s="42">
        <f t="shared" si="77"/>
        <v>8653.05809496236</v>
      </c>
      <c r="Q437" s="42"/>
      <c r="R437">
        <v>0.42088076418347725</v>
      </c>
      <c r="S437">
        <v>0.17194128238776818</v>
      </c>
    </row>
    <row r="438" spans="1:19" x14ac:dyDescent="0.25">
      <c r="A438" s="40">
        <f t="shared" si="78"/>
        <v>0</v>
      </c>
      <c r="B438" s="40">
        <f t="shared" si="79"/>
        <v>50</v>
      </c>
      <c r="C438" s="41">
        <f t="shared" si="72"/>
        <v>1.0313000000000001</v>
      </c>
      <c r="D438" s="41">
        <f t="shared" si="73"/>
        <v>0.88000000000000012</v>
      </c>
      <c r="E438" s="39">
        <f>IF(_xlfn.NORM.INV(R438,C438,'Regressão Grupo 2'!$B$7)&lt;=0,0,IF(_xlfn.NORM.INV(R438,C438,'Regressão Grupo 2'!$B$7)&gt;100%,100%,_xlfn.NORM.INV(R438,C438,'Regressão Grupo 2'!$B$7)))</f>
        <v>0.71438887776505455</v>
      </c>
      <c r="F438" s="39">
        <f>IF(_xlfn.NORM.INV(S438,D438,'Regressão Grupo 2'!$B$7)&lt;=0,0,IF(_xlfn.NORM.INV(S438,D438,'Regressão Grupo 2'!$B$7)&gt;100%,100%,_xlfn.NORM.INV(S438,D438,'Regressão Grupo 2'!$B$7)))</f>
        <v>0.95063823868883479</v>
      </c>
      <c r="G438" s="41">
        <v>1.8572801602089704E-2</v>
      </c>
      <c r="H438" s="41">
        <v>1.6179449546607744E-2</v>
      </c>
      <c r="I438" s="40">
        <f t="shared" si="74"/>
        <v>0</v>
      </c>
      <c r="J438" s="40">
        <f t="shared" si="75"/>
        <v>307.61606839884104</v>
      </c>
      <c r="K438" s="36">
        <v>0.24087429414045969</v>
      </c>
      <c r="L438" s="42">
        <f t="shared" si="82"/>
        <v>0</v>
      </c>
      <c r="M438" s="42">
        <f t="shared" si="82"/>
        <v>20000</v>
      </c>
      <c r="N438" s="42">
        <f t="shared" si="76"/>
        <v>4817.4858828091938</v>
      </c>
      <c r="O438" s="36">
        <v>4.2561734860198275</v>
      </c>
      <c r="P438" s="42">
        <f t="shared" si="77"/>
        <v>9254.0501829400491</v>
      </c>
      <c r="Q438" s="42"/>
      <c r="R438">
        <v>1.0956144901882993E-2</v>
      </c>
      <c r="S438">
        <v>0.69527268288216804</v>
      </c>
    </row>
    <row r="439" spans="1:19" x14ac:dyDescent="0.25">
      <c r="A439" s="40">
        <f t="shared" si="78"/>
        <v>0</v>
      </c>
      <c r="B439" s="40">
        <f t="shared" si="79"/>
        <v>50</v>
      </c>
      <c r="C439" s="41">
        <f t="shared" si="72"/>
        <v>1.0313000000000001</v>
      </c>
      <c r="D439" s="41">
        <f t="shared" si="73"/>
        <v>0.88000000000000012</v>
      </c>
      <c r="E439" s="39">
        <f>IF(_xlfn.NORM.INV(R439,C439,'Regressão Grupo 2'!$B$7)&lt;=0,0,IF(_xlfn.NORM.INV(R439,C439,'Regressão Grupo 2'!$B$7)&gt;100%,100%,_xlfn.NORM.INV(R439,C439,'Regressão Grupo 2'!$B$7)))</f>
        <v>0.85732195063362859</v>
      </c>
      <c r="F439" s="39">
        <f>IF(_xlfn.NORM.INV(S439,D439,'Regressão Grupo 2'!$B$7)&lt;=0,0,IF(_xlfn.NORM.INV(S439,D439,'Regressão Grupo 2'!$B$7)&gt;100%,100%,_xlfn.NORM.INV(S439,D439,'Regressão Grupo 2'!$B$7)))</f>
        <v>0.99369017479295718</v>
      </c>
      <c r="G439" s="41">
        <v>2.8444136407864112E-2</v>
      </c>
      <c r="H439" s="41">
        <v>1.9844222476170396E-2</v>
      </c>
      <c r="I439" s="40">
        <f t="shared" si="74"/>
        <v>0</v>
      </c>
      <c r="J439" s="40">
        <f t="shared" si="75"/>
        <v>394.38017801952185</v>
      </c>
      <c r="K439" s="36">
        <v>0.26470354092560555</v>
      </c>
      <c r="L439" s="42">
        <f t="shared" ref="L439:M454" si="83">L438</f>
        <v>0</v>
      </c>
      <c r="M439" s="42">
        <f t="shared" si="83"/>
        <v>20000</v>
      </c>
      <c r="N439" s="42">
        <f t="shared" si="76"/>
        <v>5294.0708185121111</v>
      </c>
      <c r="O439" s="36">
        <v>6.8435338012021241</v>
      </c>
      <c r="P439" s="42">
        <f t="shared" si="77"/>
        <v>11725.984003663274</v>
      </c>
      <c r="Q439" s="42"/>
      <c r="R439">
        <v>0.10415967284157841</v>
      </c>
      <c r="S439">
        <v>0.79451887569811086</v>
      </c>
    </row>
    <row r="440" spans="1:19" x14ac:dyDescent="0.25">
      <c r="A440" s="40">
        <f t="shared" si="78"/>
        <v>0</v>
      </c>
      <c r="B440" s="40">
        <f t="shared" si="79"/>
        <v>50</v>
      </c>
      <c r="C440" s="41">
        <f t="shared" si="72"/>
        <v>1.0313000000000001</v>
      </c>
      <c r="D440" s="41">
        <f t="shared" si="73"/>
        <v>0.88000000000000012</v>
      </c>
      <c r="E440" s="39">
        <f>IF(_xlfn.NORM.INV(R440,C440,'Regressão Grupo 2'!$B$7)&lt;=0,0,IF(_xlfn.NORM.INV(R440,C440,'Regressão Grupo 2'!$B$7)&gt;100%,100%,_xlfn.NORM.INV(R440,C440,'Regressão Grupo 2'!$B$7)))</f>
        <v>1</v>
      </c>
      <c r="F440" s="39">
        <f>IF(_xlfn.NORM.INV(S440,D440,'Regressão Grupo 2'!$B$7)&lt;=0,0,IF(_xlfn.NORM.INV(S440,D440,'Regressão Grupo 2'!$B$7)&gt;100%,100%,_xlfn.NORM.INV(S440,D440,'Regressão Grupo 2'!$B$7)))</f>
        <v>0.86134236725306657</v>
      </c>
      <c r="G440" s="41">
        <v>4.2580406757775262E-3</v>
      </c>
      <c r="H440" s="41">
        <v>1.9192849361017141E-2</v>
      </c>
      <c r="I440" s="40">
        <f t="shared" si="74"/>
        <v>0</v>
      </c>
      <c r="J440" s="40">
        <f t="shared" si="75"/>
        <v>330.63228605900019</v>
      </c>
      <c r="K440" s="36">
        <v>0.42154816899002062</v>
      </c>
      <c r="L440" s="42">
        <f t="shared" si="83"/>
        <v>0</v>
      </c>
      <c r="M440" s="42">
        <f t="shared" si="83"/>
        <v>20000</v>
      </c>
      <c r="N440" s="42">
        <f t="shared" si="76"/>
        <v>8430.9633798004124</v>
      </c>
      <c r="O440" s="36">
        <v>6.4935030154377227</v>
      </c>
      <c r="P440" s="42">
        <f t="shared" si="77"/>
        <v>5953.6891766244116</v>
      </c>
      <c r="Q440" s="42"/>
      <c r="R440">
        <v>0.56556901760917999</v>
      </c>
      <c r="S440">
        <v>0.44633320108645896</v>
      </c>
    </row>
    <row r="441" spans="1:19" x14ac:dyDescent="0.25">
      <c r="A441" s="40">
        <f t="shared" si="78"/>
        <v>0</v>
      </c>
      <c r="B441" s="40">
        <f t="shared" si="79"/>
        <v>50</v>
      </c>
      <c r="C441" s="41">
        <f t="shared" si="72"/>
        <v>1.0313000000000001</v>
      </c>
      <c r="D441" s="41">
        <f t="shared" si="73"/>
        <v>0.88000000000000012</v>
      </c>
      <c r="E441" s="39">
        <f>IF(_xlfn.NORM.INV(R441,C441,'Regressão Grupo 2'!$B$7)&lt;=0,0,IF(_xlfn.NORM.INV(R441,C441,'Regressão Grupo 2'!$B$7)&gt;100%,100%,_xlfn.NORM.INV(R441,C441,'Regressão Grupo 2'!$B$7)))</f>
        <v>1</v>
      </c>
      <c r="F441" s="39">
        <f>IF(_xlfn.NORM.INV(S441,D441,'Regressão Grupo 2'!$B$7)&lt;=0,0,IF(_xlfn.NORM.INV(S441,D441,'Regressão Grupo 2'!$B$7)&gt;100%,100%,_xlfn.NORM.INV(S441,D441,'Regressão Grupo 2'!$B$7)))</f>
        <v>0.85405443436424788</v>
      </c>
      <c r="G441" s="41">
        <v>1.8785413677238887E-2</v>
      </c>
      <c r="H441" s="41">
        <v>2.5350749623824956E-2</v>
      </c>
      <c r="I441" s="40">
        <f t="shared" si="74"/>
        <v>0</v>
      </c>
      <c r="J441" s="40">
        <f t="shared" si="75"/>
        <v>433.01840261370984</v>
      </c>
      <c r="K441" s="36">
        <v>0.1368659134353849</v>
      </c>
      <c r="L441" s="42">
        <f t="shared" si="83"/>
        <v>0</v>
      </c>
      <c r="M441" s="42">
        <f t="shared" si="83"/>
        <v>20000</v>
      </c>
      <c r="N441" s="42">
        <f t="shared" si="76"/>
        <v>2737.3182687076978</v>
      </c>
      <c r="O441" s="36">
        <v>8.4053297870912775</v>
      </c>
      <c r="P441" s="42">
        <f t="shared" si="77"/>
        <v>15273.939384130095</v>
      </c>
      <c r="Q441" s="42"/>
      <c r="R441">
        <v>0.56151005584887237</v>
      </c>
      <c r="S441">
        <v>0.42558061464278085</v>
      </c>
    </row>
    <row r="442" spans="1:19" x14ac:dyDescent="0.25">
      <c r="A442" s="40">
        <f t="shared" si="78"/>
        <v>0</v>
      </c>
      <c r="B442" s="40">
        <f t="shared" si="79"/>
        <v>50</v>
      </c>
      <c r="C442" s="41">
        <f t="shared" si="72"/>
        <v>1.0313000000000001</v>
      </c>
      <c r="D442" s="41">
        <f t="shared" si="73"/>
        <v>0.88000000000000012</v>
      </c>
      <c r="E442" s="39">
        <f>IF(_xlfn.NORM.INV(R442,C442,'Regressão Grupo 2'!$B$7)&lt;=0,0,IF(_xlfn.NORM.INV(R442,C442,'Regressão Grupo 2'!$B$7)&gt;100%,100%,_xlfn.NORM.INV(R442,C442,'Regressão Grupo 2'!$B$7)))</f>
        <v>0.94177556953952823</v>
      </c>
      <c r="F442" s="39">
        <f>IF(_xlfn.NORM.INV(S442,D442,'Regressão Grupo 2'!$B$7)&lt;=0,0,IF(_xlfn.NORM.INV(S442,D442,'Regressão Grupo 2'!$B$7)&gt;100%,100%,_xlfn.NORM.INV(S442,D442,'Regressão Grupo 2'!$B$7)))</f>
        <v>1</v>
      </c>
      <c r="G442" s="41">
        <v>2.3074843691445031E-2</v>
      </c>
      <c r="H442" s="41">
        <v>1.2773787467431989E-2</v>
      </c>
      <c r="I442" s="40">
        <f t="shared" si="74"/>
        <v>0</v>
      </c>
      <c r="J442" s="40">
        <f t="shared" si="75"/>
        <v>255.47574934863977</v>
      </c>
      <c r="K442" s="36">
        <v>0.17475348331156157</v>
      </c>
      <c r="L442" s="42">
        <f t="shared" si="83"/>
        <v>0</v>
      </c>
      <c r="M442" s="42">
        <f t="shared" si="83"/>
        <v>20000</v>
      </c>
      <c r="N442" s="42">
        <f t="shared" si="76"/>
        <v>3495.0696662312312</v>
      </c>
      <c r="O442" s="36">
        <v>3.4830229976604588</v>
      </c>
      <c r="P442" s="42">
        <f t="shared" si="77"/>
        <v>8388.8898908749052</v>
      </c>
      <c r="Q442" s="42"/>
      <c r="R442">
        <v>0.25867488631855218</v>
      </c>
      <c r="S442">
        <v>0.82079531235694447</v>
      </c>
    </row>
    <row r="443" spans="1:19" x14ac:dyDescent="0.25">
      <c r="A443" s="40">
        <f t="shared" si="78"/>
        <v>0</v>
      </c>
      <c r="B443" s="40">
        <f t="shared" si="79"/>
        <v>50</v>
      </c>
      <c r="C443" s="41">
        <f t="shared" si="72"/>
        <v>1.0313000000000001</v>
      </c>
      <c r="D443" s="41">
        <f t="shared" si="73"/>
        <v>0.88000000000000012</v>
      </c>
      <c r="E443" s="39">
        <f>IF(_xlfn.NORM.INV(R443,C443,'Regressão Grupo 2'!$B$7)&lt;=0,0,IF(_xlfn.NORM.INV(R443,C443,'Regressão Grupo 2'!$B$7)&gt;100%,100%,_xlfn.NORM.INV(R443,C443,'Regressão Grupo 2'!$B$7)))</f>
        <v>1</v>
      </c>
      <c r="F443" s="39">
        <f>IF(_xlfn.NORM.INV(S443,D443,'Regressão Grupo 2'!$B$7)&lt;=0,0,IF(_xlfn.NORM.INV(S443,D443,'Regressão Grupo 2'!$B$7)&gt;100%,100%,_xlfn.NORM.INV(S443,D443,'Regressão Grupo 2'!$B$7)))</f>
        <v>0.95753773857937574</v>
      </c>
      <c r="G443" s="41">
        <v>1.3654405168101976E-2</v>
      </c>
      <c r="H443" s="41">
        <v>1.4371030508214852E-3</v>
      </c>
      <c r="I443" s="40">
        <f t="shared" si="74"/>
        <v>0</v>
      </c>
      <c r="J443" s="40">
        <f t="shared" si="75"/>
        <v>27.52160810778253</v>
      </c>
      <c r="K443" s="36">
        <v>0.34369452888950985</v>
      </c>
      <c r="L443" s="42">
        <f t="shared" si="83"/>
        <v>0</v>
      </c>
      <c r="M443" s="42">
        <f t="shared" si="83"/>
        <v>20000</v>
      </c>
      <c r="N443" s="42">
        <f t="shared" si="76"/>
        <v>6873.8905777901973</v>
      </c>
      <c r="O443" s="36">
        <v>3.2074262842932724</v>
      </c>
      <c r="P443" s="42">
        <f t="shared" si="77"/>
        <v>-5586.0837016319911</v>
      </c>
      <c r="Q443" s="42"/>
      <c r="R443">
        <v>0.43797112949003569</v>
      </c>
      <c r="S443">
        <v>0.7125156407361064</v>
      </c>
    </row>
    <row r="444" spans="1:19" x14ac:dyDescent="0.25">
      <c r="A444" s="40">
        <f t="shared" si="78"/>
        <v>0</v>
      </c>
      <c r="B444" s="40">
        <f t="shared" si="79"/>
        <v>50</v>
      </c>
      <c r="C444" s="41">
        <f t="shared" si="72"/>
        <v>1.0313000000000001</v>
      </c>
      <c r="D444" s="41">
        <f t="shared" si="73"/>
        <v>0.88000000000000012</v>
      </c>
      <c r="E444" s="39">
        <f>IF(_xlfn.NORM.INV(R444,C444,'Regressão Grupo 2'!$B$7)&lt;=0,0,IF(_xlfn.NORM.INV(R444,C444,'Regressão Grupo 2'!$B$7)&gt;100%,100%,_xlfn.NORM.INV(R444,C444,'Regressão Grupo 2'!$B$7)))</f>
        <v>1</v>
      </c>
      <c r="F444" s="39">
        <f>IF(_xlfn.NORM.INV(S444,D444,'Regressão Grupo 2'!$B$7)&lt;=0,0,IF(_xlfn.NORM.INV(S444,D444,'Regressão Grupo 2'!$B$7)&gt;100%,100%,_xlfn.NORM.INV(S444,D444,'Regressão Grupo 2'!$B$7)))</f>
        <v>0.92589595932047553</v>
      </c>
      <c r="G444" s="41">
        <v>7.3436047154117057E-3</v>
      </c>
      <c r="H444" s="41">
        <v>1.8045038897757017E-2</v>
      </c>
      <c r="I444" s="40">
        <f t="shared" si="74"/>
        <v>0</v>
      </c>
      <c r="J444" s="40">
        <f t="shared" si="75"/>
        <v>334.15657202428059</v>
      </c>
      <c r="K444" s="36">
        <v>0.32208383320529471</v>
      </c>
      <c r="L444" s="42">
        <f t="shared" si="83"/>
        <v>0</v>
      </c>
      <c r="M444" s="42">
        <f t="shared" si="83"/>
        <v>20000</v>
      </c>
      <c r="N444" s="42">
        <f t="shared" si="76"/>
        <v>6441.6766641058939</v>
      </c>
      <c r="O444" s="36">
        <v>5.0924245414274276</v>
      </c>
      <c r="P444" s="42">
        <f t="shared" si="77"/>
        <v>8564.4848090524283</v>
      </c>
      <c r="Q444" s="42"/>
      <c r="R444">
        <v>0.90078432569353317</v>
      </c>
      <c r="S444">
        <v>0.63002410962248601</v>
      </c>
    </row>
    <row r="445" spans="1:19" x14ac:dyDescent="0.25">
      <c r="A445" s="40">
        <f t="shared" si="78"/>
        <v>0</v>
      </c>
      <c r="B445" s="40">
        <f t="shared" si="79"/>
        <v>50</v>
      </c>
      <c r="C445" s="41">
        <f t="shared" si="72"/>
        <v>1.0313000000000001</v>
      </c>
      <c r="D445" s="41">
        <f t="shared" si="73"/>
        <v>0.88000000000000012</v>
      </c>
      <c r="E445" s="39">
        <f>IF(_xlfn.NORM.INV(R445,C445,'Regressão Grupo 2'!$B$7)&lt;=0,0,IF(_xlfn.NORM.INV(R445,C445,'Regressão Grupo 2'!$B$7)&gt;100%,100%,_xlfn.NORM.INV(R445,C445,'Regressão Grupo 2'!$B$7)))</f>
        <v>0.82874072601758453</v>
      </c>
      <c r="F445" s="39">
        <f>IF(_xlfn.NORM.INV(S445,D445,'Regressão Grupo 2'!$B$7)&lt;=0,0,IF(_xlfn.NORM.INV(S445,D445,'Regressão Grupo 2'!$B$7)&gt;100%,100%,_xlfn.NORM.INV(S445,D445,'Regressão Grupo 2'!$B$7)))</f>
        <v>1</v>
      </c>
      <c r="G445" s="41">
        <v>2.2759856330363371E-2</v>
      </c>
      <c r="H445" s="41">
        <v>1.7547819334657922E-2</v>
      </c>
      <c r="I445" s="40">
        <f t="shared" si="74"/>
        <v>0</v>
      </c>
      <c r="J445" s="40">
        <f t="shared" si="75"/>
        <v>350.95638669315844</v>
      </c>
      <c r="K445" s="36">
        <v>0.21814705213952762</v>
      </c>
      <c r="L445" s="42">
        <f t="shared" si="83"/>
        <v>0</v>
      </c>
      <c r="M445" s="42">
        <f t="shared" si="83"/>
        <v>20000</v>
      </c>
      <c r="N445" s="42">
        <f t="shared" si="76"/>
        <v>4362.9410427905523</v>
      </c>
      <c r="O445" s="36">
        <v>8.8259451025618301</v>
      </c>
      <c r="P445" s="42">
        <f t="shared" si="77"/>
        <v>10087.356489520091</v>
      </c>
      <c r="Q445" s="42"/>
      <c r="R445">
        <v>7.1474349192785419E-2</v>
      </c>
      <c r="S445">
        <v>0.825678273873104</v>
      </c>
    </row>
    <row r="446" spans="1:19" x14ac:dyDescent="0.25">
      <c r="A446" s="40">
        <f t="shared" si="78"/>
        <v>0</v>
      </c>
      <c r="B446" s="40">
        <f t="shared" si="79"/>
        <v>50</v>
      </c>
      <c r="C446" s="41">
        <f t="shared" si="72"/>
        <v>1.0313000000000001</v>
      </c>
      <c r="D446" s="41">
        <f t="shared" si="73"/>
        <v>0.88000000000000012</v>
      </c>
      <c r="E446" s="39">
        <f>IF(_xlfn.NORM.INV(R446,C446,'Regressão Grupo 2'!$B$7)&lt;=0,0,IF(_xlfn.NORM.INV(R446,C446,'Regressão Grupo 2'!$B$7)&gt;100%,100%,_xlfn.NORM.INV(R446,C446,'Regressão Grupo 2'!$B$7)))</f>
        <v>1</v>
      </c>
      <c r="F446" s="39">
        <f>IF(_xlfn.NORM.INV(S446,D446,'Regressão Grupo 2'!$B$7)&lt;=0,0,IF(_xlfn.NORM.INV(S446,D446,'Regressão Grupo 2'!$B$7)&gt;100%,100%,_xlfn.NORM.INV(S446,D446,'Regressão Grupo 2'!$B$7)))</f>
        <v>0.7735274754792959</v>
      </c>
      <c r="G446" s="41">
        <v>2.2501254186591674E-2</v>
      </c>
      <c r="H446" s="41">
        <v>1.7154798435860447E-2</v>
      </c>
      <c r="I446" s="40">
        <f t="shared" si="74"/>
        <v>0</v>
      </c>
      <c r="J446" s="40">
        <f t="shared" si="75"/>
        <v>265.39415852894615</v>
      </c>
      <c r="K446" s="36">
        <v>0.3654328588851109</v>
      </c>
      <c r="L446" s="42">
        <f t="shared" si="83"/>
        <v>0</v>
      </c>
      <c r="M446" s="42">
        <f t="shared" si="83"/>
        <v>20000</v>
      </c>
      <c r="N446" s="42">
        <f t="shared" si="76"/>
        <v>7308.6571777022182</v>
      </c>
      <c r="O446" s="36">
        <v>3.2187755288604811</v>
      </c>
      <c r="P446" s="42">
        <f t="shared" si="77"/>
        <v>5106.806525769598</v>
      </c>
      <c r="Q446" s="42"/>
      <c r="R446">
        <v>0.92852565080721461</v>
      </c>
      <c r="S446">
        <v>0.2206488235114597</v>
      </c>
    </row>
    <row r="447" spans="1:19" x14ac:dyDescent="0.25">
      <c r="A447" s="40">
        <f t="shared" si="78"/>
        <v>0</v>
      </c>
      <c r="B447" s="40">
        <f t="shared" si="79"/>
        <v>50</v>
      </c>
      <c r="C447" s="41">
        <f t="shared" si="72"/>
        <v>1.0313000000000001</v>
      </c>
      <c r="D447" s="41">
        <f t="shared" si="73"/>
        <v>0.88000000000000012</v>
      </c>
      <c r="E447" s="39">
        <f>IF(_xlfn.NORM.INV(R447,C447,'Regressão Grupo 2'!$B$7)&lt;=0,0,IF(_xlfn.NORM.INV(R447,C447,'Regressão Grupo 2'!$B$7)&gt;100%,100%,_xlfn.NORM.INV(R447,C447,'Regressão Grupo 2'!$B$7)))</f>
        <v>1</v>
      </c>
      <c r="F447" s="39">
        <f>IF(_xlfn.NORM.INV(S447,D447,'Regressão Grupo 2'!$B$7)&lt;=0,0,IF(_xlfn.NORM.INV(S447,D447,'Regressão Grupo 2'!$B$7)&gt;100%,100%,_xlfn.NORM.INV(S447,D447,'Regressão Grupo 2'!$B$7)))</f>
        <v>0.76659139306891211</v>
      </c>
      <c r="G447" s="41">
        <v>2.2766158187444267E-2</v>
      </c>
      <c r="H447" s="41">
        <v>2.0079127384868636E-2</v>
      </c>
      <c r="I447" s="40">
        <f t="shared" si="74"/>
        <v>0</v>
      </c>
      <c r="J447" s="40">
        <f t="shared" si="75"/>
        <v>307.8497246714918</v>
      </c>
      <c r="K447" s="36">
        <v>0.24378930259462772</v>
      </c>
      <c r="L447" s="42">
        <f t="shared" si="83"/>
        <v>0</v>
      </c>
      <c r="M447" s="42">
        <f t="shared" si="83"/>
        <v>20000</v>
      </c>
      <c r="N447" s="42">
        <f t="shared" si="76"/>
        <v>4875.7860518925545</v>
      </c>
      <c r="O447" s="36">
        <v>8.3767243326741756</v>
      </c>
      <c r="P447" s="42">
        <f t="shared" si="77"/>
        <v>7937.927902219305</v>
      </c>
      <c r="Q447" s="42"/>
      <c r="R447">
        <v>0.95190282906582846</v>
      </c>
      <c r="S447">
        <v>0.20606097598193304</v>
      </c>
    </row>
    <row r="448" spans="1:19" x14ac:dyDescent="0.25">
      <c r="A448" s="40">
        <f t="shared" si="78"/>
        <v>0</v>
      </c>
      <c r="B448" s="40">
        <f t="shared" si="79"/>
        <v>50</v>
      </c>
      <c r="C448" s="41">
        <f t="shared" si="72"/>
        <v>1.0313000000000001</v>
      </c>
      <c r="D448" s="41">
        <f t="shared" si="73"/>
        <v>0.88000000000000012</v>
      </c>
      <c r="E448" s="39">
        <f>IF(_xlfn.NORM.INV(R448,C448,'Regressão Grupo 2'!$B$7)&lt;=0,0,IF(_xlfn.NORM.INV(R448,C448,'Regressão Grupo 2'!$B$7)&gt;100%,100%,_xlfn.NORM.INV(R448,C448,'Regressão Grupo 2'!$B$7)))</f>
        <v>1</v>
      </c>
      <c r="F448" s="39">
        <f>IF(_xlfn.NORM.INV(S448,D448,'Regressão Grupo 2'!$B$7)&lt;=0,0,IF(_xlfn.NORM.INV(S448,D448,'Regressão Grupo 2'!$B$7)&gt;100%,100%,_xlfn.NORM.INV(S448,D448,'Regressão Grupo 2'!$B$7)))</f>
        <v>0.86392251845146484</v>
      </c>
      <c r="G448" s="41">
        <v>2.3108850719648917E-2</v>
      </c>
      <c r="H448" s="41">
        <v>2.2297594657298397E-2</v>
      </c>
      <c r="I448" s="40">
        <f t="shared" si="74"/>
        <v>0</v>
      </c>
      <c r="J448" s="40">
        <f t="shared" si="75"/>
        <v>385.26788263486316</v>
      </c>
      <c r="K448" s="36">
        <v>0.29193341586787064</v>
      </c>
      <c r="L448" s="42">
        <f t="shared" si="83"/>
        <v>0</v>
      </c>
      <c r="M448" s="42">
        <f t="shared" si="83"/>
        <v>20000</v>
      </c>
      <c r="N448" s="42">
        <f t="shared" si="76"/>
        <v>5838.6683173574129</v>
      </c>
      <c r="O448" s="36">
        <v>5.7254340806914987</v>
      </c>
      <c r="P448" s="42">
        <f t="shared" si="77"/>
        <v>11218.899948952247</v>
      </c>
      <c r="Q448" s="42"/>
      <c r="R448">
        <v>0.78682821131015956</v>
      </c>
      <c r="S448">
        <v>0.45371868037965024</v>
      </c>
    </row>
    <row r="449" spans="1:19" x14ac:dyDescent="0.25">
      <c r="A449" s="40">
        <f t="shared" si="78"/>
        <v>0</v>
      </c>
      <c r="B449" s="40">
        <f t="shared" si="79"/>
        <v>50</v>
      </c>
      <c r="C449" s="41">
        <f t="shared" si="72"/>
        <v>1.0313000000000001</v>
      </c>
      <c r="D449" s="41">
        <f t="shared" si="73"/>
        <v>0.88000000000000012</v>
      </c>
      <c r="E449" s="39">
        <f>IF(_xlfn.NORM.INV(R449,C449,'Regressão Grupo 2'!$B$7)&lt;=0,0,IF(_xlfn.NORM.INV(R449,C449,'Regressão Grupo 2'!$B$7)&gt;100%,100%,_xlfn.NORM.INV(R449,C449,'Regressão Grupo 2'!$B$7)))</f>
        <v>0.99935321694957358</v>
      </c>
      <c r="F449" s="39">
        <f>IF(_xlfn.NORM.INV(S449,D449,'Regressão Grupo 2'!$B$7)&lt;=0,0,IF(_xlfn.NORM.INV(S449,D449,'Regressão Grupo 2'!$B$7)&gt;100%,100%,_xlfn.NORM.INV(S449,D449,'Regressão Grupo 2'!$B$7)))</f>
        <v>0.92501391371075237</v>
      </c>
      <c r="G449" s="41">
        <v>2.1757305215112096E-2</v>
      </c>
      <c r="H449" s="41">
        <v>1.1153793641556185E-2</v>
      </c>
      <c r="I449" s="40">
        <f t="shared" si="74"/>
        <v>0</v>
      </c>
      <c r="J449" s="40">
        <f t="shared" si="75"/>
        <v>206.34828618195985</v>
      </c>
      <c r="K449" s="36">
        <v>0.47091835242550772</v>
      </c>
      <c r="L449" s="42">
        <f t="shared" si="83"/>
        <v>0</v>
      </c>
      <c r="M449" s="42">
        <f t="shared" si="83"/>
        <v>20000</v>
      </c>
      <c r="N449" s="42">
        <f t="shared" si="76"/>
        <v>9418.3670485101538</v>
      </c>
      <c r="O449" s="36">
        <v>3.6176024194922873</v>
      </c>
      <c r="P449" s="42">
        <f t="shared" si="77"/>
        <v>152.56120123789333</v>
      </c>
      <c r="Q449" s="42"/>
      <c r="R449">
        <v>0.40864284188360239</v>
      </c>
      <c r="S449">
        <v>0.6276131473738823</v>
      </c>
    </row>
    <row r="450" spans="1:19" x14ac:dyDescent="0.25">
      <c r="A450" s="40">
        <f t="shared" si="78"/>
        <v>0</v>
      </c>
      <c r="B450" s="40">
        <f t="shared" si="79"/>
        <v>50</v>
      </c>
      <c r="C450" s="41">
        <f t="shared" si="72"/>
        <v>1.0313000000000001</v>
      </c>
      <c r="D450" s="41">
        <f t="shared" si="73"/>
        <v>0.88000000000000012</v>
      </c>
      <c r="E450" s="39">
        <f>IF(_xlfn.NORM.INV(R450,C450,'Regressão Grupo 2'!$B$7)&lt;=0,0,IF(_xlfn.NORM.INV(R450,C450,'Regressão Grupo 2'!$B$7)&gt;100%,100%,_xlfn.NORM.INV(R450,C450,'Regressão Grupo 2'!$B$7)))</f>
        <v>0.9844753176815102</v>
      </c>
      <c r="F450" s="39">
        <f>IF(_xlfn.NORM.INV(S450,D450,'Regressão Grupo 2'!$B$7)&lt;=0,0,IF(_xlfn.NORM.INV(S450,D450,'Regressão Grupo 2'!$B$7)&gt;100%,100%,_xlfn.NORM.INV(S450,D450,'Regressão Grupo 2'!$B$7)))</f>
        <v>0.88482977641489935</v>
      </c>
      <c r="G450" s="41">
        <v>1.8969720906731782E-2</v>
      </c>
      <c r="H450" s="41">
        <v>1.9646430093136779E-2</v>
      </c>
      <c r="I450" s="40">
        <f t="shared" si="74"/>
        <v>0</v>
      </c>
      <c r="J450" s="40">
        <f t="shared" si="75"/>
        <v>347.67492693322333</v>
      </c>
      <c r="K450" s="36">
        <v>0.22403450984039747</v>
      </c>
      <c r="L450" s="42">
        <f t="shared" si="83"/>
        <v>0</v>
      </c>
      <c r="M450" s="42">
        <f t="shared" si="83"/>
        <v>20000</v>
      </c>
      <c r="N450" s="42">
        <f t="shared" si="76"/>
        <v>4480.6901968079492</v>
      </c>
      <c r="O450" s="36">
        <v>8.913807659500268</v>
      </c>
      <c r="P450" s="42">
        <f t="shared" si="77"/>
        <v>9803.9487231396542</v>
      </c>
      <c r="Q450" s="42"/>
      <c r="R450">
        <v>0.36744285409100619</v>
      </c>
      <c r="S450">
        <v>0.51393169957579277</v>
      </c>
    </row>
    <row r="451" spans="1:19" x14ac:dyDescent="0.25">
      <c r="A451" s="40">
        <f t="shared" si="78"/>
        <v>0</v>
      </c>
      <c r="B451" s="40">
        <f t="shared" si="79"/>
        <v>50</v>
      </c>
      <c r="C451" s="41">
        <f t="shared" si="72"/>
        <v>1.0313000000000001</v>
      </c>
      <c r="D451" s="41">
        <f t="shared" si="73"/>
        <v>0.88000000000000012</v>
      </c>
      <c r="E451" s="39">
        <f>IF(_xlfn.NORM.INV(R451,C451,'Regressão Grupo 2'!$B$7)&lt;=0,0,IF(_xlfn.NORM.INV(R451,C451,'Regressão Grupo 2'!$B$7)&gt;100%,100%,_xlfn.NORM.INV(R451,C451,'Regressão Grupo 2'!$B$7)))</f>
        <v>1</v>
      </c>
      <c r="F451" s="39">
        <f>IF(_xlfn.NORM.INV(S451,D451,'Regressão Grupo 2'!$B$7)&lt;=0,0,IF(_xlfn.NORM.INV(S451,D451,'Regressão Grupo 2'!$B$7)&gt;100%,100%,_xlfn.NORM.INV(S451,D451,'Regressão Grupo 2'!$B$7)))</f>
        <v>0.96467425956599673</v>
      </c>
      <c r="G451" s="41">
        <v>5.8845194129827838E-3</v>
      </c>
      <c r="H451" s="41">
        <v>2.9111029706483667E-2</v>
      </c>
      <c r="I451" s="40">
        <f t="shared" si="74"/>
        <v>0</v>
      </c>
      <c r="J451" s="40">
        <f t="shared" si="75"/>
        <v>561.65322054611738</v>
      </c>
      <c r="K451" s="36">
        <v>0.37518828267059678</v>
      </c>
      <c r="L451" s="42">
        <f t="shared" si="83"/>
        <v>0</v>
      </c>
      <c r="M451" s="42">
        <f t="shared" si="83"/>
        <v>20000</v>
      </c>
      <c r="N451" s="42">
        <f t="shared" si="76"/>
        <v>7503.765653411936</v>
      </c>
      <c r="O451" s="36">
        <v>9.8462297895554691</v>
      </c>
      <c r="P451" s="42">
        <f t="shared" si="77"/>
        <v>15048.728702352984</v>
      </c>
      <c r="Q451" s="42"/>
      <c r="R451">
        <v>0.80816064943388166</v>
      </c>
      <c r="S451">
        <v>0.72985015411847287</v>
      </c>
    </row>
    <row r="452" spans="1:19" x14ac:dyDescent="0.25">
      <c r="A452" s="40">
        <f t="shared" si="78"/>
        <v>0</v>
      </c>
      <c r="B452" s="40">
        <f t="shared" si="79"/>
        <v>50</v>
      </c>
      <c r="C452" s="41">
        <f t="shared" si="72"/>
        <v>1.0313000000000001</v>
      </c>
      <c r="D452" s="41">
        <f t="shared" si="73"/>
        <v>0.88000000000000012</v>
      </c>
      <c r="E452" s="39">
        <f>IF(_xlfn.NORM.INV(R452,C452,'Regressão Grupo 2'!$B$7)&lt;=0,0,IF(_xlfn.NORM.INV(R452,C452,'Regressão Grupo 2'!$B$7)&gt;100%,100%,_xlfn.NORM.INV(R452,C452,'Regressão Grupo 2'!$B$7)))</f>
        <v>0.78147253867855293</v>
      </c>
      <c r="F452" s="39">
        <f>IF(_xlfn.NORM.INV(S452,D452,'Regressão Grupo 2'!$B$7)&lt;=0,0,IF(_xlfn.NORM.INV(S452,D452,'Regressão Grupo 2'!$B$7)&gt;100%,100%,_xlfn.NORM.INV(S452,D452,'Regressão Grupo 2'!$B$7)))</f>
        <v>1</v>
      </c>
      <c r="G452" s="41">
        <v>1.7914506057458431E-2</v>
      </c>
      <c r="H452" s="41">
        <v>2.0882932256783969E-2</v>
      </c>
      <c r="I452" s="40">
        <f t="shared" si="74"/>
        <v>0</v>
      </c>
      <c r="J452" s="40">
        <f t="shared" si="75"/>
        <v>417.65864513567936</v>
      </c>
      <c r="K452" s="36">
        <v>0.26119504894197515</v>
      </c>
      <c r="L452" s="42">
        <f t="shared" si="83"/>
        <v>0</v>
      </c>
      <c r="M452" s="42">
        <f t="shared" si="83"/>
        <v>20000</v>
      </c>
      <c r="N452" s="42">
        <f t="shared" si="76"/>
        <v>5223.9009788395033</v>
      </c>
      <c r="O452" s="36">
        <v>8.1766809654072468</v>
      </c>
      <c r="P452" s="42">
        <f t="shared" si="77"/>
        <v>12243.969784225776</v>
      </c>
      <c r="Q452" s="42"/>
      <c r="R452">
        <v>3.5401470992156743E-2</v>
      </c>
      <c r="S452">
        <v>0.95507675405133208</v>
      </c>
    </row>
    <row r="453" spans="1:19" x14ac:dyDescent="0.25">
      <c r="A453" s="40">
        <f t="shared" si="78"/>
        <v>0</v>
      </c>
      <c r="B453" s="40">
        <f t="shared" si="79"/>
        <v>50</v>
      </c>
      <c r="C453" s="41">
        <f t="shared" si="72"/>
        <v>1.0313000000000001</v>
      </c>
      <c r="D453" s="41">
        <f t="shared" si="73"/>
        <v>0.88000000000000012</v>
      </c>
      <c r="E453" s="39">
        <f>IF(_xlfn.NORM.INV(R453,C453,'Regressão Grupo 2'!$B$7)&lt;=0,0,IF(_xlfn.NORM.INV(R453,C453,'Regressão Grupo 2'!$B$7)&gt;100%,100%,_xlfn.NORM.INV(R453,C453,'Regressão Grupo 2'!$B$7)))</f>
        <v>0.79264120466115373</v>
      </c>
      <c r="F453" s="39">
        <f>IF(_xlfn.NORM.INV(S453,D453,'Regressão Grupo 2'!$B$7)&lt;=0,0,IF(_xlfn.NORM.INV(S453,D453,'Regressão Grupo 2'!$B$7)&gt;100%,100%,_xlfn.NORM.INV(S453,D453,'Regressão Grupo 2'!$B$7)))</f>
        <v>0.94382796481698239</v>
      </c>
      <c r="G453" s="41">
        <v>1.9145483529178366E-2</v>
      </c>
      <c r="H453" s="41">
        <v>1.1764613621013375E-2</v>
      </c>
      <c r="I453" s="40">
        <f t="shared" si="74"/>
        <v>0</v>
      </c>
      <c r="J453" s="40">
        <f t="shared" si="75"/>
        <v>222.07542661558406</v>
      </c>
      <c r="K453" s="36">
        <v>0.2809581775083434</v>
      </c>
      <c r="L453" s="42">
        <f t="shared" si="83"/>
        <v>0</v>
      </c>
      <c r="M453" s="42">
        <f t="shared" si="83"/>
        <v>20000</v>
      </c>
      <c r="N453" s="42">
        <f t="shared" si="76"/>
        <v>5619.1635501668679</v>
      </c>
      <c r="O453" s="36">
        <v>5.7665582264656674</v>
      </c>
      <c r="P453" s="42">
        <f t="shared" si="77"/>
        <v>4203.9969023663671</v>
      </c>
      <c r="Q453" s="42"/>
      <c r="R453">
        <v>4.2176580095828121E-2</v>
      </c>
      <c r="S453">
        <v>0.67781609546189769</v>
      </c>
    </row>
    <row r="454" spans="1:19" x14ac:dyDescent="0.25">
      <c r="A454" s="40">
        <f t="shared" si="78"/>
        <v>0</v>
      </c>
      <c r="B454" s="40">
        <f t="shared" si="79"/>
        <v>50</v>
      </c>
      <c r="C454" s="41">
        <f t="shared" ref="C454:C517" si="84">-0.0071*A454 + 1.0313</f>
        <v>1.0313000000000001</v>
      </c>
      <c r="D454" s="41">
        <f t="shared" ref="D454:D517" si="85">-0.0059*B454+1.175</f>
        <v>0.88000000000000012</v>
      </c>
      <c r="E454" s="39">
        <f>IF(_xlfn.NORM.INV(R454,C454,'Regressão Grupo 2'!$B$7)&lt;=0,0,IF(_xlfn.NORM.INV(R454,C454,'Regressão Grupo 2'!$B$7)&gt;100%,100%,_xlfn.NORM.INV(R454,C454,'Regressão Grupo 2'!$B$7)))</f>
        <v>0.94851896787238954</v>
      </c>
      <c r="F454" s="39">
        <f>IF(_xlfn.NORM.INV(S454,D454,'Regressão Grupo 2'!$B$7)&lt;=0,0,IF(_xlfn.NORM.INV(S454,D454,'Regressão Grupo 2'!$B$7)&gt;100%,100%,_xlfn.NORM.INV(S454,D454,'Regressão Grupo 2'!$B$7)))</f>
        <v>1</v>
      </c>
      <c r="G454" s="41">
        <v>2.2379247472630766E-2</v>
      </c>
      <c r="H454" s="41">
        <v>1.350201533427531E-2</v>
      </c>
      <c r="I454" s="40">
        <f t="shared" ref="I454:I517" si="86">IF(E454*G454*L454&gt;0,E454*G454*L454,0)</f>
        <v>0</v>
      </c>
      <c r="J454" s="40">
        <f t="shared" ref="J454:J517" si="87">IF(F454*H454*M454&gt;0,F454*H454*M454,0)</f>
        <v>270.04030668550621</v>
      </c>
      <c r="K454" s="36">
        <v>0.35325766528521363</v>
      </c>
      <c r="L454" s="42">
        <f t="shared" si="83"/>
        <v>0</v>
      </c>
      <c r="M454" s="42">
        <f t="shared" si="83"/>
        <v>20000</v>
      </c>
      <c r="N454" s="42">
        <f t="shared" ref="N454:N517" si="88">(L454+M454)*K454</f>
        <v>7065.1533057042725</v>
      </c>
      <c r="O454" s="36">
        <v>6.6939860897253451</v>
      </c>
      <c r="P454" s="42">
        <f t="shared" ref="P454:P517" si="89">SUMPRODUCT(A454:B454,I454:J454)-SUM(I454:J454)*O454-N454</f>
        <v>4629.2159719530937</v>
      </c>
      <c r="Q454" s="42"/>
      <c r="R454">
        <v>0.27469710379345075</v>
      </c>
      <c r="S454">
        <v>0.88821069978942224</v>
      </c>
    </row>
    <row r="455" spans="1:19" x14ac:dyDescent="0.25">
      <c r="A455" s="40">
        <f t="shared" ref="A455:A518" si="90">A454</f>
        <v>0</v>
      </c>
      <c r="B455" s="40">
        <f t="shared" ref="B455:B518" si="91">B454</f>
        <v>50</v>
      </c>
      <c r="C455" s="41">
        <f t="shared" si="84"/>
        <v>1.0313000000000001</v>
      </c>
      <c r="D455" s="41">
        <f t="shared" si="85"/>
        <v>0.88000000000000012</v>
      </c>
      <c r="E455" s="39">
        <f>IF(_xlfn.NORM.INV(R455,C455,'Regressão Grupo 2'!$B$7)&lt;=0,0,IF(_xlfn.NORM.INV(R455,C455,'Regressão Grupo 2'!$B$7)&gt;100%,100%,_xlfn.NORM.INV(R455,C455,'Regressão Grupo 2'!$B$7)))</f>
        <v>1</v>
      </c>
      <c r="F455" s="39">
        <f>IF(_xlfn.NORM.INV(S455,D455,'Regressão Grupo 2'!$B$7)&lt;=0,0,IF(_xlfn.NORM.INV(S455,D455,'Regressão Grupo 2'!$B$7)&gt;100%,100%,_xlfn.NORM.INV(S455,D455,'Regressão Grupo 2'!$B$7)))</f>
        <v>0.70658076116273527</v>
      </c>
      <c r="G455" s="41">
        <v>5.1322865673938236E-3</v>
      </c>
      <c r="H455" s="41">
        <v>2.5839615948963616E-2</v>
      </c>
      <c r="I455" s="40">
        <f t="shared" si="86"/>
        <v>0</v>
      </c>
      <c r="J455" s="40">
        <f t="shared" si="87"/>
        <v>365.15551010742934</v>
      </c>
      <c r="K455" s="36">
        <v>0.38671668745142762</v>
      </c>
      <c r="L455" s="42">
        <f t="shared" ref="L455:M470" si="92">L454</f>
        <v>0</v>
      </c>
      <c r="M455" s="42">
        <f t="shared" si="92"/>
        <v>20000</v>
      </c>
      <c r="N455" s="42">
        <f t="shared" si="88"/>
        <v>7734.3337490285521</v>
      </c>
      <c r="O455" s="36">
        <v>5.2568158761582255</v>
      </c>
      <c r="P455" s="42">
        <f t="shared" si="89"/>
        <v>8603.8864735435254</v>
      </c>
      <c r="Q455" s="42"/>
      <c r="R455">
        <v>0.58854945524460589</v>
      </c>
      <c r="S455">
        <v>0.10489211706900235</v>
      </c>
    </row>
    <row r="456" spans="1:19" x14ac:dyDescent="0.25">
      <c r="A456" s="40">
        <f t="shared" si="90"/>
        <v>0</v>
      </c>
      <c r="B456" s="40">
        <f t="shared" si="91"/>
        <v>50</v>
      </c>
      <c r="C456" s="41">
        <f t="shared" si="84"/>
        <v>1.0313000000000001</v>
      </c>
      <c r="D456" s="41">
        <f t="shared" si="85"/>
        <v>0.88000000000000012</v>
      </c>
      <c r="E456" s="39">
        <f>IF(_xlfn.NORM.INV(R456,C456,'Regressão Grupo 2'!$B$7)&lt;=0,0,IF(_xlfn.NORM.INV(R456,C456,'Regressão Grupo 2'!$B$7)&gt;100%,100%,_xlfn.NORM.INV(R456,C456,'Regressão Grupo 2'!$B$7)))</f>
        <v>1</v>
      </c>
      <c r="F456" s="39">
        <f>IF(_xlfn.NORM.INV(S456,D456,'Regressão Grupo 2'!$B$7)&lt;=0,0,IF(_xlfn.NORM.INV(S456,D456,'Regressão Grupo 2'!$B$7)&gt;100%,100%,_xlfn.NORM.INV(S456,D456,'Regressão Grupo 2'!$B$7)))</f>
        <v>0.96002613975268236</v>
      </c>
      <c r="G456" s="41">
        <v>2.203633751304904E-2</v>
      </c>
      <c r="H456" s="41">
        <v>1.5466846002095351E-2</v>
      </c>
      <c r="I456" s="40">
        <f t="shared" si="86"/>
        <v>0</v>
      </c>
      <c r="J456" s="40">
        <f t="shared" si="87"/>
        <v>296.97152923081615</v>
      </c>
      <c r="K456" s="36">
        <v>0.41654797741122318</v>
      </c>
      <c r="L456" s="42">
        <f t="shared" si="92"/>
        <v>0</v>
      </c>
      <c r="M456" s="42">
        <f t="shared" si="92"/>
        <v>20000</v>
      </c>
      <c r="N456" s="42">
        <f t="shared" si="88"/>
        <v>8330.959548224464</v>
      </c>
      <c r="O456" s="36">
        <v>5.585972575511855</v>
      </c>
      <c r="P456" s="42">
        <f t="shared" si="89"/>
        <v>4858.7420953251876</v>
      </c>
      <c r="Q456" s="42"/>
      <c r="R456">
        <v>0.48426770836512345</v>
      </c>
      <c r="S456">
        <v>0.71861934263130589</v>
      </c>
    </row>
    <row r="457" spans="1:19" x14ac:dyDescent="0.25">
      <c r="A457" s="40">
        <f t="shared" si="90"/>
        <v>0</v>
      </c>
      <c r="B457" s="40">
        <f t="shared" si="91"/>
        <v>50</v>
      </c>
      <c r="C457" s="41">
        <f t="shared" si="84"/>
        <v>1.0313000000000001</v>
      </c>
      <c r="D457" s="41">
        <f t="shared" si="85"/>
        <v>0.88000000000000012</v>
      </c>
      <c r="E457" s="39">
        <f>IF(_xlfn.NORM.INV(R457,C457,'Regressão Grupo 2'!$B$7)&lt;=0,0,IF(_xlfn.NORM.INV(R457,C457,'Regressão Grupo 2'!$B$7)&gt;100%,100%,_xlfn.NORM.INV(R457,C457,'Regressão Grupo 2'!$B$7)))</f>
        <v>1</v>
      </c>
      <c r="F457" s="39">
        <f>IF(_xlfn.NORM.INV(S457,D457,'Regressão Grupo 2'!$B$7)&lt;=0,0,IF(_xlfn.NORM.INV(S457,D457,'Regressão Grupo 2'!$B$7)&gt;100%,100%,_xlfn.NORM.INV(S457,D457,'Regressão Grupo 2'!$B$7)))</f>
        <v>1</v>
      </c>
      <c r="G457" s="41">
        <v>1.2283235287544603E-2</v>
      </c>
      <c r="H457" s="41">
        <v>1.4014722405908904E-2</v>
      </c>
      <c r="I457" s="40">
        <f t="shared" si="86"/>
        <v>0</v>
      </c>
      <c r="J457" s="40">
        <f t="shared" si="87"/>
        <v>280.29444811817808</v>
      </c>
      <c r="K457" s="36">
        <v>0.47562336853792164</v>
      </c>
      <c r="L457" s="42">
        <f t="shared" si="92"/>
        <v>0</v>
      </c>
      <c r="M457" s="42">
        <f t="shared" si="92"/>
        <v>20000</v>
      </c>
      <c r="N457" s="42">
        <f t="shared" si="88"/>
        <v>9512.4673707584334</v>
      </c>
      <c r="O457" s="36">
        <v>4.9436135387985605</v>
      </c>
      <c r="P457" s="42">
        <f t="shared" si="89"/>
        <v>3116.5876065833745</v>
      </c>
      <c r="Q457" s="42"/>
      <c r="R457">
        <v>0.92529068880275889</v>
      </c>
      <c r="S457">
        <v>0.99557481612598042</v>
      </c>
    </row>
    <row r="458" spans="1:19" x14ac:dyDescent="0.25">
      <c r="A458" s="40">
        <f t="shared" si="90"/>
        <v>0</v>
      </c>
      <c r="B458" s="40">
        <f t="shared" si="91"/>
        <v>50</v>
      </c>
      <c r="C458" s="41">
        <f t="shared" si="84"/>
        <v>1.0313000000000001</v>
      </c>
      <c r="D458" s="41">
        <f t="shared" si="85"/>
        <v>0.88000000000000012</v>
      </c>
      <c r="E458" s="39">
        <f>IF(_xlfn.NORM.INV(R458,C458,'Regressão Grupo 2'!$B$7)&lt;=0,0,IF(_xlfn.NORM.INV(R458,C458,'Regressão Grupo 2'!$B$7)&gt;100%,100%,_xlfn.NORM.INV(R458,C458,'Regressão Grupo 2'!$B$7)))</f>
        <v>1</v>
      </c>
      <c r="F458" s="39">
        <f>IF(_xlfn.NORM.INV(S458,D458,'Regressão Grupo 2'!$B$7)&lt;=0,0,IF(_xlfn.NORM.INV(S458,D458,'Regressão Grupo 2'!$B$7)&gt;100%,100%,_xlfn.NORM.INV(S458,D458,'Regressão Grupo 2'!$B$7)))</f>
        <v>0.82212726244518441</v>
      </c>
      <c r="G458" s="41">
        <v>2.5125753974532296E-2</v>
      </c>
      <c r="H458" s="41">
        <v>1.550314345325063E-2</v>
      </c>
      <c r="I458" s="40">
        <f t="shared" si="86"/>
        <v>0</v>
      </c>
      <c r="J458" s="40">
        <f t="shared" si="87"/>
        <v>254.91113773031847</v>
      </c>
      <c r="K458" s="36">
        <v>0.34337395714500402</v>
      </c>
      <c r="L458" s="42">
        <f t="shared" si="92"/>
        <v>0</v>
      </c>
      <c r="M458" s="42">
        <f t="shared" si="92"/>
        <v>20000</v>
      </c>
      <c r="N458" s="42">
        <f t="shared" si="88"/>
        <v>6867.4791429000807</v>
      </c>
      <c r="O458" s="36">
        <v>5.7447836768542189</v>
      </c>
      <c r="P458" s="42">
        <f t="shared" si="89"/>
        <v>4413.6684005343714</v>
      </c>
      <c r="Q458" s="42"/>
      <c r="R458">
        <v>0.95559556871242413</v>
      </c>
      <c r="S458">
        <v>0.33777886288033693</v>
      </c>
    </row>
    <row r="459" spans="1:19" x14ac:dyDescent="0.25">
      <c r="A459" s="40">
        <f t="shared" si="90"/>
        <v>0</v>
      </c>
      <c r="B459" s="40">
        <f t="shared" si="91"/>
        <v>50</v>
      </c>
      <c r="C459" s="41">
        <f t="shared" si="84"/>
        <v>1.0313000000000001</v>
      </c>
      <c r="D459" s="41">
        <f t="shared" si="85"/>
        <v>0.88000000000000012</v>
      </c>
      <c r="E459" s="39">
        <f>IF(_xlfn.NORM.INV(R459,C459,'Regressão Grupo 2'!$B$7)&lt;=0,0,IF(_xlfn.NORM.INV(R459,C459,'Regressão Grupo 2'!$B$7)&gt;100%,100%,_xlfn.NORM.INV(R459,C459,'Regressão Grupo 2'!$B$7)))</f>
        <v>1</v>
      </c>
      <c r="F459" s="39">
        <f>IF(_xlfn.NORM.INV(S459,D459,'Regressão Grupo 2'!$B$7)&lt;=0,0,IF(_xlfn.NORM.INV(S459,D459,'Regressão Grupo 2'!$B$7)&gt;100%,100%,_xlfn.NORM.INV(S459,D459,'Regressão Grupo 2'!$B$7)))</f>
        <v>0.93821930279951893</v>
      </c>
      <c r="G459" s="41">
        <v>9.6276495618354448E-3</v>
      </c>
      <c r="H459" s="41">
        <v>1.2203175660637529E-2</v>
      </c>
      <c r="I459" s="40">
        <f t="shared" si="86"/>
        <v>0</v>
      </c>
      <c r="J459" s="40">
        <f t="shared" si="87"/>
        <v>228.98509920526803</v>
      </c>
      <c r="K459" s="36">
        <v>0.42681656001900997</v>
      </c>
      <c r="L459" s="42">
        <f t="shared" si="92"/>
        <v>0</v>
      </c>
      <c r="M459" s="42">
        <f t="shared" si="92"/>
        <v>20000</v>
      </c>
      <c r="N459" s="42">
        <f t="shared" si="88"/>
        <v>8536.3312003802002</v>
      </c>
      <c r="O459" s="36">
        <v>8.605508004987918</v>
      </c>
      <c r="P459" s="42">
        <f t="shared" si="89"/>
        <v>942.39065564931479</v>
      </c>
      <c r="Q459" s="42"/>
      <c r="R459">
        <v>0.57957701345866264</v>
      </c>
      <c r="S459">
        <v>0.66313669240394302</v>
      </c>
    </row>
    <row r="460" spans="1:19" x14ac:dyDescent="0.25">
      <c r="A460" s="40">
        <f t="shared" si="90"/>
        <v>0</v>
      </c>
      <c r="B460" s="40">
        <f t="shared" si="91"/>
        <v>50</v>
      </c>
      <c r="C460" s="41">
        <f t="shared" si="84"/>
        <v>1.0313000000000001</v>
      </c>
      <c r="D460" s="41">
        <f t="shared" si="85"/>
        <v>0.88000000000000012</v>
      </c>
      <c r="E460" s="39">
        <f>IF(_xlfn.NORM.INV(R460,C460,'Regressão Grupo 2'!$B$7)&lt;=0,0,IF(_xlfn.NORM.INV(R460,C460,'Regressão Grupo 2'!$B$7)&gt;100%,100%,_xlfn.NORM.INV(R460,C460,'Regressão Grupo 2'!$B$7)))</f>
        <v>1</v>
      </c>
      <c r="F460" s="39">
        <f>IF(_xlfn.NORM.INV(S460,D460,'Regressão Grupo 2'!$B$7)&lt;=0,0,IF(_xlfn.NORM.INV(S460,D460,'Regressão Grupo 2'!$B$7)&gt;100%,100%,_xlfn.NORM.INV(S460,D460,'Regressão Grupo 2'!$B$7)))</f>
        <v>0.75171217414734348</v>
      </c>
      <c r="G460" s="41">
        <v>9.3949867820139216E-3</v>
      </c>
      <c r="H460" s="41">
        <v>2.8491578378328258E-2</v>
      </c>
      <c r="I460" s="40">
        <f t="shared" si="86"/>
        <v>0</v>
      </c>
      <c r="J460" s="40">
        <f t="shared" si="87"/>
        <v>428.34932655325156</v>
      </c>
      <c r="K460" s="36">
        <v>0.47277071250858665</v>
      </c>
      <c r="L460" s="42">
        <f t="shared" si="92"/>
        <v>0</v>
      </c>
      <c r="M460" s="42">
        <f t="shared" si="92"/>
        <v>20000</v>
      </c>
      <c r="N460" s="42">
        <f t="shared" si="88"/>
        <v>9455.4142501717324</v>
      </c>
      <c r="O460" s="36">
        <v>3.3888653970427085</v>
      </c>
      <c r="P460" s="42">
        <f t="shared" si="89"/>
        <v>10510.433866887986</v>
      </c>
      <c r="Q460" s="42"/>
      <c r="R460">
        <v>0.56340220343638414</v>
      </c>
      <c r="S460">
        <v>0.17676320688497574</v>
      </c>
    </row>
    <row r="461" spans="1:19" x14ac:dyDescent="0.25">
      <c r="A461" s="40">
        <f t="shared" si="90"/>
        <v>0</v>
      </c>
      <c r="B461" s="40">
        <f t="shared" si="91"/>
        <v>50</v>
      </c>
      <c r="C461" s="41">
        <f t="shared" si="84"/>
        <v>1.0313000000000001</v>
      </c>
      <c r="D461" s="41">
        <f t="shared" si="85"/>
        <v>0.88000000000000012</v>
      </c>
      <c r="E461" s="39">
        <f>IF(_xlfn.NORM.INV(R461,C461,'Regressão Grupo 2'!$B$7)&lt;=0,0,IF(_xlfn.NORM.INV(R461,C461,'Regressão Grupo 2'!$B$7)&gt;100%,100%,_xlfn.NORM.INV(R461,C461,'Regressão Grupo 2'!$B$7)))</f>
        <v>1</v>
      </c>
      <c r="F461" s="39">
        <f>IF(_xlfn.NORM.INV(S461,D461,'Regressão Grupo 2'!$B$7)&lt;=0,0,IF(_xlfn.NORM.INV(S461,D461,'Regressão Grupo 2'!$B$7)&gt;100%,100%,_xlfn.NORM.INV(S461,D461,'Regressão Grupo 2'!$B$7)))</f>
        <v>0.87313743958467283</v>
      </c>
      <c r="G461" s="41">
        <v>2.4049973400560098E-2</v>
      </c>
      <c r="H461" s="41">
        <v>8.6639533074724315E-3</v>
      </c>
      <c r="I461" s="40">
        <f t="shared" si="86"/>
        <v>0</v>
      </c>
      <c r="J461" s="40">
        <f t="shared" si="87"/>
        <v>151.29644015135273</v>
      </c>
      <c r="K461" s="36">
        <v>0.44535807737691896</v>
      </c>
      <c r="L461" s="42">
        <f t="shared" si="92"/>
        <v>0</v>
      </c>
      <c r="M461" s="42">
        <f t="shared" si="92"/>
        <v>20000</v>
      </c>
      <c r="N461" s="42">
        <f t="shared" si="88"/>
        <v>8907.1615475383787</v>
      </c>
      <c r="O461" s="36">
        <v>6.9643505504935819</v>
      </c>
      <c r="P461" s="42">
        <f t="shared" si="89"/>
        <v>-2396.0209862265347</v>
      </c>
      <c r="Q461" s="42"/>
      <c r="R461">
        <v>0.59276100955229349</v>
      </c>
      <c r="S461">
        <v>0.48020874660481583</v>
      </c>
    </row>
    <row r="462" spans="1:19" x14ac:dyDescent="0.25">
      <c r="A462" s="40">
        <f t="shared" si="90"/>
        <v>0</v>
      </c>
      <c r="B462" s="40">
        <f t="shared" si="91"/>
        <v>50</v>
      </c>
      <c r="C462" s="41">
        <f t="shared" si="84"/>
        <v>1.0313000000000001</v>
      </c>
      <c r="D462" s="41">
        <f t="shared" si="85"/>
        <v>0.88000000000000012</v>
      </c>
      <c r="E462" s="39">
        <f>IF(_xlfn.NORM.INV(R462,C462,'Regressão Grupo 2'!$B$7)&lt;=0,0,IF(_xlfn.NORM.INV(R462,C462,'Regressão Grupo 2'!$B$7)&gt;100%,100%,_xlfn.NORM.INV(R462,C462,'Regressão Grupo 2'!$B$7)))</f>
        <v>0.91506918978572527</v>
      </c>
      <c r="F462" s="39">
        <f>IF(_xlfn.NORM.INV(S462,D462,'Regressão Grupo 2'!$B$7)&lt;=0,0,IF(_xlfn.NORM.INV(S462,D462,'Regressão Grupo 2'!$B$7)&gt;100%,100%,_xlfn.NORM.INV(S462,D462,'Regressão Grupo 2'!$B$7)))</f>
        <v>0.61378850623057313</v>
      </c>
      <c r="G462" s="41">
        <v>1.5393436775319793E-2</v>
      </c>
      <c r="H462" s="41">
        <v>1.259223004958872E-2</v>
      </c>
      <c r="I462" s="40">
        <f t="shared" si="86"/>
        <v>0</v>
      </c>
      <c r="J462" s="40">
        <f t="shared" si="87"/>
        <v>154.5793214449759</v>
      </c>
      <c r="K462" s="36">
        <v>0.35060226230419189</v>
      </c>
      <c r="L462" s="42">
        <f t="shared" si="92"/>
        <v>0</v>
      </c>
      <c r="M462" s="42">
        <f t="shared" si="92"/>
        <v>20000</v>
      </c>
      <c r="N462" s="42">
        <f t="shared" si="88"/>
        <v>7012.0452460838378</v>
      </c>
      <c r="O462" s="36">
        <v>3.2871088656017817</v>
      </c>
      <c r="P462" s="42">
        <f t="shared" si="89"/>
        <v>208.80176820446923</v>
      </c>
      <c r="Q462" s="42"/>
      <c r="R462">
        <v>0.20029297769096957</v>
      </c>
      <c r="S462">
        <v>2.7100436414685507E-2</v>
      </c>
    </row>
    <row r="463" spans="1:19" x14ac:dyDescent="0.25">
      <c r="A463" s="40">
        <f t="shared" si="90"/>
        <v>0</v>
      </c>
      <c r="B463" s="40">
        <f t="shared" si="91"/>
        <v>50</v>
      </c>
      <c r="C463" s="41">
        <f t="shared" si="84"/>
        <v>1.0313000000000001</v>
      </c>
      <c r="D463" s="41">
        <f t="shared" si="85"/>
        <v>0.88000000000000012</v>
      </c>
      <c r="E463" s="39">
        <f>IF(_xlfn.NORM.INV(R463,C463,'Regressão Grupo 2'!$B$7)&lt;=0,0,IF(_xlfn.NORM.INV(R463,C463,'Regressão Grupo 2'!$B$7)&gt;100%,100%,_xlfn.NORM.INV(R463,C463,'Regressão Grupo 2'!$B$7)))</f>
        <v>1</v>
      </c>
      <c r="F463" s="39">
        <f>IF(_xlfn.NORM.INV(S463,D463,'Regressão Grupo 2'!$B$7)&lt;=0,0,IF(_xlfn.NORM.INV(S463,D463,'Regressão Grupo 2'!$B$7)&gt;100%,100%,_xlfn.NORM.INV(S463,D463,'Regressão Grupo 2'!$B$7)))</f>
        <v>0.88582483591017303</v>
      </c>
      <c r="G463" s="41">
        <v>1.780391586660331E-2</v>
      </c>
      <c r="H463" s="41">
        <v>2.1847604939101754E-2</v>
      </c>
      <c r="I463" s="40">
        <f t="shared" si="86"/>
        <v>0</v>
      </c>
      <c r="J463" s="40">
        <f t="shared" si="87"/>
        <v>387.0630212042019</v>
      </c>
      <c r="K463" s="36">
        <v>0.22852560543740597</v>
      </c>
      <c r="L463" s="42">
        <f t="shared" si="92"/>
        <v>0</v>
      </c>
      <c r="M463" s="42">
        <f t="shared" si="92"/>
        <v>20000</v>
      </c>
      <c r="N463" s="42">
        <f t="shared" si="88"/>
        <v>4570.5121087481193</v>
      </c>
      <c r="O463" s="36">
        <v>2.3254747993980214</v>
      </c>
      <c r="P463" s="42">
        <f t="shared" si="89"/>
        <v>13882.533649872741</v>
      </c>
      <c r="Q463" s="42"/>
      <c r="R463">
        <v>0.68260750144962923</v>
      </c>
      <c r="S463">
        <v>0.51680043946653642</v>
      </c>
    </row>
    <row r="464" spans="1:19" x14ac:dyDescent="0.25">
      <c r="A464" s="40">
        <f t="shared" si="90"/>
        <v>0</v>
      </c>
      <c r="B464" s="40">
        <f t="shared" si="91"/>
        <v>50</v>
      </c>
      <c r="C464" s="41">
        <f t="shared" si="84"/>
        <v>1.0313000000000001</v>
      </c>
      <c r="D464" s="41">
        <f t="shared" si="85"/>
        <v>0.88000000000000012</v>
      </c>
      <c r="E464" s="39">
        <f>IF(_xlfn.NORM.INV(R464,C464,'Regressão Grupo 2'!$B$7)&lt;=0,0,IF(_xlfn.NORM.INV(R464,C464,'Regressão Grupo 2'!$B$7)&gt;100%,100%,_xlfn.NORM.INV(R464,C464,'Regressão Grupo 2'!$B$7)))</f>
        <v>1</v>
      </c>
      <c r="F464" s="39">
        <f>IF(_xlfn.NORM.INV(S464,D464,'Regressão Grupo 2'!$B$7)&lt;=0,0,IF(_xlfn.NORM.INV(S464,D464,'Regressão Grupo 2'!$B$7)&gt;100%,100%,_xlfn.NORM.INV(S464,D464,'Regressão Grupo 2'!$B$7)))</f>
        <v>0.63038865123639787</v>
      </c>
      <c r="G464" s="41">
        <v>2.0425672478050556E-2</v>
      </c>
      <c r="H464" s="41">
        <v>1.6670183605425545E-2</v>
      </c>
      <c r="I464" s="40">
        <f t="shared" si="86"/>
        <v>0</v>
      </c>
      <c r="J464" s="40">
        <f t="shared" si="87"/>
        <v>210.17389117774641</v>
      </c>
      <c r="K464" s="36">
        <v>0.32290233595249207</v>
      </c>
      <c r="L464" s="42">
        <f t="shared" si="92"/>
        <v>0</v>
      </c>
      <c r="M464" s="42">
        <f t="shared" si="92"/>
        <v>20000</v>
      </c>
      <c r="N464" s="42">
        <f t="shared" si="88"/>
        <v>6458.0467190498412</v>
      </c>
      <c r="O464" s="36">
        <v>7.5618486674696017</v>
      </c>
      <c r="P464" s="42">
        <f t="shared" si="89"/>
        <v>2461.3446808981362</v>
      </c>
      <c r="Q464" s="42"/>
      <c r="R464">
        <v>0.4867702261421552</v>
      </c>
      <c r="S464">
        <v>3.5523545030060735E-2</v>
      </c>
    </row>
    <row r="465" spans="1:19" x14ac:dyDescent="0.25">
      <c r="A465" s="40">
        <f t="shared" si="90"/>
        <v>0</v>
      </c>
      <c r="B465" s="40">
        <f t="shared" si="91"/>
        <v>50</v>
      </c>
      <c r="C465" s="41">
        <f t="shared" si="84"/>
        <v>1.0313000000000001</v>
      </c>
      <c r="D465" s="41">
        <f t="shared" si="85"/>
        <v>0.88000000000000012</v>
      </c>
      <c r="E465" s="39">
        <f>IF(_xlfn.NORM.INV(R465,C465,'Regressão Grupo 2'!$B$7)&lt;=0,0,IF(_xlfn.NORM.INV(R465,C465,'Regressão Grupo 2'!$B$7)&gt;100%,100%,_xlfn.NORM.INV(R465,C465,'Regressão Grupo 2'!$B$7)))</f>
        <v>1</v>
      </c>
      <c r="F465" s="39">
        <f>IF(_xlfn.NORM.INV(S465,D465,'Regressão Grupo 2'!$B$7)&lt;=0,0,IF(_xlfn.NORM.INV(S465,D465,'Regressão Grupo 2'!$B$7)&gt;100%,100%,_xlfn.NORM.INV(S465,D465,'Regressão Grupo 2'!$B$7)))</f>
        <v>0.97030852936896372</v>
      </c>
      <c r="G465" s="41">
        <v>2.3497652807744233E-2</v>
      </c>
      <c r="H465" s="41">
        <v>1.2965632604016153E-2</v>
      </c>
      <c r="I465" s="40">
        <f t="shared" si="86"/>
        <v>0</v>
      </c>
      <c r="J465" s="40">
        <f t="shared" si="87"/>
        <v>251.61327808682398</v>
      </c>
      <c r="K465" s="36">
        <v>0.3097580427548966</v>
      </c>
      <c r="L465" s="42">
        <f t="shared" si="92"/>
        <v>0</v>
      </c>
      <c r="M465" s="42">
        <f t="shared" si="92"/>
        <v>20000</v>
      </c>
      <c r="N465" s="42">
        <f t="shared" si="88"/>
        <v>6195.1608550979317</v>
      </c>
      <c r="O465" s="36">
        <v>3.1460083163194339</v>
      </c>
      <c r="P465" s="42">
        <f t="shared" si="89"/>
        <v>5593.9255838857252</v>
      </c>
      <c r="Q465" s="42"/>
      <c r="R465">
        <v>0.88387707144383065</v>
      </c>
      <c r="S465">
        <v>0.7431562242500076</v>
      </c>
    </row>
    <row r="466" spans="1:19" x14ac:dyDescent="0.25">
      <c r="A466" s="40">
        <f t="shared" si="90"/>
        <v>0</v>
      </c>
      <c r="B466" s="40">
        <f t="shared" si="91"/>
        <v>50</v>
      </c>
      <c r="C466" s="41">
        <f t="shared" si="84"/>
        <v>1.0313000000000001</v>
      </c>
      <c r="D466" s="41">
        <f t="shared" si="85"/>
        <v>0.88000000000000012</v>
      </c>
      <c r="E466" s="39">
        <f>IF(_xlfn.NORM.INV(R466,C466,'Regressão Grupo 2'!$B$7)&lt;=0,0,IF(_xlfn.NORM.INV(R466,C466,'Regressão Grupo 2'!$B$7)&gt;100%,100%,_xlfn.NORM.INV(R466,C466,'Regressão Grupo 2'!$B$7)))</f>
        <v>1</v>
      </c>
      <c r="F466" s="39">
        <f>IF(_xlfn.NORM.INV(S466,D466,'Regressão Grupo 2'!$B$7)&lt;=0,0,IF(_xlfn.NORM.INV(S466,D466,'Regressão Grupo 2'!$B$7)&gt;100%,100%,_xlfn.NORM.INV(S466,D466,'Regressão Grupo 2'!$B$7)))</f>
        <v>0.98625923019743555</v>
      </c>
      <c r="G466" s="41">
        <v>9.2386167437099702E-3</v>
      </c>
      <c r="H466" s="41">
        <v>2.1746424366125016E-2</v>
      </c>
      <c r="I466" s="40">
        <f t="shared" si="86"/>
        <v>0</v>
      </c>
      <c r="J466" s="40">
        <f t="shared" si="87"/>
        <v>428.95223509762428</v>
      </c>
      <c r="K466" s="36">
        <v>0.37256768620797676</v>
      </c>
      <c r="L466" s="42">
        <f t="shared" si="92"/>
        <v>0</v>
      </c>
      <c r="M466" s="42">
        <f t="shared" si="92"/>
        <v>20000</v>
      </c>
      <c r="N466" s="42">
        <f t="shared" si="88"/>
        <v>7451.353724159535</v>
      </c>
      <c r="O466" s="36">
        <v>7.0127900279893858</v>
      </c>
      <c r="P466" s="42">
        <f t="shared" si="89"/>
        <v>10988.106073945301</v>
      </c>
      <c r="Q466" s="42"/>
      <c r="R466">
        <v>0.78801843317972353</v>
      </c>
      <c r="S466">
        <v>0.7788933988464003</v>
      </c>
    </row>
    <row r="467" spans="1:19" x14ac:dyDescent="0.25">
      <c r="A467" s="40">
        <f t="shared" si="90"/>
        <v>0</v>
      </c>
      <c r="B467" s="40">
        <f t="shared" si="91"/>
        <v>50</v>
      </c>
      <c r="C467" s="41">
        <f t="shared" si="84"/>
        <v>1.0313000000000001</v>
      </c>
      <c r="D467" s="41">
        <f t="shared" si="85"/>
        <v>0.88000000000000012</v>
      </c>
      <c r="E467" s="39">
        <f>IF(_xlfn.NORM.INV(R467,C467,'Regressão Grupo 2'!$B$7)&lt;=0,0,IF(_xlfn.NORM.INV(R467,C467,'Regressão Grupo 2'!$B$7)&gt;100%,100%,_xlfn.NORM.INV(R467,C467,'Regressão Grupo 2'!$B$7)))</f>
        <v>1</v>
      </c>
      <c r="F467" s="39">
        <f>IF(_xlfn.NORM.INV(S467,D467,'Regressão Grupo 2'!$B$7)&lt;=0,0,IF(_xlfn.NORM.INV(S467,D467,'Regressão Grupo 2'!$B$7)&gt;100%,100%,_xlfn.NORM.INV(S467,D467,'Regressão Grupo 2'!$B$7)))</f>
        <v>1</v>
      </c>
      <c r="G467" s="41">
        <v>2.6263291549298032E-2</v>
      </c>
      <c r="H467" s="41">
        <v>2.0727194842178616E-2</v>
      </c>
      <c r="I467" s="40">
        <f t="shared" si="86"/>
        <v>0</v>
      </c>
      <c r="J467" s="40">
        <f t="shared" si="87"/>
        <v>414.54389684357233</v>
      </c>
      <c r="K467" s="36">
        <v>0.16327401579020215</v>
      </c>
      <c r="L467" s="42">
        <f t="shared" si="92"/>
        <v>0</v>
      </c>
      <c r="M467" s="42">
        <f t="shared" si="92"/>
        <v>20000</v>
      </c>
      <c r="N467" s="42">
        <f t="shared" si="88"/>
        <v>3265.4803158040431</v>
      </c>
      <c r="O467" s="36">
        <v>5.4796075217207107</v>
      </c>
      <c r="P467" s="42">
        <f t="shared" si="89"/>
        <v>15190.176671147119</v>
      </c>
      <c r="Q467" s="42"/>
      <c r="R467">
        <v>0.94903408917508469</v>
      </c>
      <c r="S467">
        <v>0.95318460646382031</v>
      </c>
    </row>
    <row r="468" spans="1:19" x14ac:dyDescent="0.25">
      <c r="A468" s="40">
        <f t="shared" si="90"/>
        <v>0</v>
      </c>
      <c r="B468" s="40">
        <f t="shared" si="91"/>
        <v>50</v>
      </c>
      <c r="C468" s="41">
        <f t="shared" si="84"/>
        <v>1.0313000000000001</v>
      </c>
      <c r="D468" s="41">
        <f t="shared" si="85"/>
        <v>0.88000000000000012</v>
      </c>
      <c r="E468" s="39">
        <f>IF(_xlfn.NORM.INV(R468,C468,'Regressão Grupo 2'!$B$7)&lt;=0,0,IF(_xlfn.NORM.INV(R468,C468,'Regressão Grupo 2'!$B$7)&gt;100%,100%,_xlfn.NORM.INV(R468,C468,'Regressão Grupo 2'!$B$7)))</f>
        <v>0.8256276228761612</v>
      </c>
      <c r="F468" s="39">
        <f>IF(_xlfn.NORM.INV(S468,D468,'Regressão Grupo 2'!$B$7)&lt;=0,0,IF(_xlfn.NORM.INV(S468,D468,'Regressão Grupo 2'!$B$7)&gt;100%,100%,_xlfn.NORM.INV(S468,D468,'Regressão Grupo 2'!$B$7)))</f>
        <v>1</v>
      </c>
      <c r="G468" s="41">
        <v>1.9514419322951768E-2</v>
      </c>
      <c r="H468" s="41">
        <v>2.2090450734008872E-2</v>
      </c>
      <c r="I468" s="40">
        <f t="shared" si="86"/>
        <v>0</v>
      </c>
      <c r="J468" s="40">
        <f t="shared" si="87"/>
        <v>441.80901468017743</v>
      </c>
      <c r="K468" s="36">
        <v>0.27033495273803199</v>
      </c>
      <c r="L468" s="42">
        <f t="shared" si="92"/>
        <v>0</v>
      </c>
      <c r="M468" s="42">
        <f t="shared" si="92"/>
        <v>20000</v>
      </c>
      <c r="N468" s="42">
        <f t="shared" si="88"/>
        <v>5406.6990547606401</v>
      </c>
      <c r="O468" s="36">
        <v>2.922351810834332</v>
      </c>
      <c r="P468" s="42">
        <f t="shared" si="89"/>
        <v>15392.630305154682</v>
      </c>
      <c r="Q468" s="42"/>
      <c r="R468">
        <v>6.84530167546617E-2</v>
      </c>
      <c r="S468">
        <v>0.82518997772148805</v>
      </c>
    </row>
    <row r="469" spans="1:19" x14ac:dyDescent="0.25">
      <c r="A469" s="40">
        <f t="shared" si="90"/>
        <v>0</v>
      </c>
      <c r="B469" s="40">
        <f t="shared" si="91"/>
        <v>50</v>
      </c>
      <c r="C469" s="41">
        <f t="shared" si="84"/>
        <v>1.0313000000000001</v>
      </c>
      <c r="D469" s="41">
        <f t="shared" si="85"/>
        <v>0.88000000000000012</v>
      </c>
      <c r="E469" s="39">
        <f>IF(_xlfn.NORM.INV(R469,C469,'Regressão Grupo 2'!$B$7)&lt;=0,0,IF(_xlfn.NORM.INV(R469,C469,'Regressão Grupo 2'!$B$7)&gt;100%,100%,_xlfn.NORM.INV(R469,C469,'Regressão Grupo 2'!$B$7)))</f>
        <v>0.95465193234323342</v>
      </c>
      <c r="F469" s="39">
        <f>IF(_xlfn.NORM.INV(S469,D469,'Regressão Grupo 2'!$B$7)&lt;=0,0,IF(_xlfn.NORM.INV(S469,D469,'Regressão Grupo 2'!$B$7)&gt;100%,100%,_xlfn.NORM.INV(S469,D469,'Regressão Grupo 2'!$B$7)))</f>
        <v>0.67044199366988522</v>
      </c>
      <c r="G469" s="41">
        <v>2.1805448380145635E-2</v>
      </c>
      <c r="H469" s="41">
        <v>2.4621057315193522E-2</v>
      </c>
      <c r="I469" s="40">
        <f t="shared" si="86"/>
        <v>0</v>
      </c>
      <c r="J469" s="40">
        <f t="shared" si="87"/>
        <v>330.13981505317719</v>
      </c>
      <c r="K469" s="36">
        <v>0.31517865172414894</v>
      </c>
      <c r="L469" s="42">
        <f t="shared" si="92"/>
        <v>0</v>
      </c>
      <c r="M469" s="42">
        <f t="shared" si="92"/>
        <v>20000</v>
      </c>
      <c r="N469" s="42">
        <f t="shared" si="88"/>
        <v>6303.573034482979</v>
      </c>
      <c r="O469" s="36">
        <v>6.9412592160934885</v>
      </c>
      <c r="P469" s="42">
        <f t="shared" si="89"/>
        <v>7911.8316843386128</v>
      </c>
      <c r="Q469" s="42"/>
      <c r="R469">
        <v>0.28968169194616533</v>
      </c>
      <c r="S469">
        <v>6.482131412701804E-2</v>
      </c>
    </row>
    <row r="470" spans="1:19" x14ac:dyDescent="0.25">
      <c r="A470" s="40">
        <f t="shared" si="90"/>
        <v>0</v>
      </c>
      <c r="B470" s="40">
        <f t="shared" si="91"/>
        <v>50</v>
      </c>
      <c r="C470" s="41">
        <f t="shared" si="84"/>
        <v>1.0313000000000001</v>
      </c>
      <c r="D470" s="41">
        <f t="shared" si="85"/>
        <v>0.88000000000000012</v>
      </c>
      <c r="E470" s="39">
        <f>IF(_xlfn.NORM.INV(R470,C470,'Regressão Grupo 2'!$B$7)&lt;=0,0,IF(_xlfn.NORM.INV(R470,C470,'Regressão Grupo 2'!$B$7)&gt;100%,100%,_xlfn.NORM.INV(R470,C470,'Regressão Grupo 2'!$B$7)))</f>
        <v>1</v>
      </c>
      <c r="F470" s="39">
        <f>IF(_xlfn.NORM.INV(S470,D470,'Regressão Grupo 2'!$B$7)&lt;=0,0,IF(_xlfn.NORM.INV(S470,D470,'Regressão Grupo 2'!$B$7)&gt;100%,100%,_xlfn.NORM.INV(S470,D470,'Regressão Grupo 2'!$B$7)))</f>
        <v>0.94754623547858141</v>
      </c>
      <c r="G470" s="41">
        <v>1.9805036011287285E-2</v>
      </c>
      <c r="H470" s="41">
        <v>6.7493884551328076E-3</v>
      </c>
      <c r="I470" s="40">
        <f t="shared" si="86"/>
        <v>0</v>
      </c>
      <c r="J470" s="40">
        <f t="shared" si="87"/>
        <v>127.9071524488738</v>
      </c>
      <c r="K470" s="36">
        <v>0.28262069943564916</v>
      </c>
      <c r="L470" s="42">
        <f t="shared" si="92"/>
        <v>0</v>
      </c>
      <c r="M470" s="42">
        <f t="shared" si="92"/>
        <v>20000</v>
      </c>
      <c r="N470" s="42">
        <f t="shared" si="88"/>
        <v>5652.4139887129832</v>
      </c>
      <c r="O470" s="36">
        <v>10.348677194897776</v>
      </c>
      <c r="P470" s="42">
        <f t="shared" si="89"/>
        <v>-580.72619788126667</v>
      </c>
      <c r="Q470" s="42"/>
      <c r="R470">
        <v>0.6156498916592914</v>
      </c>
      <c r="S470">
        <v>0.68739890743736076</v>
      </c>
    </row>
    <row r="471" spans="1:19" x14ac:dyDescent="0.25">
      <c r="A471" s="40">
        <f t="shared" si="90"/>
        <v>0</v>
      </c>
      <c r="B471" s="40">
        <f t="shared" si="91"/>
        <v>50</v>
      </c>
      <c r="C471" s="41">
        <f t="shared" si="84"/>
        <v>1.0313000000000001</v>
      </c>
      <c r="D471" s="41">
        <f t="shared" si="85"/>
        <v>0.88000000000000012</v>
      </c>
      <c r="E471" s="39">
        <f>IF(_xlfn.NORM.INV(R471,C471,'Regressão Grupo 2'!$B$7)&lt;=0,0,IF(_xlfn.NORM.INV(R471,C471,'Regressão Grupo 2'!$B$7)&gt;100%,100%,_xlfn.NORM.INV(R471,C471,'Regressão Grupo 2'!$B$7)))</f>
        <v>1</v>
      </c>
      <c r="F471" s="39">
        <f>IF(_xlfn.NORM.INV(S471,D471,'Regressão Grupo 2'!$B$7)&lt;=0,0,IF(_xlfn.NORM.INV(S471,D471,'Regressão Grupo 2'!$B$7)&gt;100%,100%,_xlfn.NORM.INV(S471,D471,'Regressão Grupo 2'!$B$7)))</f>
        <v>1</v>
      </c>
      <c r="G471" s="41">
        <v>1.396771594834967E-2</v>
      </c>
      <c r="H471" s="41">
        <v>1.0393161894216471E-2</v>
      </c>
      <c r="I471" s="40">
        <f t="shared" si="86"/>
        <v>0</v>
      </c>
      <c r="J471" s="40">
        <f t="shared" si="87"/>
        <v>207.86323788432944</v>
      </c>
      <c r="K471" s="36">
        <v>0.28449607365263174</v>
      </c>
      <c r="L471" s="42">
        <f t="shared" ref="L471:M486" si="93">L470</f>
        <v>0</v>
      </c>
      <c r="M471" s="42">
        <f t="shared" si="93"/>
        <v>20000</v>
      </c>
      <c r="N471" s="42">
        <f t="shared" si="88"/>
        <v>5689.9214730526346</v>
      </c>
      <c r="O471" s="36">
        <v>5.9443437422719967</v>
      </c>
      <c r="P471" s="42">
        <f t="shared" si="89"/>
        <v>3467.6298837977283</v>
      </c>
      <c r="Q471" s="42"/>
      <c r="R471">
        <v>0.74040955839716793</v>
      </c>
      <c r="S471">
        <v>0.95388653218176822</v>
      </c>
    </row>
    <row r="472" spans="1:19" x14ac:dyDescent="0.25">
      <c r="A472" s="40">
        <f t="shared" si="90"/>
        <v>0</v>
      </c>
      <c r="B472" s="40">
        <f t="shared" si="91"/>
        <v>50</v>
      </c>
      <c r="C472" s="41">
        <f t="shared" si="84"/>
        <v>1.0313000000000001</v>
      </c>
      <c r="D472" s="41">
        <f t="shared" si="85"/>
        <v>0.88000000000000012</v>
      </c>
      <c r="E472" s="39">
        <f>IF(_xlfn.NORM.INV(R472,C472,'Regressão Grupo 2'!$B$7)&lt;=0,0,IF(_xlfn.NORM.INV(R472,C472,'Regressão Grupo 2'!$B$7)&gt;100%,100%,_xlfn.NORM.INV(R472,C472,'Regressão Grupo 2'!$B$7)))</f>
        <v>0.89618603584592438</v>
      </c>
      <c r="F472" s="39">
        <f>IF(_xlfn.NORM.INV(S472,D472,'Regressão Grupo 2'!$B$7)&lt;=0,0,IF(_xlfn.NORM.INV(S472,D472,'Regressão Grupo 2'!$B$7)&gt;100%,100%,_xlfn.NORM.INV(S472,D472,'Regressão Grupo 2'!$B$7)))</f>
        <v>0.90653792019802293</v>
      </c>
      <c r="G472" s="41">
        <v>1.5165916978032564E-2</v>
      </c>
      <c r="H472" s="41">
        <v>2.355572379380259E-2</v>
      </c>
      <c r="I472" s="40">
        <f t="shared" si="86"/>
        <v>0</v>
      </c>
      <c r="J472" s="40">
        <f t="shared" si="87"/>
        <v>427.08313713585767</v>
      </c>
      <c r="K472" s="36">
        <v>0.29245182871337461</v>
      </c>
      <c r="L472" s="42">
        <f t="shared" si="93"/>
        <v>0</v>
      </c>
      <c r="M472" s="42">
        <f t="shared" si="93"/>
        <v>20000</v>
      </c>
      <c r="N472" s="42">
        <f t="shared" si="88"/>
        <v>5849.0365742674921</v>
      </c>
      <c r="O472" s="36">
        <v>8.0836520732474906</v>
      </c>
      <c r="P472" s="42">
        <f t="shared" si="89"/>
        <v>12052.728795568073</v>
      </c>
      <c r="Q472" s="42"/>
      <c r="R472">
        <v>0.16425061799981688</v>
      </c>
      <c r="S472">
        <v>0.57609790337839895</v>
      </c>
    </row>
    <row r="473" spans="1:19" x14ac:dyDescent="0.25">
      <c r="A473" s="40">
        <f t="shared" si="90"/>
        <v>0</v>
      </c>
      <c r="B473" s="40">
        <f t="shared" si="91"/>
        <v>50</v>
      </c>
      <c r="C473" s="41">
        <f t="shared" si="84"/>
        <v>1.0313000000000001</v>
      </c>
      <c r="D473" s="41">
        <f t="shared" si="85"/>
        <v>0.88000000000000012</v>
      </c>
      <c r="E473" s="39">
        <f>IF(_xlfn.NORM.INV(R473,C473,'Regressão Grupo 2'!$B$7)&lt;=0,0,IF(_xlfn.NORM.INV(R473,C473,'Regressão Grupo 2'!$B$7)&gt;100%,100%,_xlfn.NORM.INV(R473,C473,'Regressão Grupo 2'!$B$7)))</f>
        <v>1</v>
      </c>
      <c r="F473" s="39">
        <f>IF(_xlfn.NORM.INV(S473,D473,'Regressão Grupo 2'!$B$7)&lt;=0,0,IF(_xlfn.NORM.INV(S473,D473,'Regressão Grupo 2'!$B$7)&gt;100%,100%,_xlfn.NORM.INV(S473,D473,'Regressão Grupo 2'!$B$7)))</f>
        <v>0.87195099183158609</v>
      </c>
      <c r="G473" s="41">
        <v>1.3505099393103879E-2</v>
      </c>
      <c r="H473" s="41">
        <v>1.1786307344749251E-2</v>
      </c>
      <c r="I473" s="40">
        <f t="shared" si="86"/>
        <v>0</v>
      </c>
      <c r="J473" s="40">
        <f t="shared" si="87"/>
        <v>205.54164758572034</v>
      </c>
      <c r="K473" s="36">
        <v>0.30572795442170209</v>
      </c>
      <c r="L473" s="42">
        <f t="shared" si="93"/>
        <v>0</v>
      </c>
      <c r="M473" s="42">
        <f t="shared" si="93"/>
        <v>20000</v>
      </c>
      <c r="N473" s="42">
        <f t="shared" si="88"/>
        <v>6114.5590884340418</v>
      </c>
      <c r="O473" s="36">
        <v>5.1756239361584369</v>
      </c>
      <c r="P473" s="42">
        <f t="shared" si="89"/>
        <v>3098.7170197298801</v>
      </c>
      <c r="Q473" s="42"/>
      <c r="R473">
        <v>0.9260536515396588</v>
      </c>
      <c r="S473">
        <v>0.47679067354350413</v>
      </c>
    </row>
    <row r="474" spans="1:19" x14ac:dyDescent="0.25">
      <c r="A474" s="40">
        <f t="shared" si="90"/>
        <v>0</v>
      </c>
      <c r="B474" s="40">
        <f t="shared" si="91"/>
        <v>50</v>
      </c>
      <c r="C474" s="41">
        <f t="shared" si="84"/>
        <v>1.0313000000000001</v>
      </c>
      <c r="D474" s="41">
        <f t="shared" si="85"/>
        <v>0.88000000000000012</v>
      </c>
      <c r="E474" s="39">
        <f>IF(_xlfn.NORM.INV(R474,C474,'Regressão Grupo 2'!$B$7)&lt;=0,0,IF(_xlfn.NORM.INV(R474,C474,'Regressão Grupo 2'!$B$7)&gt;100%,100%,_xlfn.NORM.INV(R474,C474,'Regressão Grupo 2'!$B$7)))</f>
        <v>1</v>
      </c>
      <c r="F474" s="39">
        <f>IF(_xlfn.NORM.INV(S474,D474,'Regressão Grupo 2'!$B$7)&lt;=0,0,IF(_xlfn.NORM.INV(S474,D474,'Regressão Grupo 2'!$B$7)&gt;100%,100%,_xlfn.NORM.INV(S474,D474,'Regressão Grupo 2'!$B$7)))</f>
        <v>1</v>
      </c>
      <c r="G474" s="41">
        <v>1.7583242053055628E-2</v>
      </c>
      <c r="H474" s="41">
        <v>1.0380351788948633E-2</v>
      </c>
      <c r="I474" s="40">
        <f t="shared" si="86"/>
        <v>0</v>
      </c>
      <c r="J474" s="40">
        <f t="shared" si="87"/>
        <v>207.60703577897266</v>
      </c>
      <c r="K474" s="36">
        <v>0.37596429840410567</v>
      </c>
      <c r="L474" s="42">
        <f t="shared" si="93"/>
        <v>0</v>
      </c>
      <c r="M474" s="42">
        <f t="shared" si="93"/>
        <v>20000</v>
      </c>
      <c r="N474" s="42">
        <f t="shared" si="88"/>
        <v>7519.285968082113</v>
      </c>
      <c r="O474" s="36">
        <v>4.4008938763880829</v>
      </c>
      <c r="P474" s="42">
        <f t="shared" si="89"/>
        <v>1947.4092884117563</v>
      </c>
      <c r="Q474" s="42"/>
      <c r="R474">
        <v>0.4519180883205664</v>
      </c>
      <c r="S474">
        <v>0.85689870906704912</v>
      </c>
    </row>
    <row r="475" spans="1:19" x14ac:dyDescent="0.25">
      <c r="A475" s="40">
        <f t="shared" si="90"/>
        <v>0</v>
      </c>
      <c r="B475" s="40">
        <f t="shared" si="91"/>
        <v>50</v>
      </c>
      <c r="C475" s="41">
        <f t="shared" si="84"/>
        <v>1.0313000000000001</v>
      </c>
      <c r="D475" s="41">
        <f t="shared" si="85"/>
        <v>0.88000000000000012</v>
      </c>
      <c r="E475" s="39">
        <f>IF(_xlfn.NORM.INV(R475,C475,'Regressão Grupo 2'!$B$7)&lt;=0,0,IF(_xlfn.NORM.INV(R475,C475,'Regressão Grupo 2'!$B$7)&gt;100%,100%,_xlfn.NORM.INV(R475,C475,'Regressão Grupo 2'!$B$7)))</f>
        <v>1</v>
      </c>
      <c r="F475" s="39">
        <f>IF(_xlfn.NORM.INV(S475,D475,'Regressão Grupo 2'!$B$7)&lt;=0,0,IF(_xlfn.NORM.INV(S475,D475,'Regressão Grupo 2'!$B$7)&gt;100%,100%,_xlfn.NORM.INV(S475,D475,'Regressão Grupo 2'!$B$7)))</f>
        <v>1</v>
      </c>
      <c r="G475" s="41">
        <v>2.3216028293839563E-2</v>
      </c>
      <c r="H475" s="41">
        <v>2.1960079272290919E-2</v>
      </c>
      <c r="I475" s="40">
        <f t="shared" si="86"/>
        <v>0</v>
      </c>
      <c r="J475" s="40">
        <f t="shared" si="87"/>
        <v>439.20158544581841</v>
      </c>
      <c r="K475" s="36">
        <v>0.26593512524415958</v>
      </c>
      <c r="L475" s="42">
        <f t="shared" si="93"/>
        <v>0</v>
      </c>
      <c r="M475" s="42">
        <f t="shared" si="93"/>
        <v>20000</v>
      </c>
      <c r="N475" s="42">
        <f t="shared" si="88"/>
        <v>5318.7025048831911</v>
      </c>
      <c r="O475" s="36">
        <v>6.0678709849852437</v>
      </c>
      <c r="P475" s="42">
        <f t="shared" si="89"/>
        <v>13976.35821052153</v>
      </c>
      <c r="Q475" s="42"/>
      <c r="R475">
        <v>0.51371807000946079</v>
      </c>
      <c r="S475">
        <v>0.83962523270363476</v>
      </c>
    </row>
    <row r="476" spans="1:19" x14ac:dyDescent="0.25">
      <c r="A476" s="40">
        <f t="shared" si="90"/>
        <v>0</v>
      </c>
      <c r="B476" s="40">
        <f t="shared" si="91"/>
        <v>50</v>
      </c>
      <c r="C476" s="41">
        <f t="shared" si="84"/>
        <v>1.0313000000000001</v>
      </c>
      <c r="D476" s="41">
        <f t="shared" si="85"/>
        <v>0.88000000000000012</v>
      </c>
      <c r="E476" s="39">
        <f>IF(_xlfn.NORM.INV(R476,C476,'Regressão Grupo 2'!$B$7)&lt;=0,0,IF(_xlfn.NORM.INV(R476,C476,'Regressão Grupo 2'!$B$7)&gt;100%,100%,_xlfn.NORM.INV(R476,C476,'Regressão Grupo 2'!$B$7)))</f>
        <v>1</v>
      </c>
      <c r="F476" s="39">
        <f>IF(_xlfn.NORM.INV(S476,D476,'Regressão Grupo 2'!$B$7)&lt;=0,0,IF(_xlfn.NORM.INV(S476,D476,'Regressão Grupo 2'!$B$7)&gt;100%,100%,_xlfn.NORM.INV(S476,D476,'Regressão Grupo 2'!$B$7)))</f>
        <v>0.92209041504769118</v>
      </c>
      <c r="G476" s="41">
        <v>1.7579796266579559E-2</v>
      </c>
      <c r="H476" s="41">
        <v>1.0880026083382026E-2</v>
      </c>
      <c r="I476" s="40">
        <f t="shared" si="86"/>
        <v>0</v>
      </c>
      <c r="J476" s="40">
        <f t="shared" si="87"/>
        <v>200.64735533910877</v>
      </c>
      <c r="K476" s="36">
        <v>0.25864075213197746</v>
      </c>
      <c r="L476" s="42">
        <f t="shared" si="93"/>
        <v>0</v>
      </c>
      <c r="M476" s="42">
        <f t="shared" si="93"/>
        <v>20000</v>
      </c>
      <c r="N476" s="42">
        <f t="shared" si="88"/>
        <v>5172.8150426395496</v>
      </c>
      <c r="O476" s="36">
        <v>5.8866530292208754</v>
      </c>
      <c r="P476" s="42">
        <f t="shared" si="89"/>
        <v>3678.4113622037657</v>
      </c>
      <c r="Q476" s="42"/>
      <c r="R476">
        <v>0.73790704062013612</v>
      </c>
      <c r="S476">
        <v>0.61958677938169504</v>
      </c>
    </row>
    <row r="477" spans="1:19" x14ac:dyDescent="0.25">
      <c r="A477" s="40">
        <f t="shared" si="90"/>
        <v>0</v>
      </c>
      <c r="B477" s="40">
        <f t="shared" si="91"/>
        <v>50</v>
      </c>
      <c r="C477" s="41">
        <f t="shared" si="84"/>
        <v>1.0313000000000001</v>
      </c>
      <c r="D477" s="41">
        <f t="shared" si="85"/>
        <v>0.88000000000000012</v>
      </c>
      <c r="E477" s="39">
        <f>IF(_xlfn.NORM.INV(R477,C477,'Regressão Grupo 2'!$B$7)&lt;=0,0,IF(_xlfn.NORM.INV(R477,C477,'Regressão Grupo 2'!$B$7)&gt;100%,100%,_xlfn.NORM.INV(R477,C477,'Regressão Grupo 2'!$B$7)))</f>
        <v>0.87619034700619158</v>
      </c>
      <c r="F477" s="39">
        <f>IF(_xlfn.NORM.INV(S477,D477,'Regressão Grupo 2'!$B$7)&lt;=0,0,IF(_xlfn.NORM.INV(S477,D477,'Regressão Grupo 2'!$B$7)&gt;100%,100%,_xlfn.NORM.INV(S477,D477,'Regressão Grupo 2'!$B$7)))</f>
        <v>1</v>
      </c>
      <c r="G477" s="41">
        <v>4.428179287358956E-3</v>
      </c>
      <c r="H477" s="41">
        <v>1.9155101050914662E-2</v>
      </c>
      <c r="I477" s="40">
        <f t="shared" si="86"/>
        <v>0</v>
      </c>
      <c r="J477" s="40">
        <f t="shared" si="87"/>
        <v>383.10202101829321</v>
      </c>
      <c r="K477" s="36">
        <v>0.31528823056711086</v>
      </c>
      <c r="L477" s="42">
        <f t="shared" si="93"/>
        <v>0</v>
      </c>
      <c r="M477" s="42">
        <f t="shared" si="93"/>
        <v>20000</v>
      </c>
      <c r="N477" s="42">
        <f t="shared" si="88"/>
        <v>6305.764611342217</v>
      </c>
      <c r="O477" s="36">
        <v>3.6449327862118821</v>
      </c>
      <c r="P477" s="42">
        <f t="shared" si="89"/>
        <v>11452.955322698836</v>
      </c>
      <c r="Q477" s="42"/>
      <c r="R477">
        <v>0.13098544267097995</v>
      </c>
      <c r="S477">
        <v>0.96868800927762688</v>
      </c>
    </row>
    <row r="478" spans="1:19" x14ac:dyDescent="0.25">
      <c r="A478" s="40">
        <f t="shared" si="90"/>
        <v>0</v>
      </c>
      <c r="B478" s="40">
        <f t="shared" si="91"/>
        <v>50</v>
      </c>
      <c r="C478" s="41">
        <f t="shared" si="84"/>
        <v>1.0313000000000001</v>
      </c>
      <c r="D478" s="41">
        <f t="shared" si="85"/>
        <v>0.88000000000000012</v>
      </c>
      <c r="E478" s="39">
        <f>IF(_xlfn.NORM.INV(R478,C478,'Regressão Grupo 2'!$B$7)&lt;=0,0,IF(_xlfn.NORM.INV(R478,C478,'Regressão Grupo 2'!$B$7)&gt;100%,100%,_xlfn.NORM.INV(R478,C478,'Regressão Grupo 2'!$B$7)))</f>
        <v>0.96508549727830972</v>
      </c>
      <c r="F478" s="39">
        <f>IF(_xlfn.NORM.INV(S478,D478,'Regressão Grupo 2'!$B$7)&lt;=0,0,IF(_xlfn.NORM.INV(S478,D478,'Regressão Grupo 2'!$B$7)&gt;100%,100%,_xlfn.NORM.INV(S478,D478,'Regressão Grupo 2'!$B$7)))</f>
        <v>0.79303010207649316</v>
      </c>
      <c r="G478" s="41">
        <v>2.6187147907193453E-2</v>
      </c>
      <c r="H478" s="41">
        <v>1.3876769288125191E-3</v>
      </c>
      <c r="I478" s="40">
        <f t="shared" si="86"/>
        <v>0</v>
      </c>
      <c r="J478" s="40">
        <f t="shared" si="87"/>
        <v>22.009391530107731</v>
      </c>
      <c r="K478" s="36">
        <v>0.33311948349601966</v>
      </c>
      <c r="L478" s="42">
        <f t="shared" si="93"/>
        <v>0</v>
      </c>
      <c r="M478" s="42">
        <f t="shared" si="93"/>
        <v>20000</v>
      </c>
      <c r="N478" s="42">
        <f t="shared" si="88"/>
        <v>6662.3896699203933</v>
      </c>
      <c r="O478" s="36">
        <v>4.3821538171109591</v>
      </c>
      <c r="P478" s="42">
        <f t="shared" si="89"/>
        <v>-5658.3686325209583</v>
      </c>
      <c r="Q478" s="42"/>
      <c r="R478">
        <v>0.31601916562395094</v>
      </c>
      <c r="S478">
        <v>0.26468703268532368</v>
      </c>
    </row>
    <row r="479" spans="1:19" x14ac:dyDescent="0.25">
      <c r="A479" s="40">
        <f t="shared" si="90"/>
        <v>0</v>
      </c>
      <c r="B479" s="40">
        <f t="shared" si="91"/>
        <v>50</v>
      </c>
      <c r="C479" s="41">
        <f t="shared" si="84"/>
        <v>1.0313000000000001</v>
      </c>
      <c r="D479" s="41">
        <f t="shared" si="85"/>
        <v>0.88000000000000012</v>
      </c>
      <c r="E479" s="39">
        <f>IF(_xlfn.NORM.INV(R479,C479,'Regressão Grupo 2'!$B$7)&lt;=0,0,IF(_xlfn.NORM.INV(R479,C479,'Regressão Grupo 2'!$B$7)&gt;100%,100%,_xlfn.NORM.INV(R479,C479,'Regressão Grupo 2'!$B$7)))</f>
        <v>0.92971282006430733</v>
      </c>
      <c r="F479" s="39">
        <f>IF(_xlfn.NORM.INV(S479,D479,'Regressão Grupo 2'!$B$7)&lt;=0,0,IF(_xlfn.NORM.INV(S479,D479,'Regressão Grupo 2'!$B$7)&gt;100%,100%,_xlfn.NORM.INV(S479,D479,'Regressão Grupo 2'!$B$7)))</f>
        <v>0.63720113368159503</v>
      </c>
      <c r="G479" s="41">
        <v>2.0974031283201421E-2</v>
      </c>
      <c r="H479" s="41">
        <v>2.1940386956347945E-2</v>
      </c>
      <c r="I479" s="40">
        <f t="shared" si="86"/>
        <v>0</v>
      </c>
      <c r="J479" s="40">
        <f t="shared" si="87"/>
        <v>279.60878883995582</v>
      </c>
      <c r="K479" s="36">
        <v>0.27080703470899292</v>
      </c>
      <c r="L479" s="42">
        <f t="shared" si="93"/>
        <v>0</v>
      </c>
      <c r="M479" s="42">
        <f t="shared" si="93"/>
        <v>20000</v>
      </c>
      <c r="N479" s="42">
        <f t="shared" si="88"/>
        <v>5416.1406941798587</v>
      </c>
      <c r="O479" s="36">
        <v>4.6272602568264745</v>
      </c>
      <c r="P479" s="42">
        <f t="shared" si="89"/>
        <v>7270.476111759418</v>
      </c>
      <c r="Q479" s="42"/>
      <c r="R479">
        <v>0.23126926480910673</v>
      </c>
      <c r="S479">
        <v>3.9551988280892361E-2</v>
      </c>
    </row>
    <row r="480" spans="1:19" x14ac:dyDescent="0.25">
      <c r="A480" s="40">
        <f t="shared" si="90"/>
        <v>0</v>
      </c>
      <c r="B480" s="40">
        <f t="shared" si="91"/>
        <v>50</v>
      </c>
      <c r="C480" s="41">
        <f t="shared" si="84"/>
        <v>1.0313000000000001</v>
      </c>
      <c r="D480" s="41">
        <f t="shared" si="85"/>
        <v>0.88000000000000012</v>
      </c>
      <c r="E480" s="39">
        <f>IF(_xlfn.NORM.INV(R480,C480,'Regressão Grupo 2'!$B$7)&lt;=0,0,IF(_xlfn.NORM.INV(R480,C480,'Regressão Grupo 2'!$B$7)&gt;100%,100%,_xlfn.NORM.INV(R480,C480,'Regressão Grupo 2'!$B$7)))</f>
        <v>1</v>
      </c>
      <c r="F480" s="39">
        <f>IF(_xlfn.NORM.INV(S480,D480,'Regressão Grupo 2'!$B$7)&lt;=0,0,IF(_xlfn.NORM.INV(S480,D480,'Regressão Grupo 2'!$B$7)&gt;100%,100%,_xlfn.NORM.INV(S480,D480,'Regressão Grupo 2'!$B$7)))</f>
        <v>0.88475568688083317</v>
      </c>
      <c r="G480" s="41">
        <v>2.1228486351005972E-2</v>
      </c>
      <c r="H480" s="41">
        <v>1.2279127913147336E-2</v>
      </c>
      <c r="I480" s="40">
        <f t="shared" si="86"/>
        <v>0</v>
      </c>
      <c r="J480" s="40">
        <f t="shared" si="87"/>
        <v>217.28056502188568</v>
      </c>
      <c r="K480" s="36">
        <v>0.32889461469803616</v>
      </c>
      <c r="L480" s="42">
        <f t="shared" si="93"/>
        <v>0</v>
      </c>
      <c r="M480" s="42">
        <f t="shared" si="93"/>
        <v>20000</v>
      </c>
      <c r="N480" s="42">
        <f t="shared" si="88"/>
        <v>6577.8922939607228</v>
      </c>
      <c r="O480" s="36">
        <v>5.2078649975521616</v>
      </c>
      <c r="P480" s="42">
        <f t="shared" si="89"/>
        <v>3154.5681079077249</v>
      </c>
      <c r="Q480" s="42"/>
      <c r="R480">
        <v>0.55262916959135711</v>
      </c>
      <c r="S480">
        <v>0.51371807000946079</v>
      </c>
    </row>
    <row r="481" spans="1:19" x14ac:dyDescent="0.25">
      <c r="A481" s="40">
        <f t="shared" si="90"/>
        <v>0</v>
      </c>
      <c r="B481" s="40">
        <f t="shared" si="91"/>
        <v>50</v>
      </c>
      <c r="C481" s="41">
        <f t="shared" si="84"/>
        <v>1.0313000000000001</v>
      </c>
      <c r="D481" s="41">
        <f t="shared" si="85"/>
        <v>0.88000000000000012</v>
      </c>
      <c r="E481" s="39">
        <f>IF(_xlfn.NORM.INV(R481,C481,'Regressão Grupo 2'!$B$7)&lt;=0,0,IF(_xlfn.NORM.INV(R481,C481,'Regressão Grupo 2'!$B$7)&gt;100%,100%,_xlfn.NORM.INV(R481,C481,'Regressão Grupo 2'!$B$7)))</f>
        <v>1</v>
      </c>
      <c r="F481" s="39">
        <f>IF(_xlfn.NORM.INV(S481,D481,'Regressão Grupo 2'!$B$7)&lt;=0,0,IF(_xlfn.NORM.INV(S481,D481,'Regressão Grupo 2'!$B$7)&gt;100%,100%,_xlfn.NORM.INV(S481,D481,'Regressão Grupo 2'!$B$7)))</f>
        <v>1</v>
      </c>
      <c r="G481" s="41">
        <v>2.4064834953456224E-2</v>
      </c>
      <c r="H481" s="41">
        <v>2.5938422968145594E-2</v>
      </c>
      <c r="I481" s="40">
        <f t="shared" si="86"/>
        <v>0</v>
      </c>
      <c r="J481" s="40">
        <f t="shared" si="87"/>
        <v>518.76845936291193</v>
      </c>
      <c r="K481" s="36">
        <v>0.22887004921965565</v>
      </c>
      <c r="L481" s="42">
        <f t="shared" si="93"/>
        <v>0</v>
      </c>
      <c r="M481" s="42">
        <f t="shared" si="93"/>
        <v>20000</v>
      </c>
      <c r="N481" s="42">
        <f t="shared" si="88"/>
        <v>4577.4009843931126</v>
      </c>
      <c r="O481" s="36">
        <v>6.6902368771489336</v>
      </c>
      <c r="P481" s="42">
        <f t="shared" si="89"/>
        <v>17890.338106220996</v>
      </c>
      <c r="Q481" s="42"/>
      <c r="R481">
        <v>0.68761253700369274</v>
      </c>
      <c r="S481">
        <v>0.82036805322428052</v>
      </c>
    </row>
    <row r="482" spans="1:19" x14ac:dyDescent="0.25">
      <c r="A482" s="40">
        <f t="shared" si="90"/>
        <v>0</v>
      </c>
      <c r="B482" s="40">
        <f t="shared" si="91"/>
        <v>50</v>
      </c>
      <c r="C482" s="41">
        <f t="shared" si="84"/>
        <v>1.0313000000000001</v>
      </c>
      <c r="D482" s="41">
        <f t="shared" si="85"/>
        <v>0.88000000000000012</v>
      </c>
      <c r="E482" s="39">
        <f>IF(_xlfn.NORM.INV(R482,C482,'Regressão Grupo 2'!$B$7)&lt;=0,0,IF(_xlfn.NORM.INV(R482,C482,'Regressão Grupo 2'!$B$7)&gt;100%,100%,_xlfn.NORM.INV(R482,C482,'Regressão Grupo 2'!$B$7)))</f>
        <v>1</v>
      </c>
      <c r="F482" s="39">
        <f>IF(_xlfn.NORM.INV(S482,D482,'Regressão Grupo 2'!$B$7)&lt;=0,0,IF(_xlfn.NORM.INV(S482,D482,'Regressão Grupo 2'!$B$7)&gt;100%,100%,_xlfn.NORM.INV(S482,D482,'Regressão Grupo 2'!$B$7)))</f>
        <v>0.97312921900276128</v>
      </c>
      <c r="G482" s="41">
        <v>1.6329035391364641E-2</v>
      </c>
      <c r="H482" s="41">
        <v>2.211773739512559E-2</v>
      </c>
      <c r="I482" s="40">
        <f t="shared" si="86"/>
        <v>0</v>
      </c>
      <c r="J482" s="40">
        <f t="shared" si="87"/>
        <v>430.46833034853466</v>
      </c>
      <c r="K482" s="36">
        <v>0.31678146719908828</v>
      </c>
      <c r="L482" s="42">
        <f t="shared" si="93"/>
        <v>0</v>
      </c>
      <c r="M482" s="42">
        <f t="shared" si="93"/>
        <v>20000</v>
      </c>
      <c r="N482" s="42">
        <f t="shared" si="88"/>
        <v>6335.6293439817655</v>
      </c>
      <c r="O482" s="36">
        <v>3.4740595721016994</v>
      </c>
      <c r="P482" s="42">
        <f t="shared" si="89"/>
        <v>13692.314549911005</v>
      </c>
      <c r="Q482" s="42"/>
      <c r="R482">
        <v>0.4817346720786157</v>
      </c>
      <c r="S482">
        <v>0.74968718527787104</v>
      </c>
    </row>
    <row r="483" spans="1:19" x14ac:dyDescent="0.25">
      <c r="A483" s="40">
        <f t="shared" si="90"/>
        <v>0</v>
      </c>
      <c r="B483" s="40">
        <f t="shared" si="91"/>
        <v>50</v>
      </c>
      <c r="C483" s="41">
        <f t="shared" si="84"/>
        <v>1.0313000000000001</v>
      </c>
      <c r="D483" s="41">
        <f t="shared" si="85"/>
        <v>0.88000000000000012</v>
      </c>
      <c r="E483" s="39">
        <f>IF(_xlfn.NORM.INV(R483,C483,'Regressão Grupo 2'!$B$7)&lt;=0,0,IF(_xlfn.NORM.INV(R483,C483,'Regressão Grupo 2'!$B$7)&gt;100%,100%,_xlfn.NORM.INV(R483,C483,'Regressão Grupo 2'!$B$7)))</f>
        <v>0.99491439981884244</v>
      </c>
      <c r="F483" s="39">
        <f>IF(_xlfn.NORM.INV(S483,D483,'Regressão Grupo 2'!$B$7)&lt;=0,0,IF(_xlfn.NORM.INV(S483,D483,'Regressão Grupo 2'!$B$7)&gt;100%,100%,_xlfn.NORM.INV(S483,D483,'Regressão Grupo 2'!$B$7)))</f>
        <v>1</v>
      </c>
      <c r="G483" s="41">
        <v>1.1315711751003259E-2</v>
      </c>
      <c r="H483" s="41">
        <v>7.8589356377350966E-3</v>
      </c>
      <c r="I483" s="40">
        <f t="shared" si="86"/>
        <v>0</v>
      </c>
      <c r="J483" s="40">
        <f t="shared" si="87"/>
        <v>157.17871275470193</v>
      </c>
      <c r="K483" s="36">
        <v>0.22761889729494353</v>
      </c>
      <c r="L483" s="42">
        <f t="shared" si="93"/>
        <v>0</v>
      </c>
      <c r="M483" s="42">
        <f t="shared" si="93"/>
        <v>20000</v>
      </c>
      <c r="N483" s="42">
        <f t="shared" si="88"/>
        <v>4552.3779458988702</v>
      </c>
      <c r="O483" s="36">
        <v>5.5610729314388321</v>
      </c>
      <c r="P483" s="42">
        <f t="shared" si="89"/>
        <v>2432.475406937654</v>
      </c>
      <c r="Q483" s="42"/>
      <c r="R483">
        <v>0.39622180852687156</v>
      </c>
      <c r="S483">
        <v>0.98596148564104125</v>
      </c>
    </row>
    <row r="484" spans="1:19" x14ac:dyDescent="0.25">
      <c r="A484" s="40">
        <f t="shared" si="90"/>
        <v>0</v>
      </c>
      <c r="B484" s="40">
        <f t="shared" si="91"/>
        <v>50</v>
      </c>
      <c r="C484" s="41">
        <f t="shared" si="84"/>
        <v>1.0313000000000001</v>
      </c>
      <c r="D484" s="41">
        <f t="shared" si="85"/>
        <v>0.88000000000000012</v>
      </c>
      <c r="E484" s="39">
        <f>IF(_xlfn.NORM.INV(R484,C484,'Regressão Grupo 2'!$B$7)&lt;=0,0,IF(_xlfn.NORM.INV(R484,C484,'Regressão Grupo 2'!$B$7)&gt;100%,100%,_xlfn.NORM.INV(R484,C484,'Regressão Grupo 2'!$B$7)))</f>
        <v>1</v>
      </c>
      <c r="F484" s="39">
        <f>IF(_xlfn.NORM.INV(S484,D484,'Regressão Grupo 2'!$B$7)&lt;=0,0,IF(_xlfn.NORM.INV(S484,D484,'Regressão Grupo 2'!$B$7)&gt;100%,100%,_xlfn.NORM.INV(S484,D484,'Regressão Grupo 2'!$B$7)))</f>
        <v>0.6978547763931201</v>
      </c>
      <c r="G484" s="41">
        <v>1.3979280278994441E-2</v>
      </c>
      <c r="H484" s="41">
        <v>1.350352236042353E-2</v>
      </c>
      <c r="I484" s="40">
        <f t="shared" si="86"/>
        <v>0</v>
      </c>
      <c r="J484" s="40">
        <f t="shared" si="87"/>
        <v>188.46995154705718</v>
      </c>
      <c r="K484" s="36">
        <v>0.28267500181510052</v>
      </c>
      <c r="L484" s="42">
        <f t="shared" si="93"/>
        <v>0</v>
      </c>
      <c r="M484" s="42">
        <f t="shared" si="93"/>
        <v>20000</v>
      </c>
      <c r="N484" s="42">
        <f t="shared" si="88"/>
        <v>5653.5000363020108</v>
      </c>
      <c r="O484" s="36">
        <v>6.9810652216176061</v>
      </c>
      <c r="P484" s="42">
        <f t="shared" si="89"/>
        <v>2454.2765169857312</v>
      </c>
      <c r="Q484" s="42"/>
      <c r="R484">
        <v>0.48753318887905517</v>
      </c>
      <c r="S484">
        <v>9.387493514816736E-2</v>
      </c>
    </row>
    <row r="485" spans="1:19" x14ac:dyDescent="0.25">
      <c r="A485" s="40">
        <f t="shared" si="90"/>
        <v>0</v>
      </c>
      <c r="B485" s="40">
        <f t="shared" si="91"/>
        <v>50</v>
      </c>
      <c r="C485" s="41">
        <f t="shared" si="84"/>
        <v>1.0313000000000001</v>
      </c>
      <c r="D485" s="41">
        <f t="shared" si="85"/>
        <v>0.88000000000000012</v>
      </c>
      <c r="E485" s="39">
        <f>IF(_xlfn.NORM.INV(R485,C485,'Regressão Grupo 2'!$B$7)&lt;=0,0,IF(_xlfn.NORM.INV(R485,C485,'Regressão Grupo 2'!$B$7)&gt;100%,100%,_xlfn.NORM.INV(R485,C485,'Regressão Grupo 2'!$B$7)))</f>
        <v>1</v>
      </c>
      <c r="F485" s="39">
        <f>IF(_xlfn.NORM.INV(S485,D485,'Regressão Grupo 2'!$B$7)&lt;=0,0,IF(_xlfn.NORM.INV(S485,D485,'Regressão Grupo 2'!$B$7)&gt;100%,100%,_xlfn.NORM.INV(S485,D485,'Regressão Grupo 2'!$B$7)))</f>
        <v>0.66365598291113415</v>
      </c>
      <c r="G485" s="41">
        <v>1.9902355729418623E-2</v>
      </c>
      <c r="H485" s="41">
        <v>1.042384980806837E-2</v>
      </c>
      <c r="I485" s="40">
        <f t="shared" si="86"/>
        <v>0</v>
      </c>
      <c r="J485" s="40">
        <f t="shared" si="87"/>
        <v>138.35700580183303</v>
      </c>
      <c r="K485" s="36">
        <v>0.31323581115207616</v>
      </c>
      <c r="L485" s="42">
        <f t="shared" si="93"/>
        <v>0</v>
      </c>
      <c r="M485" s="42">
        <f t="shared" si="93"/>
        <v>20000</v>
      </c>
      <c r="N485" s="42">
        <f t="shared" si="88"/>
        <v>6264.7162230415233</v>
      </c>
      <c r="O485" s="36">
        <v>5.0199511654879858</v>
      </c>
      <c r="P485" s="42">
        <f t="shared" si="89"/>
        <v>-41.411345478211842</v>
      </c>
      <c r="Q485" s="42"/>
      <c r="R485">
        <v>0.67143772698141424</v>
      </c>
      <c r="S485">
        <v>5.8839686269722587E-2</v>
      </c>
    </row>
    <row r="486" spans="1:19" x14ac:dyDescent="0.25">
      <c r="A486" s="40">
        <f t="shared" si="90"/>
        <v>0</v>
      </c>
      <c r="B486" s="40">
        <f t="shared" si="91"/>
        <v>50</v>
      </c>
      <c r="C486" s="41">
        <f t="shared" si="84"/>
        <v>1.0313000000000001</v>
      </c>
      <c r="D486" s="41">
        <f t="shared" si="85"/>
        <v>0.88000000000000012</v>
      </c>
      <c r="E486" s="39">
        <f>IF(_xlfn.NORM.INV(R486,C486,'Regressão Grupo 2'!$B$7)&lt;=0,0,IF(_xlfn.NORM.INV(R486,C486,'Regressão Grupo 2'!$B$7)&gt;100%,100%,_xlfn.NORM.INV(R486,C486,'Regressão Grupo 2'!$B$7)))</f>
        <v>0.85894396968546094</v>
      </c>
      <c r="F486" s="39">
        <f>IF(_xlfn.NORM.INV(S486,D486,'Regressão Grupo 2'!$B$7)&lt;=0,0,IF(_xlfn.NORM.INV(S486,D486,'Regressão Grupo 2'!$B$7)&gt;100%,100%,_xlfn.NORM.INV(S486,D486,'Regressão Grupo 2'!$B$7)))</f>
        <v>0.72116290871453559</v>
      </c>
      <c r="G486" s="41">
        <v>1.9426343015690236E-2</v>
      </c>
      <c r="H486" s="41">
        <v>2.569791450839216E-2</v>
      </c>
      <c r="I486" s="40">
        <f t="shared" si="86"/>
        <v>0</v>
      </c>
      <c r="J486" s="40">
        <f t="shared" si="87"/>
        <v>370.64765549539106</v>
      </c>
      <c r="K486" s="36">
        <v>0.36242679463939598</v>
      </c>
      <c r="L486" s="42">
        <f t="shared" si="93"/>
        <v>0</v>
      </c>
      <c r="M486" s="42">
        <f t="shared" si="93"/>
        <v>20000</v>
      </c>
      <c r="N486" s="42">
        <f t="shared" si="88"/>
        <v>7248.5358927879197</v>
      </c>
      <c r="O486" s="36">
        <v>5.5057169108549049</v>
      </c>
      <c r="P486" s="42">
        <f t="shared" si="89"/>
        <v>9243.1658171519375</v>
      </c>
      <c r="Q486" s="42"/>
      <c r="R486">
        <v>0.10629596850489823</v>
      </c>
      <c r="S486">
        <v>0.12533951841792046</v>
      </c>
    </row>
    <row r="487" spans="1:19" x14ac:dyDescent="0.25">
      <c r="A487" s="40">
        <f t="shared" si="90"/>
        <v>0</v>
      </c>
      <c r="B487" s="40">
        <f t="shared" si="91"/>
        <v>50</v>
      </c>
      <c r="C487" s="41">
        <f t="shared" si="84"/>
        <v>1.0313000000000001</v>
      </c>
      <c r="D487" s="41">
        <f t="shared" si="85"/>
        <v>0.88000000000000012</v>
      </c>
      <c r="E487" s="39">
        <f>IF(_xlfn.NORM.INV(R487,C487,'Regressão Grupo 2'!$B$7)&lt;=0,0,IF(_xlfn.NORM.INV(R487,C487,'Regressão Grupo 2'!$B$7)&gt;100%,100%,_xlfn.NORM.INV(R487,C487,'Regressão Grupo 2'!$B$7)))</f>
        <v>1</v>
      </c>
      <c r="F487" s="39">
        <f>IF(_xlfn.NORM.INV(S487,D487,'Regressão Grupo 2'!$B$7)&lt;=0,0,IF(_xlfn.NORM.INV(S487,D487,'Regressão Grupo 2'!$B$7)&gt;100%,100%,_xlfn.NORM.INV(S487,D487,'Regressão Grupo 2'!$B$7)))</f>
        <v>0.72658529751987611</v>
      </c>
      <c r="G487" s="41">
        <v>1.5651716660993936E-2</v>
      </c>
      <c r="H487" s="41">
        <v>2.0109745159115351E-2</v>
      </c>
      <c r="I487" s="40">
        <f t="shared" si="86"/>
        <v>0</v>
      </c>
      <c r="J487" s="40">
        <f t="shared" si="87"/>
        <v>292.22890338969432</v>
      </c>
      <c r="K487" s="36">
        <v>0.37456644858363114</v>
      </c>
      <c r="L487" s="42">
        <f t="shared" ref="L487:M502" si="94">L486</f>
        <v>0</v>
      </c>
      <c r="M487" s="42">
        <f t="shared" si="94"/>
        <v>20000</v>
      </c>
      <c r="N487" s="42">
        <f t="shared" si="88"/>
        <v>7491.3289716726231</v>
      </c>
      <c r="O487" s="36">
        <v>7.3893057521747032</v>
      </c>
      <c r="P487" s="42">
        <f t="shared" si="89"/>
        <v>4960.7474810429194</v>
      </c>
      <c r="Q487" s="42"/>
      <c r="R487">
        <v>0.71236304818872642</v>
      </c>
      <c r="S487">
        <v>0.13361003448591571</v>
      </c>
    </row>
    <row r="488" spans="1:19" x14ac:dyDescent="0.25">
      <c r="A488" s="40">
        <f t="shared" si="90"/>
        <v>0</v>
      </c>
      <c r="B488" s="40">
        <f t="shared" si="91"/>
        <v>50</v>
      </c>
      <c r="C488" s="41">
        <f t="shared" si="84"/>
        <v>1.0313000000000001</v>
      </c>
      <c r="D488" s="41">
        <f t="shared" si="85"/>
        <v>0.88000000000000012</v>
      </c>
      <c r="E488" s="39">
        <f>IF(_xlfn.NORM.INV(R488,C488,'Regressão Grupo 2'!$B$7)&lt;=0,0,IF(_xlfn.NORM.INV(R488,C488,'Regressão Grupo 2'!$B$7)&gt;100%,100%,_xlfn.NORM.INV(R488,C488,'Regressão Grupo 2'!$B$7)))</f>
        <v>1</v>
      </c>
      <c r="F488" s="39">
        <f>IF(_xlfn.NORM.INV(S488,D488,'Regressão Grupo 2'!$B$7)&lt;=0,0,IF(_xlfn.NORM.INV(S488,D488,'Regressão Grupo 2'!$B$7)&gt;100%,100%,_xlfn.NORM.INV(S488,D488,'Regressão Grupo 2'!$B$7)))</f>
        <v>0.93286413965787673</v>
      </c>
      <c r="G488" s="41">
        <v>1.5881002928197958E-2</v>
      </c>
      <c r="H488" s="41">
        <v>1.0936611139419482E-2</v>
      </c>
      <c r="I488" s="40">
        <f t="shared" si="86"/>
        <v>0</v>
      </c>
      <c r="J488" s="40">
        <f t="shared" si="87"/>
        <v>204.04744682694613</v>
      </c>
      <c r="K488" s="36">
        <v>0.24724779906514327</v>
      </c>
      <c r="L488" s="42">
        <f t="shared" si="94"/>
        <v>0</v>
      </c>
      <c r="M488" s="42">
        <f t="shared" si="94"/>
        <v>20000</v>
      </c>
      <c r="N488" s="42">
        <f t="shared" si="88"/>
        <v>4944.9559813028654</v>
      </c>
      <c r="O488" s="36">
        <v>5.6387880431706954</v>
      </c>
      <c r="P488" s="42">
        <f t="shared" si="89"/>
        <v>4106.8360566371493</v>
      </c>
      <c r="Q488" s="42"/>
      <c r="R488">
        <v>0.47886593218787193</v>
      </c>
      <c r="S488">
        <v>0.64888454847865229</v>
      </c>
    </row>
    <row r="489" spans="1:19" x14ac:dyDescent="0.25">
      <c r="A489" s="40">
        <f t="shared" si="90"/>
        <v>0</v>
      </c>
      <c r="B489" s="40">
        <f t="shared" si="91"/>
        <v>50</v>
      </c>
      <c r="C489" s="41">
        <f t="shared" si="84"/>
        <v>1.0313000000000001</v>
      </c>
      <c r="D489" s="41">
        <f t="shared" si="85"/>
        <v>0.88000000000000012</v>
      </c>
      <c r="E489" s="39">
        <f>IF(_xlfn.NORM.INV(R489,C489,'Regressão Grupo 2'!$B$7)&lt;=0,0,IF(_xlfn.NORM.INV(R489,C489,'Regressão Grupo 2'!$B$7)&gt;100%,100%,_xlfn.NORM.INV(R489,C489,'Regressão Grupo 2'!$B$7)))</f>
        <v>1</v>
      </c>
      <c r="F489" s="39">
        <f>IF(_xlfn.NORM.INV(S489,D489,'Regressão Grupo 2'!$B$7)&lt;=0,0,IF(_xlfn.NORM.INV(S489,D489,'Regressão Grupo 2'!$B$7)&gt;100%,100%,_xlfn.NORM.INV(S489,D489,'Regressão Grupo 2'!$B$7)))</f>
        <v>0.63857292098994778</v>
      </c>
      <c r="G489" s="41">
        <v>1.8064136919340654E-2</v>
      </c>
      <c r="H489" s="41">
        <v>2.3476409457054634E-2</v>
      </c>
      <c r="I489" s="40">
        <f t="shared" si="86"/>
        <v>0</v>
      </c>
      <c r="J489" s="40">
        <f t="shared" si="87"/>
        <v>299.82798722694821</v>
      </c>
      <c r="K489" s="36">
        <v>0.31134438910599671</v>
      </c>
      <c r="L489" s="42">
        <f t="shared" si="94"/>
        <v>0</v>
      </c>
      <c r="M489" s="42">
        <f t="shared" si="94"/>
        <v>20000</v>
      </c>
      <c r="N489" s="42">
        <f t="shared" si="88"/>
        <v>6226.8877821199339</v>
      </c>
      <c r="O489" s="36">
        <v>6.6827306997487721</v>
      </c>
      <c r="P489" s="42">
        <f t="shared" si="89"/>
        <v>6760.8418843420668</v>
      </c>
      <c r="Q489" s="42"/>
      <c r="R489">
        <v>0.923429059724723</v>
      </c>
      <c r="S489">
        <v>4.0406506546220286E-2</v>
      </c>
    </row>
    <row r="490" spans="1:19" x14ac:dyDescent="0.25">
      <c r="A490" s="40">
        <f t="shared" si="90"/>
        <v>0</v>
      </c>
      <c r="B490" s="40">
        <f t="shared" si="91"/>
        <v>50</v>
      </c>
      <c r="C490" s="41">
        <f t="shared" si="84"/>
        <v>1.0313000000000001</v>
      </c>
      <c r="D490" s="41">
        <f t="shared" si="85"/>
        <v>0.88000000000000012</v>
      </c>
      <c r="E490" s="39">
        <f>IF(_xlfn.NORM.INV(R490,C490,'Regressão Grupo 2'!$B$7)&lt;=0,0,IF(_xlfn.NORM.INV(R490,C490,'Regressão Grupo 2'!$B$7)&gt;100%,100%,_xlfn.NORM.INV(R490,C490,'Regressão Grupo 2'!$B$7)))</f>
        <v>1</v>
      </c>
      <c r="F490" s="39">
        <f>IF(_xlfn.NORM.INV(S490,D490,'Regressão Grupo 2'!$B$7)&lt;=0,0,IF(_xlfn.NORM.INV(S490,D490,'Regressão Grupo 2'!$B$7)&gt;100%,100%,_xlfn.NORM.INV(S490,D490,'Regressão Grupo 2'!$B$7)))</f>
        <v>0.85149838520065968</v>
      </c>
      <c r="G490" s="41">
        <v>2.0588550851218041E-2</v>
      </c>
      <c r="H490" s="41">
        <v>1.8710637737254163E-2</v>
      </c>
      <c r="I490" s="40">
        <f t="shared" si="86"/>
        <v>0</v>
      </c>
      <c r="J490" s="40">
        <f t="shared" si="87"/>
        <v>318.64155638692887</v>
      </c>
      <c r="K490" s="36">
        <v>0.31516571352911771</v>
      </c>
      <c r="L490" s="42">
        <f t="shared" si="94"/>
        <v>0</v>
      </c>
      <c r="M490" s="42">
        <f t="shared" si="94"/>
        <v>20000</v>
      </c>
      <c r="N490" s="42">
        <f t="shared" si="88"/>
        <v>6303.3142705823539</v>
      </c>
      <c r="O490" s="36">
        <v>6.864207514648756</v>
      </c>
      <c r="P490" s="42">
        <f t="shared" si="89"/>
        <v>7441.5417829335565</v>
      </c>
      <c r="Q490" s="42"/>
      <c r="R490">
        <v>0.48423718985564745</v>
      </c>
      <c r="S490">
        <v>0.4183477278969695</v>
      </c>
    </row>
    <row r="491" spans="1:19" x14ac:dyDescent="0.25">
      <c r="A491" s="40">
        <f t="shared" si="90"/>
        <v>0</v>
      </c>
      <c r="B491" s="40">
        <f t="shared" si="91"/>
        <v>50</v>
      </c>
      <c r="C491" s="41">
        <f t="shared" si="84"/>
        <v>1.0313000000000001</v>
      </c>
      <c r="D491" s="41">
        <f t="shared" si="85"/>
        <v>0.88000000000000012</v>
      </c>
      <c r="E491" s="39">
        <f>IF(_xlfn.NORM.INV(R491,C491,'Regressão Grupo 2'!$B$7)&lt;=0,0,IF(_xlfn.NORM.INV(R491,C491,'Regressão Grupo 2'!$B$7)&gt;100%,100%,_xlfn.NORM.INV(R491,C491,'Regressão Grupo 2'!$B$7)))</f>
        <v>0.98524753483942462</v>
      </c>
      <c r="F491" s="39">
        <f>IF(_xlfn.NORM.INV(S491,D491,'Regressão Grupo 2'!$B$7)&lt;=0,0,IF(_xlfn.NORM.INV(S491,D491,'Regressão Grupo 2'!$B$7)&gt;100%,100%,_xlfn.NORM.INV(S491,D491,'Regressão Grupo 2'!$B$7)))</f>
        <v>0.70627842433437626</v>
      </c>
      <c r="G491" s="41">
        <v>2.7119334081906043E-2</v>
      </c>
      <c r="H491" s="41">
        <v>1.686762860681229E-2</v>
      </c>
      <c r="I491" s="40">
        <f t="shared" si="86"/>
        <v>0</v>
      </c>
      <c r="J491" s="40">
        <f t="shared" si="87"/>
        <v>238.26484309353668</v>
      </c>
      <c r="K491" s="36">
        <v>0.28993520535347317</v>
      </c>
      <c r="L491" s="42">
        <f t="shared" si="94"/>
        <v>0</v>
      </c>
      <c r="M491" s="42">
        <f t="shared" si="94"/>
        <v>20000</v>
      </c>
      <c r="N491" s="42">
        <f t="shared" si="88"/>
        <v>5798.7041070694631</v>
      </c>
      <c r="O491" s="36">
        <v>7.506523626188744</v>
      </c>
      <c r="P491" s="42">
        <f t="shared" si="89"/>
        <v>4325.9973736355842</v>
      </c>
      <c r="Q491" s="42"/>
      <c r="R491">
        <v>0.36954863124484999</v>
      </c>
      <c r="S491">
        <v>0.10449537644581439</v>
      </c>
    </row>
    <row r="492" spans="1:19" x14ac:dyDescent="0.25">
      <c r="A492" s="40">
        <f t="shared" si="90"/>
        <v>0</v>
      </c>
      <c r="B492" s="40">
        <f t="shared" si="91"/>
        <v>50</v>
      </c>
      <c r="C492" s="41">
        <f t="shared" si="84"/>
        <v>1.0313000000000001</v>
      </c>
      <c r="D492" s="41">
        <f t="shared" si="85"/>
        <v>0.88000000000000012</v>
      </c>
      <c r="E492" s="39">
        <f>IF(_xlfn.NORM.INV(R492,C492,'Regressão Grupo 2'!$B$7)&lt;=0,0,IF(_xlfn.NORM.INV(R492,C492,'Regressão Grupo 2'!$B$7)&gt;100%,100%,_xlfn.NORM.INV(R492,C492,'Regressão Grupo 2'!$B$7)))</f>
        <v>0.84298003561272683</v>
      </c>
      <c r="F492" s="39">
        <f>IF(_xlfn.NORM.INV(S492,D492,'Regressão Grupo 2'!$B$7)&lt;=0,0,IF(_xlfn.NORM.INV(S492,D492,'Regressão Grupo 2'!$B$7)&gt;100%,100%,_xlfn.NORM.INV(S492,D492,'Regressão Grupo 2'!$B$7)))</f>
        <v>0.77386862510903853</v>
      </c>
      <c r="G492" s="41">
        <v>2.5214672480942876E-2</v>
      </c>
      <c r="H492" s="41">
        <v>9.852289401409562E-3</v>
      </c>
      <c r="I492" s="40">
        <f t="shared" si="86"/>
        <v>0</v>
      </c>
      <c r="J492" s="40">
        <f t="shared" si="87"/>
        <v>152.48755306490338</v>
      </c>
      <c r="K492" s="36">
        <v>0.20808398576910608</v>
      </c>
      <c r="L492" s="42">
        <f t="shared" si="94"/>
        <v>0</v>
      </c>
      <c r="M492" s="42">
        <f t="shared" si="94"/>
        <v>20000</v>
      </c>
      <c r="N492" s="42">
        <f t="shared" si="88"/>
        <v>4161.6797153821217</v>
      </c>
      <c r="O492" s="36">
        <v>2.8053320738219947</v>
      </c>
      <c r="P492" s="42">
        <f t="shared" si="89"/>
        <v>3034.9197143914407</v>
      </c>
      <c r="Q492" s="42"/>
      <c r="R492">
        <v>8.6611529892880026E-2</v>
      </c>
      <c r="S492">
        <v>0.22138126773888364</v>
      </c>
    </row>
    <row r="493" spans="1:19" x14ac:dyDescent="0.25">
      <c r="A493" s="40">
        <f t="shared" si="90"/>
        <v>0</v>
      </c>
      <c r="B493" s="40">
        <f t="shared" si="91"/>
        <v>50</v>
      </c>
      <c r="C493" s="41">
        <f t="shared" si="84"/>
        <v>1.0313000000000001</v>
      </c>
      <c r="D493" s="41">
        <f t="shared" si="85"/>
        <v>0.88000000000000012</v>
      </c>
      <c r="E493" s="39">
        <f>IF(_xlfn.NORM.INV(R493,C493,'Regressão Grupo 2'!$B$7)&lt;=0,0,IF(_xlfn.NORM.INV(R493,C493,'Regressão Grupo 2'!$B$7)&gt;100%,100%,_xlfn.NORM.INV(R493,C493,'Regressão Grupo 2'!$B$7)))</f>
        <v>0.88640189959958415</v>
      </c>
      <c r="F493" s="39">
        <f>IF(_xlfn.NORM.INV(S493,D493,'Regressão Grupo 2'!$B$7)&lt;=0,0,IF(_xlfn.NORM.INV(S493,D493,'Regressão Grupo 2'!$B$7)&gt;100%,100%,_xlfn.NORM.INV(S493,D493,'Regressão Grupo 2'!$B$7)))</f>
        <v>0.74108389823870535</v>
      </c>
      <c r="G493" s="41">
        <v>1.4718999969886725E-2</v>
      </c>
      <c r="H493" s="41">
        <v>2.0284811948612362E-2</v>
      </c>
      <c r="I493" s="40">
        <f t="shared" si="86"/>
        <v>0</v>
      </c>
      <c r="J493" s="40">
        <f t="shared" si="87"/>
        <v>300.65495027833435</v>
      </c>
      <c r="K493" s="36">
        <v>0.26314202172344858</v>
      </c>
      <c r="L493" s="42">
        <f t="shared" si="94"/>
        <v>0</v>
      </c>
      <c r="M493" s="42">
        <f t="shared" si="94"/>
        <v>20000</v>
      </c>
      <c r="N493" s="42">
        <f t="shared" si="88"/>
        <v>5262.8404344689716</v>
      </c>
      <c r="O493" s="36">
        <v>6.8453965831483616</v>
      </c>
      <c r="P493" s="42">
        <f t="shared" si="89"/>
        <v>7711.8047101057964</v>
      </c>
      <c r="Q493" s="42"/>
      <c r="R493">
        <v>0.14734336375011445</v>
      </c>
      <c r="S493">
        <v>0.1575365459150975</v>
      </c>
    </row>
    <row r="494" spans="1:19" x14ac:dyDescent="0.25">
      <c r="A494" s="40">
        <f t="shared" si="90"/>
        <v>0</v>
      </c>
      <c r="B494" s="40">
        <f t="shared" si="91"/>
        <v>50</v>
      </c>
      <c r="C494" s="41">
        <f t="shared" si="84"/>
        <v>1.0313000000000001</v>
      </c>
      <c r="D494" s="41">
        <f t="shared" si="85"/>
        <v>0.88000000000000012</v>
      </c>
      <c r="E494" s="39">
        <f>IF(_xlfn.NORM.INV(R494,C494,'Regressão Grupo 2'!$B$7)&lt;=0,0,IF(_xlfn.NORM.INV(R494,C494,'Regressão Grupo 2'!$B$7)&gt;100%,100%,_xlfn.NORM.INV(R494,C494,'Regressão Grupo 2'!$B$7)))</f>
        <v>1</v>
      </c>
      <c r="F494" s="39">
        <f>IF(_xlfn.NORM.INV(S494,D494,'Regressão Grupo 2'!$B$7)&lt;=0,0,IF(_xlfn.NORM.INV(S494,D494,'Regressão Grupo 2'!$B$7)&gt;100%,100%,_xlfn.NORM.INV(S494,D494,'Regressão Grupo 2'!$B$7)))</f>
        <v>0.7785097790879969</v>
      </c>
      <c r="G494" s="41">
        <v>1.6977008222125986E-2</v>
      </c>
      <c r="H494" s="41">
        <v>2.2313550834835275E-2</v>
      </c>
      <c r="I494" s="40">
        <f t="shared" si="86"/>
        <v>0</v>
      </c>
      <c r="J494" s="40">
        <f t="shared" si="87"/>
        <v>347.42635062192801</v>
      </c>
      <c r="K494" s="36">
        <v>0.28083383861887201</v>
      </c>
      <c r="L494" s="42">
        <f t="shared" si="94"/>
        <v>0</v>
      </c>
      <c r="M494" s="42">
        <f t="shared" si="94"/>
        <v>20000</v>
      </c>
      <c r="N494" s="42">
        <f t="shared" si="88"/>
        <v>5616.6767723774401</v>
      </c>
      <c r="O494" s="36">
        <v>7.0644680581955921</v>
      </c>
      <c r="P494" s="42">
        <f t="shared" si="89"/>
        <v>9300.258402174888</v>
      </c>
      <c r="Q494" s="42"/>
      <c r="R494">
        <v>0.92629779961546677</v>
      </c>
      <c r="S494">
        <v>0.2314828943754387</v>
      </c>
    </row>
    <row r="495" spans="1:19" x14ac:dyDescent="0.25">
      <c r="A495" s="40">
        <f t="shared" si="90"/>
        <v>0</v>
      </c>
      <c r="B495" s="40">
        <f t="shared" si="91"/>
        <v>50</v>
      </c>
      <c r="C495" s="41">
        <f t="shared" si="84"/>
        <v>1.0313000000000001</v>
      </c>
      <c r="D495" s="41">
        <f t="shared" si="85"/>
        <v>0.88000000000000012</v>
      </c>
      <c r="E495" s="39">
        <f>IF(_xlfn.NORM.INV(R495,C495,'Regressão Grupo 2'!$B$7)&lt;=0,0,IF(_xlfn.NORM.INV(R495,C495,'Regressão Grupo 2'!$B$7)&gt;100%,100%,_xlfn.NORM.INV(R495,C495,'Regressão Grupo 2'!$B$7)))</f>
        <v>1</v>
      </c>
      <c r="F495" s="39">
        <f>IF(_xlfn.NORM.INV(S495,D495,'Regressão Grupo 2'!$B$7)&lt;=0,0,IF(_xlfn.NORM.INV(S495,D495,'Regressão Grupo 2'!$B$7)&gt;100%,100%,_xlfn.NORM.INV(S495,D495,'Regressão Grupo 2'!$B$7)))</f>
        <v>1</v>
      </c>
      <c r="G495" s="41">
        <v>2.4502576521173932E-2</v>
      </c>
      <c r="H495" s="41">
        <v>1.0273535550305924E-2</v>
      </c>
      <c r="I495" s="40">
        <f t="shared" si="86"/>
        <v>0</v>
      </c>
      <c r="J495" s="40">
        <f t="shared" si="87"/>
        <v>205.47071100611848</v>
      </c>
      <c r="K495" s="36">
        <v>0.37074225980519171</v>
      </c>
      <c r="L495" s="42">
        <f t="shared" si="94"/>
        <v>0</v>
      </c>
      <c r="M495" s="42">
        <f t="shared" si="94"/>
        <v>20000</v>
      </c>
      <c r="N495" s="42">
        <f t="shared" si="88"/>
        <v>7414.8451961038345</v>
      </c>
      <c r="O495" s="36">
        <v>5.8785343959868079</v>
      </c>
      <c r="P495" s="42">
        <f t="shared" si="89"/>
        <v>1650.8237121847569</v>
      </c>
      <c r="Q495" s="42"/>
      <c r="R495">
        <v>0.95370342112491224</v>
      </c>
      <c r="S495">
        <v>0.95718253120517593</v>
      </c>
    </row>
    <row r="496" spans="1:19" x14ac:dyDescent="0.25">
      <c r="A496" s="40">
        <f t="shared" si="90"/>
        <v>0</v>
      </c>
      <c r="B496" s="40">
        <f t="shared" si="91"/>
        <v>50</v>
      </c>
      <c r="C496" s="41">
        <f t="shared" si="84"/>
        <v>1.0313000000000001</v>
      </c>
      <c r="D496" s="41">
        <f t="shared" si="85"/>
        <v>0.88000000000000012</v>
      </c>
      <c r="E496" s="39">
        <f>IF(_xlfn.NORM.INV(R496,C496,'Regressão Grupo 2'!$B$7)&lt;=0,0,IF(_xlfn.NORM.INV(R496,C496,'Regressão Grupo 2'!$B$7)&gt;100%,100%,_xlfn.NORM.INV(R496,C496,'Regressão Grupo 2'!$B$7)))</f>
        <v>1</v>
      </c>
      <c r="F496" s="39">
        <f>IF(_xlfn.NORM.INV(S496,D496,'Regressão Grupo 2'!$B$7)&lt;=0,0,IF(_xlfn.NORM.INV(S496,D496,'Regressão Grupo 2'!$B$7)&gt;100%,100%,_xlfn.NORM.INV(S496,D496,'Regressão Grupo 2'!$B$7)))</f>
        <v>0.62758627100574604</v>
      </c>
      <c r="G496" s="41">
        <v>1.7282666043146509E-2</v>
      </c>
      <c r="H496" s="41">
        <v>1.3261181198259501E-2</v>
      </c>
      <c r="I496" s="40">
        <f t="shared" si="86"/>
        <v>0</v>
      </c>
      <c r="J496" s="40">
        <f t="shared" si="87"/>
        <v>166.45070514694382</v>
      </c>
      <c r="K496" s="36">
        <v>0.24116765753268049</v>
      </c>
      <c r="L496" s="42">
        <f t="shared" si="94"/>
        <v>0</v>
      </c>
      <c r="M496" s="42">
        <f t="shared" si="94"/>
        <v>20000</v>
      </c>
      <c r="N496" s="42">
        <f t="shared" si="88"/>
        <v>4823.3531506536101</v>
      </c>
      <c r="O496" s="36">
        <v>5.5617029182347775</v>
      </c>
      <c r="P496" s="42">
        <f t="shared" si="89"/>
        <v>2573.4327341355856</v>
      </c>
      <c r="Q496" s="42"/>
      <c r="R496">
        <v>0.68587298196356095</v>
      </c>
      <c r="S496">
        <v>3.3967101046784874E-2</v>
      </c>
    </row>
    <row r="497" spans="1:19" x14ac:dyDescent="0.25">
      <c r="A497" s="40">
        <f t="shared" si="90"/>
        <v>0</v>
      </c>
      <c r="B497" s="40">
        <f t="shared" si="91"/>
        <v>50</v>
      </c>
      <c r="C497" s="41">
        <f t="shared" si="84"/>
        <v>1.0313000000000001</v>
      </c>
      <c r="D497" s="41">
        <f t="shared" si="85"/>
        <v>0.88000000000000012</v>
      </c>
      <c r="E497" s="39">
        <f>IF(_xlfn.NORM.INV(R497,C497,'Regressão Grupo 2'!$B$7)&lt;=0,0,IF(_xlfn.NORM.INV(R497,C497,'Regressão Grupo 2'!$B$7)&gt;100%,100%,_xlfn.NORM.INV(R497,C497,'Regressão Grupo 2'!$B$7)))</f>
        <v>1</v>
      </c>
      <c r="F497" s="39">
        <f>IF(_xlfn.NORM.INV(S497,D497,'Regressão Grupo 2'!$B$7)&lt;=0,0,IF(_xlfn.NORM.INV(S497,D497,'Regressão Grupo 2'!$B$7)&gt;100%,100%,_xlfn.NORM.INV(S497,D497,'Regressão Grupo 2'!$B$7)))</f>
        <v>0.94121518989402431</v>
      </c>
      <c r="G497" s="41">
        <v>1.2386741616508577E-2</v>
      </c>
      <c r="H497" s="41">
        <v>1.2754037105712704E-2</v>
      </c>
      <c r="I497" s="40">
        <f t="shared" si="86"/>
        <v>0</v>
      </c>
      <c r="J497" s="40">
        <f t="shared" si="87"/>
        <v>240.0858691273763</v>
      </c>
      <c r="K497" s="36">
        <v>0.36835624177852444</v>
      </c>
      <c r="L497" s="42">
        <f t="shared" si="94"/>
        <v>0</v>
      </c>
      <c r="M497" s="42">
        <f t="shared" si="94"/>
        <v>20000</v>
      </c>
      <c r="N497" s="42">
        <f t="shared" si="88"/>
        <v>7367.1248355704884</v>
      </c>
      <c r="O497" s="36">
        <v>3.7193571925515112</v>
      </c>
      <c r="P497" s="42">
        <f t="shared" si="89"/>
        <v>3744.2035166294372</v>
      </c>
      <c r="Q497" s="42"/>
      <c r="R497">
        <v>0.6326181829279458</v>
      </c>
      <c r="S497">
        <v>0.67101046784875029</v>
      </c>
    </row>
    <row r="498" spans="1:19" x14ac:dyDescent="0.25">
      <c r="A498" s="40">
        <f t="shared" si="90"/>
        <v>0</v>
      </c>
      <c r="B498" s="40">
        <f t="shared" si="91"/>
        <v>50</v>
      </c>
      <c r="C498" s="41">
        <f t="shared" si="84"/>
        <v>1.0313000000000001</v>
      </c>
      <c r="D498" s="41">
        <f t="shared" si="85"/>
        <v>0.88000000000000012</v>
      </c>
      <c r="E498" s="39">
        <f>IF(_xlfn.NORM.INV(R498,C498,'Regressão Grupo 2'!$B$7)&lt;=0,0,IF(_xlfn.NORM.INV(R498,C498,'Regressão Grupo 2'!$B$7)&gt;100%,100%,_xlfn.NORM.INV(R498,C498,'Regressão Grupo 2'!$B$7)))</f>
        <v>0.94377507063948674</v>
      </c>
      <c r="F498" s="39">
        <f>IF(_xlfn.NORM.INV(S498,D498,'Regressão Grupo 2'!$B$7)&lt;=0,0,IF(_xlfn.NORM.INV(S498,D498,'Regressão Grupo 2'!$B$7)&gt;100%,100%,_xlfn.NORM.INV(S498,D498,'Regressão Grupo 2'!$B$7)))</f>
        <v>0.77882800810229169</v>
      </c>
      <c r="G498" s="41">
        <v>1.4742746945972109E-2</v>
      </c>
      <c r="H498" s="41">
        <v>1.2113398714058813E-2</v>
      </c>
      <c r="I498" s="40">
        <f t="shared" si="86"/>
        <v>0</v>
      </c>
      <c r="J498" s="40">
        <f t="shared" si="87"/>
        <v>188.68508383638576</v>
      </c>
      <c r="K498" s="36">
        <v>0.17699760274747145</v>
      </c>
      <c r="L498" s="42">
        <f t="shared" si="94"/>
        <v>0</v>
      </c>
      <c r="M498" s="42">
        <f t="shared" si="94"/>
        <v>20000</v>
      </c>
      <c r="N498" s="42">
        <f t="shared" si="88"/>
        <v>3539.9520549494291</v>
      </c>
      <c r="O498" s="36">
        <v>5.2786170579363203</v>
      </c>
      <c r="P498" s="42">
        <f t="shared" si="89"/>
        <v>4898.3058347529668</v>
      </c>
      <c r="Q498" s="42"/>
      <c r="R498">
        <v>0.26337473677785578</v>
      </c>
      <c r="S498">
        <v>0.23218482009338665</v>
      </c>
    </row>
    <row r="499" spans="1:19" x14ac:dyDescent="0.25">
      <c r="A499" s="40">
        <f t="shared" si="90"/>
        <v>0</v>
      </c>
      <c r="B499" s="40">
        <f t="shared" si="91"/>
        <v>50</v>
      </c>
      <c r="C499" s="41">
        <f t="shared" si="84"/>
        <v>1.0313000000000001</v>
      </c>
      <c r="D499" s="41">
        <f t="shared" si="85"/>
        <v>0.88000000000000012</v>
      </c>
      <c r="E499" s="39">
        <f>IF(_xlfn.NORM.INV(R499,C499,'Regressão Grupo 2'!$B$7)&lt;=0,0,IF(_xlfn.NORM.INV(R499,C499,'Regressão Grupo 2'!$B$7)&gt;100%,100%,_xlfn.NORM.INV(R499,C499,'Regressão Grupo 2'!$B$7)))</f>
        <v>1</v>
      </c>
      <c r="F499" s="39">
        <f>IF(_xlfn.NORM.INV(S499,D499,'Regressão Grupo 2'!$B$7)&lt;=0,0,IF(_xlfn.NORM.INV(S499,D499,'Regressão Grupo 2'!$B$7)&gt;100%,100%,_xlfn.NORM.INV(S499,D499,'Regressão Grupo 2'!$B$7)))</f>
        <v>0.90840437706969224</v>
      </c>
      <c r="G499" s="41">
        <v>2.0725252213527015E-2</v>
      </c>
      <c r="H499" s="41">
        <v>5.2173874041293953E-3</v>
      </c>
      <c r="I499" s="40">
        <f t="shared" si="86"/>
        <v>0</v>
      </c>
      <c r="J499" s="40">
        <f t="shared" si="87"/>
        <v>94.789951095588435</v>
      </c>
      <c r="K499" s="36">
        <v>0.38266253085634128</v>
      </c>
      <c r="L499" s="42">
        <f t="shared" si="94"/>
        <v>0</v>
      </c>
      <c r="M499" s="42">
        <f t="shared" si="94"/>
        <v>20000</v>
      </c>
      <c r="N499" s="42">
        <f t="shared" si="88"/>
        <v>7653.2506171268251</v>
      </c>
      <c r="O499" s="36">
        <v>4.920292767600416</v>
      </c>
      <c r="P499" s="42">
        <f t="shared" si="89"/>
        <v>-3380.1473731642236</v>
      </c>
      <c r="Q499" s="42"/>
      <c r="R499">
        <v>0.98205511642811361</v>
      </c>
      <c r="S499">
        <v>0.58137760551774653</v>
      </c>
    </row>
    <row r="500" spans="1:19" x14ac:dyDescent="0.25">
      <c r="A500" s="40">
        <f t="shared" si="90"/>
        <v>0</v>
      </c>
      <c r="B500" s="40">
        <f t="shared" si="91"/>
        <v>50</v>
      </c>
      <c r="C500" s="41">
        <f t="shared" si="84"/>
        <v>1.0313000000000001</v>
      </c>
      <c r="D500" s="41">
        <f t="shared" si="85"/>
        <v>0.88000000000000012</v>
      </c>
      <c r="E500" s="39">
        <f>IF(_xlfn.NORM.INV(R500,C500,'Regressão Grupo 2'!$B$7)&lt;=0,0,IF(_xlfn.NORM.INV(R500,C500,'Regressão Grupo 2'!$B$7)&gt;100%,100%,_xlfn.NORM.INV(R500,C500,'Regressão Grupo 2'!$B$7)))</f>
        <v>0.9519607238992468</v>
      </c>
      <c r="F500" s="39">
        <f>IF(_xlfn.NORM.INV(S500,D500,'Regressão Grupo 2'!$B$7)&lt;=0,0,IF(_xlfn.NORM.INV(S500,D500,'Regressão Grupo 2'!$B$7)&gt;100%,100%,_xlfn.NORM.INV(S500,D500,'Regressão Grupo 2'!$B$7)))</f>
        <v>0.63759551141851489</v>
      </c>
      <c r="G500" s="41">
        <v>2.0532542288557103E-2</v>
      </c>
      <c r="H500" s="41">
        <v>1.336409769739328E-2</v>
      </c>
      <c r="I500" s="40">
        <f t="shared" si="86"/>
        <v>0</v>
      </c>
      <c r="J500" s="40">
        <f t="shared" si="87"/>
        <v>170.41777412032934</v>
      </c>
      <c r="K500" s="36">
        <v>0.22300148747482898</v>
      </c>
      <c r="L500" s="42">
        <f t="shared" si="94"/>
        <v>0</v>
      </c>
      <c r="M500" s="42">
        <f t="shared" si="94"/>
        <v>20000</v>
      </c>
      <c r="N500" s="42">
        <f t="shared" si="88"/>
        <v>4460.0297494965798</v>
      </c>
      <c r="O500" s="36">
        <v>10.079930602804428</v>
      </c>
      <c r="P500" s="42">
        <f t="shared" si="89"/>
        <v>2343.0596199025667</v>
      </c>
      <c r="Q500" s="42"/>
      <c r="R500">
        <v>0.28305917538987396</v>
      </c>
      <c r="S500">
        <v>3.9796136356700339E-2</v>
      </c>
    </row>
    <row r="501" spans="1:19" x14ac:dyDescent="0.25">
      <c r="A501" s="40">
        <f t="shared" si="90"/>
        <v>0</v>
      </c>
      <c r="B501" s="40">
        <f t="shared" si="91"/>
        <v>50</v>
      </c>
      <c r="C501" s="41">
        <f t="shared" si="84"/>
        <v>1.0313000000000001</v>
      </c>
      <c r="D501" s="41">
        <f t="shared" si="85"/>
        <v>0.88000000000000012</v>
      </c>
      <c r="E501" s="39">
        <f>IF(_xlfn.NORM.INV(R501,C501,'Regressão Grupo 2'!$B$7)&lt;=0,0,IF(_xlfn.NORM.INV(R501,C501,'Regressão Grupo 2'!$B$7)&gt;100%,100%,_xlfn.NORM.INV(R501,C501,'Regressão Grupo 2'!$B$7)))</f>
        <v>1</v>
      </c>
      <c r="F501" s="39">
        <f>IF(_xlfn.NORM.INV(S501,D501,'Regressão Grupo 2'!$B$7)&lt;=0,0,IF(_xlfn.NORM.INV(S501,D501,'Regressão Grupo 2'!$B$7)&gt;100%,100%,_xlfn.NORM.INV(S501,D501,'Regressão Grupo 2'!$B$7)))</f>
        <v>0.9396672991572288</v>
      </c>
      <c r="G501" s="41">
        <v>2.3184875783729915E-2</v>
      </c>
      <c r="H501" s="41">
        <v>1.6449715937680791E-2</v>
      </c>
      <c r="I501" s="40">
        <f t="shared" si="86"/>
        <v>0</v>
      </c>
      <c r="J501" s="40">
        <f t="shared" si="87"/>
        <v>309.14520294128261</v>
      </c>
      <c r="K501" s="36">
        <v>0.14753688183487132</v>
      </c>
      <c r="L501" s="42">
        <f t="shared" si="94"/>
        <v>0</v>
      </c>
      <c r="M501" s="42">
        <f t="shared" si="94"/>
        <v>20000</v>
      </c>
      <c r="N501" s="42">
        <f t="shared" si="88"/>
        <v>2950.7376366974263</v>
      </c>
      <c r="O501" s="36">
        <v>8.2996460669753525</v>
      </c>
      <c r="P501" s="42">
        <f t="shared" si="89"/>
        <v>9940.7267426507915</v>
      </c>
      <c r="Q501" s="42"/>
      <c r="R501">
        <v>0.60176396984771263</v>
      </c>
      <c r="S501">
        <v>0.66695150608844267</v>
      </c>
    </row>
    <row r="502" spans="1:19" x14ac:dyDescent="0.25">
      <c r="A502" s="40">
        <f t="shared" si="90"/>
        <v>0</v>
      </c>
      <c r="B502" s="40">
        <f t="shared" si="91"/>
        <v>50</v>
      </c>
      <c r="C502" s="41">
        <f t="shared" si="84"/>
        <v>1.0313000000000001</v>
      </c>
      <c r="D502" s="41">
        <f t="shared" si="85"/>
        <v>0.88000000000000012</v>
      </c>
      <c r="E502" s="39">
        <f>IF(_xlfn.NORM.INV(R502,C502,'Regressão Grupo 2'!$B$7)&lt;=0,0,IF(_xlfn.NORM.INV(R502,C502,'Regressão Grupo 2'!$B$7)&gt;100%,100%,_xlfn.NORM.INV(R502,C502,'Regressão Grupo 2'!$B$7)))</f>
        <v>1</v>
      </c>
      <c r="F502" s="39">
        <f>IF(_xlfn.NORM.INV(S502,D502,'Regressão Grupo 2'!$B$7)&lt;=0,0,IF(_xlfn.NORM.INV(S502,D502,'Regressão Grupo 2'!$B$7)&gt;100%,100%,_xlfn.NORM.INV(S502,D502,'Regressão Grupo 2'!$B$7)))</f>
        <v>0.98026177109709012</v>
      </c>
      <c r="G502" s="41">
        <v>1.7538921126239806E-2</v>
      </c>
      <c r="H502" s="41">
        <v>1.1616939026382202E-2</v>
      </c>
      <c r="I502" s="40">
        <f t="shared" si="86"/>
        <v>0</v>
      </c>
      <c r="J502" s="40">
        <f t="shared" si="87"/>
        <v>227.75282449456645</v>
      </c>
      <c r="K502" s="36">
        <v>0.26059838278539327</v>
      </c>
      <c r="L502" s="42">
        <f t="shared" si="94"/>
        <v>0</v>
      </c>
      <c r="M502" s="42">
        <f t="shared" si="94"/>
        <v>20000</v>
      </c>
      <c r="N502" s="42">
        <f t="shared" si="88"/>
        <v>5211.9676557078656</v>
      </c>
      <c r="O502" s="36">
        <v>2.3778551604841924</v>
      </c>
      <c r="P502" s="42">
        <f t="shared" si="89"/>
        <v>5634.1103399812018</v>
      </c>
      <c r="Q502" s="42"/>
      <c r="R502">
        <v>0.97546311838129829</v>
      </c>
      <c r="S502">
        <v>0.76580095828119754</v>
      </c>
    </row>
    <row r="503" spans="1:19" x14ac:dyDescent="0.25">
      <c r="A503" s="40">
        <f t="shared" si="90"/>
        <v>0</v>
      </c>
      <c r="B503" s="40">
        <f t="shared" si="91"/>
        <v>50</v>
      </c>
      <c r="C503" s="41">
        <f t="shared" si="84"/>
        <v>1.0313000000000001</v>
      </c>
      <c r="D503" s="41">
        <f t="shared" si="85"/>
        <v>0.88000000000000012</v>
      </c>
      <c r="E503" s="39">
        <f>IF(_xlfn.NORM.INV(R503,C503,'Regressão Grupo 2'!$B$7)&lt;=0,0,IF(_xlfn.NORM.INV(R503,C503,'Regressão Grupo 2'!$B$7)&gt;100%,100%,_xlfn.NORM.INV(R503,C503,'Regressão Grupo 2'!$B$7)))</f>
        <v>0.81999088590470692</v>
      </c>
      <c r="F503" s="39">
        <f>IF(_xlfn.NORM.INV(S503,D503,'Regressão Grupo 2'!$B$7)&lt;=0,0,IF(_xlfn.NORM.INV(S503,D503,'Regressão Grupo 2'!$B$7)&gt;100%,100%,_xlfn.NORM.INV(S503,D503,'Regressão Grupo 2'!$B$7)))</f>
        <v>0.77211331904913949</v>
      </c>
      <c r="G503" s="41">
        <v>2.6022827824711811E-2</v>
      </c>
      <c r="H503" s="41">
        <v>1.8115090588104392E-2</v>
      </c>
      <c r="I503" s="40">
        <f t="shared" si="86"/>
        <v>0</v>
      </c>
      <c r="J503" s="40">
        <f t="shared" si="87"/>
        <v>279.73805437714219</v>
      </c>
      <c r="K503" s="36">
        <v>0.24360779072021824</v>
      </c>
      <c r="L503" s="42">
        <f t="shared" ref="L503:M518" si="95">L502</f>
        <v>0</v>
      </c>
      <c r="M503" s="42">
        <f t="shared" si="95"/>
        <v>20000</v>
      </c>
      <c r="N503" s="42">
        <f t="shared" si="88"/>
        <v>4872.1558144043647</v>
      </c>
      <c r="O503" s="36">
        <v>8.5544719851953328</v>
      </c>
      <c r="P503" s="42">
        <f t="shared" si="89"/>
        <v>6721.7355550904322</v>
      </c>
      <c r="Q503" s="42"/>
      <c r="R503">
        <v>6.3234351634266189E-2</v>
      </c>
      <c r="S503">
        <v>0.21762749107333598</v>
      </c>
    </row>
    <row r="504" spans="1:19" x14ac:dyDescent="0.25">
      <c r="A504" s="40">
        <f t="shared" si="90"/>
        <v>0</v>
      </c>
      <c r="B504" s="40">
        <f t="shared" si="91"/>
        <v>50</v>
      </c>
      <c r="C504" s="41">
        <f t="shared" si="84"/>
        <v>1.0313000000000001</v>
      </c>
      <c r="D504" s="41">
        <f t="shared" si="85"/>
        <v>0.88000000000000012</v>
      </c>
      <c r="E504" s="39">
        <f>IF(_xlfn.NORM.INV(R504,C504,'Regressão Grupo 2'!$B$7)&lt;=0,0,IF(_xlfn.NORM.INV(R504,C504,'Regressão Grupo 2'!$B$7)&gt;100%,100%,_xlfn.NORM.INV(R504,C504,'Regressão Grupo 2'!$B$7)))</f>
        <v>1</v>
      </c>
      <c r="F504" s="39">
        <f>IF(_xlfn.NORM.INV(S504,D504,'Regressão Grupo 2'!$B$7)&lt;=0,0,IF(_xlfn.NORM.INV(S504,D504,'Regressão Grupo 2'!$B$7)&gt;100%,100%,_xlfn.NORM.INV(S504,D504,'Regressão Grupo 2'!$B$7)))</f>
        <v>0.91445086572491296</v>
      </c>
      <c r="G504" s="41">
        <v>1.1848600053785177E-2</v>
      </c>
      <c r="H504" s="41">
        <v>1.0832789419653885E-2</v>
      </c>
      <c r="I504" s="40">
        <f t="shared" si="86"/>
        <v>0</v>
      </c>
      <c r="J504" s="40">
        <f t="shared" si="87"/>
        <v>198.12107326036346</v>
      </c>
      <c r="K504" s="36">
        <v>0.46389834535961771</v>
      </c>
      <c r="L504" s="42">
        <f t="shared" si="95"/>
        <v>0</v>
      </c>
      <c r="M504" s="42">
        <f t="shared" si="95"/>
        <v>20000</v>
      </c>
      <c r="N504" s="42">
        <f t="shared" si="88"/>
        <v>9277.9669071923545</v>
      </c>
      <c r="O504" s="36">
        <v>9.0091811449671315</v>
      </c>
      <c r="P504" s="42">
        <f t="shared" si="89"/>
        <v>-1156.8218818121004</v>
      </c>
      <c r="Q504" s="42"/>
      <c r="R504">
        <v>0.95764030884731588</v>
      </c>
      <c r="S504">
        <v>0.59837641529587693</v>
      </c>
    </row>
    <row r="505" spans="1:19" x14ac:dyDescent="0.25">
      <c r="A505" s="40">
        <f t="shared" si="90"/>
        <v>0</v>
      </c>
      <c r="B505" s="40">
        <f t="shared" si="91"/>
        <v>50</v>
      </c>
      <c r="C505" s="41">
        <f t="shared" si="84"/>
        <v>1.0313000000000001</v>
      </c>
      <c r="D505" s="41">
        <f t="shared" si="85"/>
        <v>0.88000000000000012</v>
      </c>
      <c r="E505" s="39">
        <f>IF(_xlfn.NORM.INV(R505,C505,'Regressão Grupo 2'!$B$7)&lt;=0,0,IF(_xlfn.NORM.INV(R505,C505,'Regressão Grupo 2'!$B$7)&gt;100%,100%,_xlfn.NORM.INV(R505,C505,'Regressão Grupo 2'!$B$7)))</f>
        <v>0.90645364785428362</v>
      </c>
      <c r="F505" s="39">
        <f>IF(_xlfn.NORM.INV(S505,D505,'Regressão Grupo 2'!$B$7)&lt;=0,0,IF(_xlfn.NORM.INV(S505,D505,'Regressão Grupo 2'!$B$7)&gt;100%,100%,_xlfn.NORM.INV(S505,D505,'Regressão Grupo 2'!$B$7)))</f>
        <v>0.72988874324423225</v>
      </c>
      <c r="G505" s="41">
        <v>1.7261717341177599E-2</v>
      </c>
      <c r="H505" s="41">
        <v>1.5420867330449594E-2</v>
      </c>
      <c r="I505" s="40">
        <f t="shared" si="86"/>
        <v>0</v>
      </c>
      <c r="J505" s="40">
        <f t="shared" si="87"/>
        <v>225.11034951115786</v>
      </c>
      <c r="K505" s="36">
        <v>0.20770344401513896</v>
      </c>
      <c r="L505" s="42">
        <f t="shared" si="95"/>
        <v>0</v>
      </c>
      <c r="M505" s="42">
        <f t="shared" si="95"/>
        <v>20000</v>
      </c>
      <c r="N505" s="42">
        <f t="shared" si="88"/>
        <v>4154.0688803027788</v>
      </c>
      <c r="O505" s="36">
        <v>4.6174352841725064</v>
      </c>
      <c r="P505" s="42">
        <f t="shared" si="89"/>
        <v>6062.0161245898889</v>
      </c>
      <c r="Q505" s="42"/>
      <c r="R505">
        <v>0.18329416791283915</v>
      </c>
      <c r="S505">
        <v>0.13882869960631122</v>
      </c>
    </row>
    <row r="506" spans="1:19" x14ac:dyDescent="0.25">
      <c r="A506" s="40">
        <f t="shared" si="90"/>
        <v>0</v>
      </c>
      <c r="B506" s="40">
        <f t="shared" si="91"/>
        <v>50</v>
      </c>
      <c r="C506" s="41">
        <f t="shared" si="84"/>
        <v>1.0313000000000001</v>
      </c>
      <c r="D506" s="41">
        <f t="shared" si="85"/>
        <v>0.88000000000000012</v>
      </c>
      <c r="E506" s="39">
        <f>IF(_xlfn.NORM.INV(R506,C506,'Regressão Grupo 2'!$B$7)&lt;=0,0,IF(_xlfn.NORM.INV(R506,C506,'Regressão Grupo 2'!$B$7)&gt;100%,100%,_xlfn.NORM.INV(R506,C506,'Regressão Grupo 2'!$B$7)))</f>
        <v>1</v>
      </c>
      <c r="F506" s="39">
        <f>IF(_xlfn.NORM.INV(S506,D506,'Regressão Grupo 2'!$B$7)&lt;=0,0,IF(_xlfn.NORM.INV(S506,D506,'Regressão Grupo 2'!$B$7)&gt;100%,100%,_xlfn.NORM.INV(S506,D506,'Regressão Grupo 2'!$B$7)))</f>
        <v>0.91278389966873064</v>
      </c>
      <c r="G506" s="41">
        <v>2.5248374865617648E-2</v>
      </c>
      <c r="H506" s="41">
        <v>2.0047585936445175E-2</v>
      </c>
      <c r="I506" s="40">
        <f t="shared" si="86"/>
        <v>0</v>
      </c>
      <c r="J506" s="40">
        <f t="shared" si="87"/>
        <v>365.98227340024852</v>
      </c>
      <c r="K506" s="36">
        <v>0.28994723038949954</v>
      </c>
      <c r="L506" s="42">
        <f t="shared" si="95"/>
        <v>0</v>
      </c>
      <c r="M506" s="42">
        <f t="shared" si="95"/>
        <v>20000</v>
      </c>
      <c r="N506" s="42">
        <f t="shared" si="88"/>
        <v>5798.9446077899911</v>
      </c>
      <c r="O506" s="36">
        <v>9.6649518212428962</v>
      </c>
      <c r="P506" s="42">
        <f t="shared" si="89"/>
        <v>8962.968022380086</v>
      </c>
      <c r="Q506" s="42"/>
      <c r="R506">
        <v>0.94540238654744102</v>
      </c>
      <c r="S506">
        <v>0.59370708334604938</v>
      </c>
    </row>
    <row r="507" spans="1:19" x14ac:dyDescent="0.25">
      <c r="A507" s="40">
        <f t="shared" si="90"/>
        <v>0</v>
      </c>
      <c r="B507" s="40">
        <f t="shared" si="91"/>
        <v>50</v>
      </c>
      <c r="C507" s="41">
        <f t="shared" si="84"/>
        <v>1.0313000000000001</v>
      </c>
      <c r="D507" s="41">
        <f t="shared" si="85"/>
        <v>0.88000000000000012</v>
      </c>
      <c r="E507" s="39">
        <f>IF(_xlfn.NORM.INV(R507,C507,'Regressão Grupo 2'!$B$7)&lt;=0,0,IF(_xlfn.NORM.INV(R507,C507,'Regressão Grupo 2'!$B$7)&gt;100%,100%,_xlfn.NORM.INV(R507,C507,'Regressão Grupo 2'!$B$7)))</f>
        <v>1</v>
      </c>
      <c r="F507" s="39">
        <f>IF(_xlfn.NORM.INV(S507,D507,'Regressão Grupo 2'!$B$7)&lt;=0,0,IF(_xlfn.NORM.INV(S507,D507,'Regressão Grupo 2'!$B$7)&gt;100%,100%,_xlfn.NORM.INV(S507,D507,'Regressão Grupo 2'!$B$7)))</f>
        <v>0.7040195950930237</v>
      </c>
      <c r="G507" s="41">
        <v>2.7916280146532559E-2</v>
      </c>
      <c r="H507" s="41">
        <v>3.8644862132794513E-3</v>
      </c>
      <c r="I507" s="40">
        <f t="shared" si="86"/>
        <v>0</v>
      </c>
      <c r="J507" s="40">
        <f t="shared" si="87"/>
        <v>54.413480382311434</v>
      </c>
      <c r="K507" s="36">
        <v>0.35287036648303005</v>
      </c>
      <c r="L507" s="42">
        <f t="shared" si="95"/>
        <v>0</v>
      </c>
      <c r="M507" s="42">
        <f t="shared" si="95"/>
        <v>20000</v>
      </c>
      <c r="N507" s="42">
        <f t="shared" si="88"/>
        <v>7057.4073296606011</v>
      </c>
      <c r="O507" s="36">
        <v>3.0119865387107971</v>
      </c>
      <c r="P507" s="42">
        <f t="shared" si="89"/>
        <v>-4500.6259809809553</v>
      </c>
      <c r="Q507" s="42"/>
      <c r="R507">
        <v>0.68248542741172524</v>
      </c>
      <c r="S507">
        <v>0.10156559953611866</v>
      </c>
    </row>
    <row r="508" spans="1:19" x14ac:dyDescent="0.25">
      <c r="A508" s="40">
        <f t="shared" si="90"/>
        <v>0</v>
      </c>
      <c r="B508" s="40">
        <f t="shared" si="91"/>
        <v>50</v>
      </c>
      <c r="C508" s="41">
        <f t="shared" si="84"/>
        <v>1.0313000000000001</v>
      </c>
      <c r="D508" s="41">
        <f t="shared" si="85"/>
        <v>0.88000000000000012</v>
      </c>
      <c r="E508" s="39">
        <f>IF(_xlfn.NORM.INV(R508,C508,'Regressão Grupo 2'!$B$7)&lt;=0,0,IF(_xlfn.NORM.INV(R508,C508,'Regressão Grupo 2'!$B$7)&gt;100%,100%,_xlfn.NORM.INV(R508,C508,'Regressão Grupo 2'!$B$7)))</f>
        <v>1</v>
      </c>
      <c r="F508" s="39">
        <f>IF(_xlfn.NORM.INV(S508,D508,'Regressão Grupo 2'!$B$7)&lt;=0,0,IF(_xlfn.NORM.INV(S508,D508,'Regressão Grupo 2'!$B$7)&gt;100%,100%,_xlfn.NORM.INV(S508,D508,'Regressão Grupo 2'!$B$7)))</f>
        <v>0.79790127229032692</v>
      </c>
      <c r="G508" s="41">
        <v>2.395159499724793E-2</v>
      </c>
      <c r="H508" s="41">
        <v>7.1884560985711809E-3</v>
      </c>
      <c r="I508" s="40">
        <f t="shared" si="86"/>
        <v>0</v>
      </c>
      <c r="J508" s="40">
        <f t="shared" si="87"/>
        <v>114.71356533706209</v>
      </c>
      <c r="K508" s="36">
        <v>0.19726221775690045</v>
      </c>
      <c r="L508" s="42">
        <f t="shared" si="95"/>
        <v>0</v>
      </c>
      <c r="M508" s="42">
        <f t="shared" si="95"/>
        <v>20000</v>
      </c>
      <c r="N508" s="42">
        <f t="shared" si="88"/>
        <v>3945.2443551380088</v>
      </c>
      <c r="O508" s="36">
        <v>4.7818427043677953</v>
      </c>
      <c r="P508" s="42">
        <f t="shared" si="89"/>
        <v>1241.8916862160472</v>
      </c>
      <c r="Q508" s="42"/>
      <c r="R508">
        <v>0.92818994720297865</v>
      </c>
      <c r="S508">
        <v>0.27634510330515455</v>
      </c>
    </row>
    <row r="509" spans="1:19" x14ac:dyDescent="0.25">
      <c r="A509" s="40">
        <f t="shared" si="90"/>
        <v>0</v>
      </c>
      <c r="B509" s="40">
        <f t="shared" si="91"/>
        <v>50</v>
      </c>
      <c r="C509" s="41">
        <f t="shared" si="84"/>
        <v>1.0313000000000001</v>
      </c>
      <c r="D509" s="41">
        <f t="shared" si="85"/>
        <v>0.88000000000000012</v>
      </c>
      <c r="E509" s="39">
        <f>IF(_xlfn.NORM.INV(R509,C509,'Regressão Grupo 2'!$B$7)&lt;=0,0,IF(_xlfn.NORM.INV(R509,C509,'Regressão Grupo 2'!$B$7)&gt;100%,100%,_xlfn.NORM.INV(R509,C509,'Regressão Grupo 2'!$B$7)))</f>
        <v>0.70575182663931391</v>
      </c>
      <c r="F509" s="39">
        <f>IF(_xlfn.NORM.INV(S509,D509,'Regressão Grupo 2'!$B$7)&lt;=0,0,IF(_xlfn.NORM.INV(S509,D509,'Regressão Grupo 2'!$B$7)&gt;100%,100%,_xlfn.NORM.INV(S509,D509,'Regressão Grupo 2'!$B$7)))</f>
        <v>0.76086705653139086</v>
      </c>
      <c r="G509" s="41">
        <v>1.0167709341414878E-2</v>
      </c>
      <c r="H509" s="41">
        <v>7.1198790367437963E-3</v>
      </c>
      <c r="I509" s="40">
        <f t="shared" si="86"/>
        <v>0</v>
      </c>
      <c r="J509" s="40">
        <f t="shared" si="87"/>
        <v>108.34562811093613</v>
      </c>
      <c r="K509" s="36">
        <v>0.31702518984620354</v>
      </c>
      <c r="L509" s="42">
        <f t="shared" si="95"/>
        <v>0</v>
      </c>
      <c r="M509" s="42">
        <f t="shared" si="95"/>
        <v>20000</v>
      </c>
      <c r="N509" s="42">
        <f t="shared" si="88"/>
        <v>6340.5037969240711</v>
      </c>
      <c r="O509" s="36">
        <v>7.4249216581805531</v>
      </c>
      <c r="P509" s="42">
        <f t="shared" si="89"/>
        <v>-1727.6801921073293</v>
      </c>
      <c r="Q509" s="42"/>
      <c r="R509">
        <v>9.2776268807031465E-3</v>
      </c>
      <c r="S509">
        <v>0.19446394238105411</v>
      </c>
    </row>
    <row r="510" spans="1:19" x14ac:dyDescent="0.25">
      <c r="A510" s="40">
        <f t="shared" si="90"/>
        <v>0</v>
      </c>
      <c r="B510" s="40">
        <f t="shared" si="91"/>
        <v>50</v>
      </c>
      <c r="C510" s="41">
        <f t="shared" si="84"/>
        <v>1.0313000000000001</v>
      </c>
      <c r="D510" s="41">
        <f t="shared" si="85"/>
        <v>0.88000000000000012</v>
      </c>
      <c r="E510" s="39">
        <f>IF(_xlfn.NORM.INV(R510,C510,'Regressão Grupo 2'!$B$7)&lt;=0,0,IF(_xlfn.NORM.INV(R510,C510,'Regressão Grupo 2'!$B$7)&gt;100%,100%,_xlfn.NORM.INV(R510,C510,'Regressão Grupo 2'!$B$7)))</f>
        <v>1</v>
      </c>
      <c r="F510" s="39">
        <f>IF(_xlfn.NORM.INV(S510,D510,'Regressão Grupo 2'!$B$7)&lt;=0,0,IF(_xlfn.NORM.INV(S510,D510,'Regressão Grupo 2'!$B$7)&gt;100%,100%,_xlfn.NORM.INV(S510,D510,'Regressão Grupo 2'!$B$7)))</f>
        <v>0.97625858610482519</v>
      </c>
      <c r="G510" s="41">
        <v>1.7756839925277455E-2</v>
      </c>
      <c r="H510" s="41">
        <v>1.3625030045082493E-2</v>
      </c>
      <c r="I510" s="40">
        <f t="shared" si="86"/>
        <v>0</v>
      </c>
      <c r="J510" s="40">
        <f t="shared" si="87"/>
        <v>266.03105134895998</v>
      </c>
      <c r="K510" s="36">
        <v>0.35398922588962473</v>
      </c>
      <c r="L510" s="42">
        <f t="shared" si="95"/>
        <v>0</v>
      </c>
      <c r="M510" s="42">
        <f t="shared" si="95"/>
        <v>20000</v>
      </c>
      <c r="N510" s="42">
        <f t="shared" si="88"/>
        <v>7079.7845177924946</v>
      </c>
      <c r="O510" s="36">
        <v>4.0057866158517275</v>
      </c>
      <c r="P510" s="42">
        <f t="shared" si="89"/>
        <v>5156.1044247608779</v>
      </c>
      <c r="Q510" s="42"/>
      <c r="R510">
        <v>0.83803827021088295</v>
      </c>
      <c r="S510">
        <v>0.7568285164952544</v>
      </c>
    </row>
    <row r="511" spans="1:19" x14ac:dyDescent="0.25">
      <c r="A511" s="40">
        <f t="shared" si="90"/>
        <v>0</v>
      </c>
      <c r="B511" s="40">
        <f t="shared" si="91"/>
        <v>50</v>
      </c>
      <c r="C511" s="41">
        <f t="shared" si="84"/>
        <v>1.0313000000000001</v>
      </c>
      <c r="D511" s="41">
        <f t="shared" si="85"/>
        <v>0.88000000000000012</v>
      </c>
      <c r="E511" s="39">
        <f>IF(_xlfn.NORM.INV(R511,C511,'Regressão Grupo 2'!$B$7)&lt;=0,0,IF(_xlfn.NORM.INV(R511,C511,'Regressão Grupo 2'!$B$7)&gt;100%,100%,_xlfn.NORM.INV(R511,C511,'Regressão Grupo 2'!$B$7)))</f>
        <v>1</v>
      </c>
      <c r="F511" s="39">
        <f>IF(_xlfn.NORM.INV(S511,D511,'Regressão Grupo 2'!$B$7)&lt;=0,0,IF(_xlfn.NORM.INV(S511,D511,'Regressão Grupo 2'!$B$7)&gt;100%,100%,_xlfn.NORM.INV(S511,D511,'Regressão Grupo 2'!$B$7)))</f>
        <v>0.77953174311144269</v>
      </c>
      <c r="G511" s="41">
        <v>5.6290897760380015E-3</v>
      </c>
      <c r="H511" s="41">
        <v>2.246693746130745E-2</v>
      </c>
      <c r="I511" s="40">
        <f t="shared" si="86"/>
        <v>0</v>
      </c>
      <c r="J511" s="40">
        <f t="shared" si="87"/>
        <v>350.2738184317754</v>
      </c>
      <c r="K511" s="36">
        <v>0.39885381487178462</v>
      </c>
      <c r="L511" s="42">
        <f t="shared" si="95"/>
        <v>0</v>
      </c>
      <c r="M511" s="42">
        <f t="shared" si="95"/>
        <v>20000</v>
      </c>
      <c r="N511" s="42">
        <f t="shared" si="88"/>
        <v>7977.0762974356921</v>
      </c>
      <c r="O511" s="36">
        <v>7.1065738604477335</v>
      </c>
      <c r="P511" s="42">
        <f t="shared" si="89"/>
        <v>7047.3678620866058</v>
      </c>
      <c r="Q511" s="42"/>
      <c r="R511">
        <v>0.61180455946531576</v>
      </c>
      <c r="S511">
        <v>0.23374126407666249</v>
      </c>
    </row>
    <row r="512" spans="1:19" x14ac:dyDescent="0.25">
      <c r="A512" s="40">
        <f t="shared" si="90"/>
        <v>0</v>
      </c>
      <c r="B512" s="40">
        <f t="shared" si="91"/>
        <v>50</v>
      </c>
      <c r="C512" s="41">
        <f t="shared" si="84"/>
        <v>1.0313000000000001</v>
      </c>
      <c r="D512" s="41">
        <f t="shared" si="85"/>
        <v>0.88000000000000012</v>
      </c>
      <c r="E512" s="39">
        <f>IF(_xlfn.NORM.INV(R512,C512,'Regressão Grupo 2'!$B$7)&lt;=0,0,IF(_xlfn.NORM.INV(R512,C512,'Regressão Grupo 2'!$B$7)&gt;100%,100%,_xlfn.NORM.INV(R512,C512,'Regressão Grupo 2'!$B$7)))</f>
        <v>0.93544534677363833</v>
      </c>
      <c r="F512" s="39">
        <f>IF(_xlfn.NORM.INV(S512,D512,'Regressão Grupo 2'!$B$7)&lt;=0,0,IF(_xlfn.NORM.INV(S512,D512,'Regressão Grupo 2'!$B$7)&gt;100%,100%,_xlfn.NORM.INV(S512,D512,'Regressão Grupo 2'!$B$7)))</f>
        <v>0.98370507154486753</v>
      </c>
      <c r="G512" s="41">
        <v>2.1860238792866506E-2</v>
      </c>
      <c r="H512" s="41">
        <v>2.1010002568640988E-2</v>
      </c>
      <c r="I512" s="40">
        <f t="shared" si="86"/>
        <v>0</v>
      </c>
      <c r="J512" s="40">
        <f t="shared" si="87"/>
        <v>413.35292159885671</v>
      </c>
      <c r="K512" s="36">
        <v>0.2740359043917549</v>
      </c>
      <c r="L512" s="42">
        <f t="shared" si="95"/>
        <v>0</v>
      </c>
      <c r="M512" s="42">
        <f t="shared" si="95"/>
        <v>20000</v>
      </c>
      <c r="N512" s="42">
        <f t="shared" si="88"/>
        <v>5480.7180878350982</v>
      </c>
      <c r="O512" s="36">
        <v>5.5845780531202198</v>
      </c>
      <c r="P512" s="42">
        <f t="shared" si="89"/>
        <v>12878.526337953637</v>
      </c>
      <c r="Q512" s="42"/>
      <c r="R512">
        <v>0.24408703878902555</v>
      </c>
      <c r="S512">
        <v>0.77336954863124485</v>
      </c>
    </row>
    <row r="513" spans="1:19" x14ac:dyDescent="0.25">
      <c r="A513" s="40">
        <f t="shared" si="90"/>
        <v>0</v>
      </c>
      <c r="B513" s="40">
        <f t="shared" si="91"/>
        <v>50</v>
      </c>
      <c r="C513" s="41">
        <f t="shared" si="84"/>
        <v>1.0313000000000001</v>
      </c>
      <c r="D513" s="41">
        <f t="shared" si="85"/>
        <v>0.88000000000000012</v>
      </c>
      <c r="E513" s="39">
        <f>IF(_xlfn.NORM.INV(R513,C513,'Regressão Grupo 2'!$B$7)&lt;=0,0,IF(_xlfn.NORM.INV(R513,C513,'Regressão Grupo 2'!$B$7)&gt;100%,100%,_xlfn.NORM.INV(R513,C513,'Regressão Grupo 2'!$B$7)))</f>
        <v>1</v>
      </c>
      <c r="F513" s="39">
        <f>IF(_xlfn.NORM.INV(S513,D513,'Regressão Grupo 2'!$B$7)&lt;=0,0,IF(_xlfn.NORM.INV(S513,D513,'Regressão Grupo 2'!$B$7)&gt;100%,100%,_xlfn.NORM.INV(S513,D513,'Regressão Grupo 2'!$B$7)))</f>
        <v>0.84069324814682478</v>
      </c>
      <c r="G513" s="41">
        <v>2.6794635346159987E-2</v>
      </c>
      <c r="H513" s="41">
        <v>2.4369182416136156E-2</v>
      </c>
      <c r="I513" s="40">
        <f t="shared" si="86"/>
        <v>0</v>
      </c>
      <c r="J513" s="40">
        <f t="shared" si="87"/>
        <v>409.74014240207987</v>
      </c>
      <c r="K513" s="36">
        <v>0.28059785526729941</v>
      </c>
      <c r="L513" s="42">
        <f t="shared" si="95"/>
        <v>0</v>
      </c>
      <c r="M513" s="42">
        <f t="shared" si="95"/>
        <v>20000</v>
      </c>
      <c r="N513" s="42">
        <f t="shared" si="88"/>
        <v>5611.9571053459886</v>
      </c>
      <c r="O513" s="36">
        <v>4.843248417394264</v>
      </c>
      <c r="P513" s="42">
        <f t="shared" si="89"/>
        <v>12890.576718526234</v>
      </c>
      <c r="Q513" s="42"/>
      <c r="R513">
        <v>0.4378795739616077</v>
      </c>
      <c r="S513">
        <v>0.38810388500625631</v>
      </c>
    </row>
    <row r="514" spans="1:19" x14ac:dyDescent="0.25">
      <c r="A514" s="40">
        <f t="shared" si="90"/>
        <v>0</v>
      </c>
      <c r="B514" s="40">
        <f t="shared" si="91"/>
        <v>50</v>
      </c>
      <c r="C514" s="41">
        <f t="shared" si="84"/>
        <v>1.0313000000000001</v>
      </c>
      <c r="D514" s="41">
        <f t="shared" si="85"/>
        <v>0.88000000000000012</v>
      </c>
      <c r="E514" s="39">
        <f>IF(_xlfn.NORM.INV(R514,C514,'Regressão Grupo 2'!$B$7)&lt;=0,0,IF(_xlfn.NORM.INV(R514,C514,'Regressão Grupo 2'!$B$7)&gt;100%,100%,_xlfn.NORM.INV(R514,C514,'Regressão Grupo 2'!$B$7)))</f>
        <v>0.85706487699535261</v>
      </c>
      <c r="F514" s="39">
        <f>IF(_xlfn.NORM.INV(S514,D514,'Regressão Grupo 2'!$B$7)&lt;=0,0,IF(_xlfn.NORM.INV(S514,D514,'Regressão Grupo 2'!$B$7)&gt;100%,100%,_xlfn.NORM.INV(S514,D514,'Regressão Grupo 2'!$B$7)))</f>
        <v>0.90214384224119337</v>
      </c>
      <c r="G514" s="41">
        <v>1.2363003551383596E-2</v>
      </c>
      <c r="H514" s="41">
        <v>2.1177696527068642E-2</v>
      </c>
      <c r="I514" s="40">
        <f t="shared" si="86"/>
        <v>0</v>
      </c>
      <c r="J514" s="40">
        <f t="shared" si="87"/>
        <v>382.1065702949536</v>
      </c>
      <c r="K514" s="36">
        <v>0.45953370797688403</v>
      </c>
      <c r="L514" s="42">
        <f t="shared" si="95"/>
        <v>0</v>
      </c>
      <c r="M514" s="42">
        <f t="shared" si="95"/>
        <v>20000</v>
      </c>
      <c r="N514" s="42">
        <f t="shared" si="88"/>
        <v>9190.6741595376807</v>
      </c>
      <c r="O514" s="36">
        <v>7.5371707205227496</v>
      </c>
      <c r="P514" s="42">
        <f t="shared" si="89"/>
        <v>7034.6519014635051</v>
      </c>
      <c r="Q514" s="42"/>
      <c r="R514">
        <v>0.10382396923734245</v>
      </c>
      <c r="S514">
        <v>0.56361583300271612</v>
      </c>
    </row>
    <row r="515" spans="1:19" x14ac:dyDescent="0.25">
      <c r="A515" s="40">
        <f t="shared" si="90"/>
        <v>0</v>
      </c>
      <c r="B515" s="40">
        <f t="shared" si="91"/>
        <v>50</v>
      </c>
      <c r="C515" s="41">
        <f t="shared" si="84"/>
        <v>1.0313000000000001</v>
      </c>
      <c r="D515" s="41">
        <f t="shared" si="85"/>
        <v>0.88000000000000012</v>
      </c>
      <c r="E515" s="39">
        <f>IF(_xlfn.NORM.INV(R515,C515,'Regressão Grupo 2'!$B$7)&lt;=0,0,IF(_xlfn.NORM.INV(R515,C515,'Regressão Grupo 2'!$B$7)&gt;100%,100%,_xlfn.NORM.INV(R515,C515,'Regressão Grupo 2'!$B$7)))</f>
        <v>1</v>
      </c>
      <c r="F515" s="39">
        <f>IF(_xlfn.NORM.INV(S515,D515,'Regressão Grupo 2'!$B$7)&lt;=0,0,IF(_xlfn.NORM.INV(S515,D515,'Regressão Grupo 2'!$B$7)&gt;100%,100%,_xlfn.NORM.INV(S515,D515,'Regressão Grupo 2'!$B$7)))</f>
        <v>0.79688973170608279</v>
      </c>
      <c r="G515" s="41">
        <v>1.1288152215814052E-2</v>
      </c>
      <c r="H515" s="41">
        <v>2.2447357154613594E-2</v>
      </c>
      <c r="I515" s="40">
        <f t="shared" si="86"/>
        <v>0</v>
      </c>
      <c r="J515" s="40">
        <f t="shared" si="87"/>
        <v>357.7613684090129</v>
      </c>
      <c r="K515" s="36">
        <v>0.30201968497055026</v>
      </c>
      <c r="L515" s="42">
        <f t="shared" si="95"/>
        <v>0</v>
      </c>
      <c r="M515" s="42">
        <f t="shared" si="95"/>
        <v>20000</v>
      </c>
      <c r="N515" s="42">
        <f t="shared" si="88"/>
        <v>6040.3936994110054</v>
      </c>
      <c r="O515" s="36">
        <v>8.1593465372132954</v>
      </c>
      <c r="P515" s="42">
        <f t="shared" si="89"/>
        <v>8928.5757385628713</v>
      </c>
      <c r="Q515" s="42"/>
      <c r="R515">
        <v>0.94503616443372906</v>
      </c>
      <c r="S515">
        <v>0.27390362254707479</v>
      </c>
    </row>
    <row r="516" spans="1:19" x14ac:dyDescent="0.25">
      <c r="A516" s="40">
        <f t="shared" si="90"/>
        <v>0</v>
      </c>
      <c r="B516" s="40">
        <f t="shared" si="91"/>
        <v>50</v>
      </c>
      <c r="C516" s="41">
        <f t="shared" si="84"/>
        <v>1.0313000000000001</v>
      </c>
      <c r="D516" s="41">
        <f t="shared" si="85"/>
        <v>0.88000000000000012</v>
      </c>
      <c r="E516" s="39">
        <f>IF(_xlfn.NORM.INV(R516,C516,'Regressão Grupo 2'!$B$7)&lt;=0,0,IF(_xlfn.NORM.INV(R516,C516,'Regressão Grupo 2'!$B$7)&gt;100%,100%,_xlfn.NORM.INV(R516,C516,'Regressão Grupo 2'!$B$7)))</f>
        <v>0.85550962649551121</v>
      </c>
      <c r="F516" s="39">
        <f>IF(_xlfn.NORM.INV(S516,D516,'Regressão Grupo 2'!$B$7)&lt;=0,0,IF(_xlfn.NORM.INV(S516,D516,'Regressão Grupo 2'!$B$7)&gt;100%,100%,_xlfn.NORM.INV(S516,D516,'Regressão Grupo 2'!$B$7)))</f>
        <v>1</v>
      </c>
      <c r="G516" s="41">
        <v>2.3479273097182684E-2</v>
      </c>
      <c r="H516" s="41">
        <v>1.4302750927744799E-2</v>
      </c>
      <c r="I516" s="40">
        <f t="shared" si="86"/>
        <v>0</v>
      </c>
      <c r="J516" s="40">
        <f t="shared" si="87"/>
        <v>286.05501855489598</v>
      </c>
      <c r="K516" s="36">
        <v>0.30993135688370543</v>
      </c>
      <c r="L516" s="42">
        <f t="shared" si="95"/>
        <v>0</v>
      </c>
      <c r="M516" s="42">
        <f t="shared" si="95"/>
        <v>20000</v>
      </c>
      <c r="N516" s="42">
        <f t="shared" si="88"/>
        <v>6198.6271376741088</v>
      </c>
      <c r="O516" s="36">
        <v>6.7893835271508607</v>
      </c>
      <c r="P516" s="42">
        <f t="shared" si="89"/>
        <v>6161.9865592352462</v>
      </c>
      <c r="Q516" s="42"/>
      <c r="R516">
        <v>0.10180974761192664</v>
      </c>
      <c r="S516">
        <v>0.97268593401898251</v>
      </c>
    </row>
    <row r="517" spans="1:19" x14ac:dyDescent="0.25">
      <c r="A517" s="40">
        <f t="shared" si="90"/>
        <v>0</v>
      </c>
      <c r="B517" s="40">
        <f t="shared" si="91"/>
        <v>50</v>
      </c>
      <c r="C517" s="41">
        <f t="shared" si="84"/>
        <v>1.0313000000000001</v>
      </c>
      <c r="D517" s="41">
        <f t="shared" si="85"/>
        <v>0.88000000000000012</v>
      </c>
      <c r="E517" s="39">
        <f>IF(_xlfn.NORM.INV(R517,C517,'Regressão Grupo 2'!$B$7)&lt;=0,0,IF(_xlfn.NORM.INV(R517,C517,'Regressão Grupo 2'!$B$7)&gt;100%,100%,_xlfn.NORM.INV(R517,C517,'Regressão Grupo 2'!$B$7)))</f>
        <v>0.99669635477757457</v>
      </c>
      <c r="F517" s="39">
        <f>IF(_xlfn.NORM.INV(S517,D517,'Regressão Grupo 2'!$B$7)&lt;=0,0,IF(_xlfn.NORM.INV(S517,D517,'Regressão Grupo 2'!$B$7)&gt;100%,100%,_xlfn.NORM.INV(S517,D517,'Regressão Grupo 2'!$B$7)))</f>
        <v>0.75208584840264003</v>
      </c>
      <c r="G517" s="41">
        <v>1.2721485565454431E-2</v>
      </c>
      <c r="H517" s="41">
        <v>6.4516376323764373E-3</v>
      </c>
      <c r="I517" s="40">
        <f t="shared" si="86"/>
        <v>0</v>
      </c>
      <c r="J517" s="40">
        <f t="shared" si="87"/>
        <v>97.043707246644658</v>
      </c>
      <c r="K517" s="36">
        <v>0.24019382071053447</v>
      </c>
      <c r="L517" s="42">
        <f t="shared" si="95"/>
        <v>0</v>
      </c>
      <c r="M517" s="42">
        <f t="shared" si="95"/>
        <v>20000</v>
      </c>
      <c r="N517" s="42">
        <f t="shared" si="88"/>
        <v>4803.8764142106893</v>
      </c>
      <c r="O517" s="36">
        <v>6.7460907234644027</v>
      </c>
      <c r="P517" s="42">
        <f t="shared" si="89"/>
        <v>-606.35670510564069</v>
      </c>
      <c r="Q517" s="42"/>
      <c r="R517">
        <v>0.40119632557145907</v>
      </c>
      <c r="S517">
        <v>0.17746513260292368</v>
      </c>
    </row>
    <row r="518" spans="1:19" x14ac:dyDescent="0.25">
      <c r="A518" s="40">
        <f t="shared" si="90"/>
        <v>0</v>
      </c>
      <c r="B518" s="40">
        <f t="shared" si="91"/>
        <v>50</v>
      </c>
      <c r="C518" s="41">
        <f t="shared" ref="C518:C581" si="96">-0.0071*A518 + 1.0313</f>
        <v>1.0313000000000001</v>
      </c>
      <c r="D518" s="41">
        <f t="shared" ref="D518:D581" si="97">-0.0059*B518+1.175</f>
        <v>0.88000000000000012</v>
      </c>
      <c r="E518" s="39">
        <f>IF(_xlfn.NORM.INV(R518,C518,'Regressão Grupo 2'!$B$7)&lt;=0,0,IF(_xlfn.NORM.INV(R518,C518,'Regressão Grupo 2'!$B$7)&gt;100%,100%,_xlfn.NORM.INV(R518,C518,'Regressão Grupo 2'!$B$7)))</f>
        <v>1</v>
      </c>
      <c r="F518" s="39">
        <f>IF(_xlfn.NORM.INV(S518,D518,'Regressão Grupo 2'!$B$7)&lt;=0,0,IF(_xlfn.NORM.INV(S518,D518,'Regressão Grupo 2'!$B$7)&gt;100%,100%,_xlfn.NORM.INV(S518,D518,'Regressão Grupo 2'!$B$7)))</f>
        <v>0.95398558623484242</v>
      </c>
      <c r="G518" s="41">
        <v>1.3695030440164017E-2</v>
      </c>
      <c r="H518" s="41">
        <v>1.8327587773481417E-2</v>
      </c>
      <c r="I518" s="40">
        <f t="shared" ref="I518:I581" si="98">IF(E518*G518*L518&gt;0,E518*G518*L518,0)</f>
        <v>0</v>
      </c>
      <c r="J518" s="40">
        <f t="shared" ref="J518:J581" si="99">IF(F518*H518*M518&gt;0,F518*H518*M518,0)</f>
        <v>349.68509132710398</v>
      </c>
      <c r="K518" s="36">
        <v>0.43876536503657426</v>
      </c>
      <c r="L518" s="42">
        <f t="shared" si="95"/>
        <v>0</v>
      </c>
      <c r="M518" s="42">
        <f t="shared" si="95"/>
        <v>20000</v>
      </c>
      <c r="N518" s="42">
        <f t="shared" ref="N518:N581" si="100">(L518+M518)*K518</f>
        <v>8775.3073007314852</v>
      </c>
      <c r="O518" s="36">
        <v>8.1084424054088373</v>
      </c>
      <c r="P518" s="42">
        <f t="shared" ref="P518:P581" si="101">SUMPRODUCT(A518:B518,I518:J518)-SUM(I518:J518)*O518-N518</f>
        <v>5873.5458425677607</v>
      </c>
      <c r="Q518" s="42"/>
      <c r="R518">
        <v>0.6080507827997681</v>
      </c>
      <c r="S518">
        <v>0.70369579149754324</v>
      </c>
    </row>
    <row r="519" spans="1:19" x14ac:dyDescent="0.25">
      <c r="A519" s="40">
        <f t="shared" ref="A519:A582" si="102">A518</f>
        <v>0</v>
      </c>
      <c r="B519" s="40">
        <f t="shared" ref="B519:B582" si="103">B518</f>
        <v>50</v>
      </c>
      <c r="C519" s="41">
        <f t="shared" si="96"/>
        <v>1.0313000000000001</v>
      </c>
      <c r="D519" s="41">
        <f t="shared" si="97"/>
        <v>0.88000000000000012</v>
      </c>
      <c r="E519" s="39">
        <f>IF(_xlfn.NORM.INV(R519,C519,'Regressão Grupo 2'!$B$7)&lt;=0,0,IF(_xlfn.NORM.INV(R519,C519,'Regressão Grupo 2'!$B$7)&gt;100%,100%,_xlfn.NORM.INV(R519,C519,'Regressão Grupo 2'!$B$7)))</f>
        <v>1</v>
      </c>
      <c r="F519" s="39">
        <f>IF(_xlfn.NORM.INV(S519,D519,'Regressão Grupo 2'!$B$7)&lt;=0,0,IF(_xlfn.NORM.INV(S519,D519,'Regressão Grupo 2'!$B$7)&gt;100%,100%,_xlfn.NORM.INV(S519,D519,'Regressão Grupo 2'!$B$7)))</f>
        <v>0.90110516302679455</v>
      </c>
      <c r="G519" s="41">
        <v>1.2052412370934103E-2</v>
      </c>
      <c r="H519" s="41">
        <v>8.8369079380728726E-3</v>
      </c>
      <c r="I519" s="40">
        <f t="shared" si="98"/>
        <v>0</v>
      </c>
      <c r="J519" s="40">
        <f t="shared" si="99"/>
        <v>159.25966736379863</v>
      </c>
      <c r="K519" s="36">
        <v>0.22268066163324002</v>
      </c>
      <c r="L519" s="42">
        <f t="shared" ref="L519:M534" si="104">L518</f>
        <v>0</v>
      </c>
      <c r="M519" s="42">
        <f t="shared" si="104"/>
        <v>20000</v>
      </c>
      <c r="N519" s="42">
        <f t="shared" si="100"/>
        <v>4453.6132326648003</v>
      </c>
      <c r="O519" s="36">
        <v>7.4837886536326215</v>
      </c>
      <c r="P519" s="42">
        <f t="shared" si="101"/>
        <v>2317.5044439266294</v>
      </c>
      <c r="Q519" s="42"/>
      <c r="R519">
        <v>0.75811029389324625</v>
      </c>
      <c r="S519">
        <v>0.56065553758354447</v>
      </c>
    </row>
    <row r="520" spans="1:19" x14ac:dyDescent="0.25">
      <c r="A520" s="40">
        <f t="shared" si="102"/>
        <v>0</v>
      </c>
      <c r="B520" s="40">
        <f t="shared" si="103"/>
        <v>50</v>
      </c>
      <c r="C520" s="41">
        <f t="shared" si="96"/>
        <v>1.0313000000000001</v>
      </c>
      <c r="D520" s="41">
        <f t="shared" si="97"/>
        <v>0.88000000000000012</v>
      </c>
      <c r="E520" s="39">
        <f>IF(_xlfn.NORM.INV(R520,C520,'Regressão Grupo 2'!$B$7)&lt;=0,0,IF(_xlfn.NORM.INV(R520,C520,'Regressão Grupo 2'!$B$7)&gt;100%,100%,_xlfn.NORM.INV(R520,C520,'Regressão Grupo 2'!$B$7)))</f>
        <v>1</v>
      </c>
      <c r="F520" s="39">
        <f>IF(_xlfn.NORM.INV(S520,D520,'Regressão Grupo 2'!$B$7)&lt;=0,0,IF(_xlfn.NORM.INV(S520,D520,'Regressão Grupo 2'!$B$7)&gt;100%,100%,_xlfn.NORM.INV(S520,D520,'Regressão Grupo 2'!$B$7)))</f>
        <v>0.71554897210540624</v>
      </c>
      <c r="G520" s="41">
        <v>1.9035934322744863E-2</v>
      </c>
      <c r="H520" s="41">
        <v>1.9593489394211606E-2</v>
      </c>
      <c r="I520" s="40">
        <f t="shared" si="98"/>
        <v>0</v>
      </c>
      <c r="J520" s="40">
        <f t="shared" si="99"/>
        <v>280.40202391972588</v>
      </c>
      <c r="K520" s="36">
        <v>0.36142987612859567</v>
      </c>
      <c r="L520" s="42">
        <f t="shared" si="104"/>
        <v>0</v>
      </c>
      <c r="M520" s="42">
        <f t="shared" si="104"/>
        <v>20000</v>
      </c>
      <c r="N520" s="42">
        <f t="shared" si="100"/>
        <v>7228.597522571913</v>
      </c>
      <c r="O520" s="36">
        <v>6.5168217119155551</v>
      </c>
      <c r="P520" s="42">
        <f t="shared" si="101"/>
        <v>4964.1736758692468</v>
      </c>
      <c r="Q520" s="42"/>
      <c r="R520">
        <v>0.78630939664906763</v>
      </c>
      <c r="S520">
        <v>0.11716055787835322</v>
      </c>
    </row>
    <row r="521" spans="1:19" x14ac:dyDescent="0.25">
      <c r="A521" s="40">
        <f t="shared" si="102"/>
        <v>0</v>
      </c>
      <c r="B521" s="40">
        <f t="shared" si="103"/>
        <v>50</v>
      </c>
      <c r="C521" s="41">
        <f t="shared" si="96"/>
        <v>1.0313000000000001</v>
      </c>
      <c r="D521" s="41">
        <f t="shared" si="97"/>
        <v>0.88000000000000012</v>
      </c>
      <c r="E521" s="39">
        <f>IF(_xlfn.NORM.INV(R521,C521,'Regressão Grupo 2'!$B$7)&lt;=0,0,IF(_xlfn.NORM.INV(R521,C521,'Regressão Grupo 2'!$B$7)&gt;100%,100%,_xlfn.NORM.INV(R521,C521,'Regressão Grupo 2'!$B$7)))</f>
        <v>1</v>
      </c>
      <c r="F521" s="39">
        <f>IF(_xlfn.NORM.INV(S521,D521,'Regressão Grupo 2'!$B$7)&lt;=0,0,IF(_xlfn.NORM.INV(S521,D521,'Regressão Grupo 2'!$B$7)&gt;100%,100%,_xlfn.NORM.INV(S521,D521,'Regressão Grupo 2'!$B$7)))</f>
        <v>0.8819728384079123</v>
      </c>
      <c r="G521" s="41">
        <v>1.9421295415158968E-2</v>
      </c>
      <c r="H521" s="41">
        <v>2.276357056229196E-2</v>
      </c>
      <c r="I521" s="40">
        <f t="shared" si="98"/>
        <v>0</v>
      </c>
      <c r="J521" s="40">
        <f t="shared" si="99"/>
        <v>401.53701882246872</v>
      </c>
      <c r="K521" s="36">
        <v>0.28332732653169651</v>
      </c>
      <c r="L521" s="42">
        <f t="shared" si="104"/>
        <v>0</v>
      </c>
      <c r="M521" s="42">
        <f t="shared" si="104"/>
        <v>20000</v>
      </c>
      <c r="N521" s="42">
        <f t="shared" si="100"/>
        <v>5666.5465306339302</v>
      </c>
      <c r="O521" s="36">
        <v>7.8417080412213824</v>
      </c>
      <c r="P521" s="42">
        <f t="shared" si="101"/>
        <v>11261.568341141292</v>
      </c>
      <c r="Q521" s="42"/>
      <c r="R521">
        <v>0.87780388805810727</v>
      </c>
      <c r="S521">
        <v>0.50569170201727343</v>
      </c>
    </row>
    <row r="522" spans="1:19" x14ac:dyDescent="0.25">
      <c r="A522" s="40">
        <f t="shared" si="102"/>
        <v>0</v>
      </c>
      <c r="B522" s="40">
        <f t="shared" si="103"/>
        <v>50</v>
      </c>
      <c r="C522" s="41">
        <f t="shared" si="96"/>
        <v>1.0313000000000001</v>
      </c>
      <c r="D522" s="41">
        <f t="shared" si="97"/>
        <v>0.88000000000000012</v>
      </c>
      <c r="E522" s="39">
        <f>IF(_xlfn.NORM.INV(R522,C522,'Regressão Grupo 2'!$B$7)&lt;=0,0,IF(_xlfn.NORM.INV(R522,C522,'Regressão Grupo 2'!$B$7)&gt;100%,100%,_xlfn.NORM.INV(R522,C522,'Regressão Grupo 2'!$B$7)))</f>
        <v>1</v>
      </c>
      <c r="F522" s="39">
        <f>IF(_xlfn.NORM.INV(S522,D522,'Regressão Grupo 2'!$B$7)&lt;=0,0,IF(_xlfn.NORM.INV(S522,D522,'Regressão Grupo 2'!$B$7)&gt;100%,100%,_xlfn.NORM.INV(S522,D522,'Regressão Grupo 2'!$B$7)))</f>
        <v>0.87507496357225378</v>
      </c>
      <c r="G522" s="41">
        <v>2.2242644647979238E-3</v>
      </c>
      <c r="H522" s="41">
        <v>1.4999529115915212E-2</v>
      </c>
      <c r="I522" s="40">
        <f t="shared" si="98"/>
        <v>0</v>
      </c>
      <c r="J522" s="40">
        <f t="shared" si="99"/>
        <v>262.51424789420929</v>
      </c>
      <c r="K522" s="36">
        <v>0.27376020497603293</v>
      </c>
      <c r="L522" s="42">
        <f t="shared" si="104"/>
        <v>0</v>
      </c>
      <c r="M522" s="42">
        <f t="shared" si="104"/>
        <v>20000</v>
      </c>
      <c r="N522" s="42">
        <f t="shared" si="100"/>
        <v>5475.2040995206589</v>
      </c>
      <c r="O522" s="36">
        <v>5.5962478917779208</v>
      </c>
      <c r="P522" s="42">
        <f t="shared" si="101"/>
        <v>6181.4134888501703</v>
      </c>
      <c r="Q522" s="42"/>
      <c r="R522">
        <v>0.88445692312387458</v>
      </c>
      <c r="S522">
        <v>0.48579363383892332</v>
      </c>
    </row>
    <row r="523" spans="1:19" x14ac:dyDescent="0.25">
      <c r="A523" s="40">
        <f t="shared" si="102"/>
        <v>0</v>
      </c>
      <c r="B523" s="40">
        <f t="shared" si="103"/>
        <v>50</v>
      </c>
      <c r="C523" s="41">
        <f t="shared" si="96"/>
        <v>1.0313000000000001</v>
      </c>
      <c r="D523" s="41">
        <f t="shared" si="97"/>
        <v>0.88000000000000012</v>
      </c>
      <c r="E523" s="39">
        <f>IF(_xlfn.NORM.INV(R523,C523,'Regressão Grupo 2'!$B$7)&lt;=0,0,IF(_xlfn.NORM.INV(R523,C523,'Regressão Grupo 2'!$B$7)&gt;100%,100%,_xlfn.NORM.INV(R523,C523,'Regressão Grupo 2'!$B$7)))</f>
        <v>0.99418020069961943</v>
      </c>
      <c r="F523" s="39">
        <f>IF(_xlfn.NORM.INV(S523,D523,'Regressão Grupo 2'!$B$7)&lt;=0,0,IF(_xlfn.NORM.INV(S523,D523,'Regressão Grupo 2'!$B$7)&gt;100%,100%,_xlfn.NORM.INV(S523,D523,'Regressão Grupo 2'!$B$7)))</f>
        <v>0.78929833110114389</v>
      </c>
      <c r="G523" s="41">
        <v>2.2934804839867703E-2</v>
      </c>
      <c r="H523" s="41">
        <v>9.8614234307727432E-3</v>
      </c>
      <c r="I523" s="40">
        <f t="shared" si="98"/>
        <v>0</v>
      </c>
      <c r="J523" s="40">
        <f t="shared" si="99"/>
        <v>155.67210112381287</v>
      </c>
      <c r="K523" s="36">
        <v>0.39809442803340261</v>
      </c>
      <c r="L523" s="42">
        <f t="shared" si="104"/>
        <v>0</v>
      </c>
      <c r="M523" s="42">
        <f t="shared" si="104"/>
        <v>20000</v>
      </c>
      <c r="N523" s="42">
        <f t="shared" si="100"/>
        <v>7961.8885606680524</v>
      </c>
      <c r="O523" s="36">
        <v>4.42932699049571</v>
      </c>
      <c r="P523" s="42">
        <f t="shared" si="101"/>
        <v>-867.80614365229121</v>
      </c>
      <c r="Q523" s="42"/>
      <c r="R523">
        <v>0.39417706839197975</v>
      </c>
      <c r="S523">
        <v>0.25592822046571245</v>
      </c>
    </row>
    <row r="524" spans="1:19" x14ac:dyDescent="0.25">
      <c r="A524" s="40">
        <f t="shared" si="102"/>
        <v>0</v>
      </c>
      <c r="B524" s="40">
        <f t="shared" si="103"/>
        <v>50</v>
      </c>
      <c r="C524" s="41">
        <f t="shared" si="96"/>
        <v>1.0313000000000001</v>
      </c>
      <c r="D524" s="41">
        <f t="shared" si="97"/>
        <v>0.88000000000000012</v>
      </c>
      <c r="E524" s="39">
        <f>IF(_xlfn.NORM.INV(R524,C524,'Regressão Grupo 2'!$B$7)&lt;=0,0,IF(_xlfn.NORM.INV(R524,C524,'Regressão Grupo 2'!$B$7)&gt;100%,100%,_xlfn.NORM.INV(R524,C524,'Regressão Grupo 2'!$B$7)))</f>
        <v>0.93247742838814118</v>
      </c>
      <c r="F524" s="39">
        <f>IF(_xlfn.NORM.INV(S524,D524,'Regressão Grupo 2'!$B$7)&lt;=0,0,IF(_xlfn.NORM.INV(S524,D524,'Regressão Grupo 2'!$B$7)&gt;100%,100%,_xlfn.NORM.INV(S524,D524,'Regressão Grupo 2'!$B$7)))</f>
        <v>0.71032576826682825</v>
      </c>
      <c r="G524" s="41">
        <v>2.2330435438443159E-2</v>
      </c>
      <c r="H524" s="41">
        <v>6.7673218253347898E-3</v>
      </c>
      <c r="I524" s="40">
        <f t="shared" si="98"/>
        <v>0</v>
      </c>
      <c r="J524" s="40">
        <f t="shared" si="99"/>
        <v>96.140061493796182</v>
      </c>
      <c r="K524" s="36">
        <v>0.36431727991567986</v>
      </c>
      <c r="L524" s="42">
        <f t="shared" si="104"/>
        <v>0</v>
      </c>
      <c r="M524" s="42">
        <f t="shared" si="104"/>
        <v>20000</v>
      </c>
      <c r="N524" s="42">
        <f t="shared" si="100"/>
        <v>7286.3455983135973</v>
      </c>
      <c r="O524" s="36">
        <v>3.9183316013793466</v>
      </c>
      <c r="P524" s="42">
        <f t="shared" si="101"/>
        <v>-2856.0511647334833</v>
      </c>
      <c r="Q524" s="42"/>
      <c r="R524">
        <v>0.23740348521378216</v>
      </c>
      <c r="S524">
        <v>0.10989715262306589</v>
      </c>
    </row>
    <row r="525" spans="1:19" x14ac:dyDescent="0.25">
      <c r="A525" s="40">
        <f t="shared" si="102"/>
        <v>0</v>
      </c>
      <c r="B525" s="40">
        <f t="shared" si="103"/>
        <v>50</v>
      </c>
      <c r="C525" s="41">
        <f t="shared" si="96"/>
        <v>1.0313000000000001</v>
      </c>
      <c r="D525" s="41">
        <f t="shared" si="97"/>
        <v>0.88000000000000012</v>
      </c>
      <c r="E525" s="39">
        <f>IF(_xlfn.NORM.INV(R525,C525,'Regressão Grupo 2'!$B$7)&lt;=0,0,IF(_xlfn.NORM.INV(R525,C525,'Regressão Grupo 2'!$B$7)&gt;100%,100%,_xlfn.NORM.INV(R525,C525,'Regressão Grupo 2'!$B$7)))</f>
        <v>1</v>
      </c>
      <c r="F525" s="39">
        <f>IF(_xlfn.NORM.INV(S525,D525,'Regressão Grupo 2'!$B$7)&lt;=0,0,IF(_xlfn.NORM.INV(S525,D525,'Regressão Grupo 2'!$B$7)&gt;100%,100%,_xlfn.NORM.INV(S525,D525,'Regressão Grupo 2'!$B$7)))</f>
        <v>0.88292499728725427</v>
      </c>
      <c r="G525" s="41">
        <v>1.8737619127094641E-2</v>
      </c>
      <c r="H525" s="41">
        <v>1.7242127736882083E-2</v>
      </c>
      <c r="I525" s="40">
        <f t="shared" si="98"/>
        <v>0</v>
      </c>
      <c r="J525" s="40">
        <f t="shared" si="99"/>
        <v>304.47011170626206</v>
      </c>
      <c r="K525" s="36">
        <v>0.28736624715464343</v>
      </c>
      <c r="L525" s="42">
        <f t="shared" si="104"/>
        <v>0</v>
      </c>
      <c r="M525" s="42">
        <f t="shared" si="104"/>
        <v>20000</v>
      </c>
      <c r="N525" s="42">
        <f t="shared" si="100"/>
        <v>5747.3249430928681</v>
      </c>
      <c r="O525" s="36">
        <v>6.6310608475011579</v>
      </c>
      <c r="P525" s="42">
        <f t="shared" si="101"/>
        <v>7457.2208052505375</v>
      </c>
      <c r="Q525" s="42"/>
      <c r="R525">
        <v>0.99044770653401293</v>
      </c>
      <c r="S525">
        <v>0.50843836787011321</v>
      </c>
    </row>
    <row r="526" spans="1:19" x14ac:dyDescent="0.25">
      <c r="A526" s="40">
        <f t="shared" si="102"/>
        <v>0</v>
      </c>
      <c r="B526" s="40">
        <f t="shared" si="103"/>
        <v>50</v>
      </c>
      <c r="C526" s="41">
        <f t="shared" si="96"/>
        <v>1.0313000000000001</v>
      </c>
      <c r="D526" s="41">
        <f t="shared" si="97"/>
        <v>0.88000000000000012</v>
      </c>
      <c r="E526" s="39">
        <f>IF(_xlfn.NORM.INV(R526,C526,'Regressão Grupo 2'!$B$7)&lt;=0,0,IF(_xlfn.NORM.INV(R526,C526,'Regressão Grupo 2'!$B$7)&gt;100%,100%,_xlfn.NORM.INV(R526,C526,'Regressão Grupo 2'!$B$7)))</f>
        <v>0.72867145029211144</v>
      </c>
      <c r="F526" s="39">
        <f>IF(_xlfn.NORM.INV(S526,D526,'Regressão Grupo 2'!$B$7)&lt;=0,0,IF(_xlfn.NORM.INV(S526,D526,'Regressão Grupo 2'!$B$7)&gt;100%,100%,_xlfn.NORM.INV(S526,D526,'Regressão Grupo 2'!$B$7)))</f>
        <v>0.76425040840389125</v>
      </c>
      <c r="G526" s="41">
        <v>1.390892988807033E-2</v>
      </c>
      <c r="H526" s="41">
        <v>1.5166553652345798E-2</v>
      </c>
      <c r="I526" s="40">
        <f t="shared" si="98"/>
        <v>0</v>
      </c>
      <c r="J526" s="40">
        <f t="shared" si="99"/>
        <v>231.82089645769611</v>
      </c>
      <c r="K526" s="36">
        <v>0.2816270917547532</v>
      </c>
      <c r="L526" s="42">
        <f t="shared" si="104"/>
        <v>0</v>
      </c>
      <c r="M526" s="42">
        <f t="shared" si="104"/>
        <v>20000</v>
      </c>
      <c r="N526" s="42">
        <f t="shared" si="100"/>
        <v>5632.541835095064</v>
      </c>
      <c r="O526" s="36">
        <v>8.1459377428575142</v>
      </c>
      <c r="P526" s="42">
        <f t="shared" si="101"/>
        <v>4070.1043977519312</v>
      </c>
      <c r="Q526" s="42"/>
      <c r="R526">
        <v>1.4313180944242684E-2</v>
      </c>
      <c r="S526">
        <v>0.20126956999420148</v>
      </c>
    </row>
    <row r="527" spans="1:19" x14ac:dyDescent="0.25">
      <c r="A527" s="40">
        <f t="shared" si="102"/>
        <v>0</v>
      </c>
      <c r="B527" s="40">
        <f t="shared" si="103"/>
        <v>50</v>
      </c>
      <c r="C527" s="41">
        <f t="shared" si="96"/>
        <v>1.0313000000000001</v>
      </c>
      <c r="D527" s="41">
        <f t="shared" si="97"/>
        <v>0.88000000000000012</v>
      </c>
      <c r="E527" s="39">
        <f>IF(_xlfn.NORM.INV(R527,C527,'Regressão Grupo 2'!$B$7)&lt;=0,0,IF(_xlfn.NORM.INV(R527,C527,'Regressão Grupo 2'!$B$7)&gt;100%,100%,_xlfn.NORM.INV(R527,C527,'Regressão Grupo 2'!$B$7)))</f>
        <v>0.98678769742321037</v>
      </c>
      <c r="F527" s="39">
        <f>IF(_xlfn.NORM.INV(S527,D527,'Regressão Grupo 2'!$B$7)&lt;=0,0,IF(_xlfn.NORM.INV(S527,D527,'Regressão Grupo 2'!$B$7)&gt;100%,100%,_xlfn.NORM.INV(S527,D527,'Regressão Grupo 2'!$B$7)))</f>
        <v>0.92032110517290011</v>
      </c>
      <c r="G527" s="41">
        <v>2.0274401792964331E-2</v>
      </c>
      <c r="H527" s="41">
        <v>5.8746474545802911E-3</v>
      </c>
      <c r="I527" s="40">
        <f t="shared" si="98"/>
        <v>0</v>
      </c>
      <c r="J527" s="40">
        <f t="shared" si="99"/>
        <v>108.13124075800997</v>
      </c>
      <c r="K527" s="36">
        <v>0.21014789522560945</v>
      </c>
      <c r="L527" s="42">
        <f t="shared" si="104"/>
        <v>0</v>
      </c>
      <c r="M527" s="42">
        <f t="shared" si="104"/>
        <v>20000</v>
      </c>
      <c r="N527" s="42">
        <f t="shared" si="100"/>
        <v>4202.9579045121891</v>
      </c>
      <c r="O527" s="36">
        <v>5.4091748793177059</v>
      </c>
      <c r="P527" s="42">
        <f t="shared" si="101"/>
        <v>618.70334221062694</v>
      </c>
      <c r="Q527" s="42"/>
      <c r="R527">
        <v>0.37376018555253759</v>
      </c>
      <c r="S527">
        <v>0.61470381786553541</v>
      </c>
    </row>
    <row r="528" spans="1:19" x14ac:dyDescent="0.25">
      <c r="A528" s="40">
        <f t="shared" si="102"/>
        <v>0</v>
      </c>
      <c r="B528" s="40">
        <f t="shared" si="103"/>
        <v>50</v>
      </c>
      <c r="C528" s="41">
        <f t="shared" si="96"/>
        <v>1.0313000000000001</v>
      </c>
      <c r="D528" s="41">
        <f t="shared" si="97"/>
        <v>0.88000000000000012</v>
      </c>
      <c r="E528" s="39">
        <f>IF(_xlfn.NORM.INV(R528,C528,'Regressão Grupo 2'!$B$7)&lt;=0,0,IF(_xlfn.NORM.INV(R528,C528,'Regressão Grupo 2'!$B$7)&gt;100%,100%,_xlfn.NORM.INV(R528,C528,'Regressão Grupo 2'!$B$7)))</f>
        <v>0.93419046748339074</v>
      </c>
      <c r="F528" s="39">
        <f>IF(_xlfn.NORM.INV(S528,D528,'Regressão Grupo 2'!$B$7)&lt;=0,0,IF(_xlfn.NORM.INV(S528,D528,'Regressão Grupo 2'!$B$7)&gt;100%,100%,_xlfn.NORM.INV(S528,D528,'Regressão Grupo 2'!$B$7)))</f>
        <v>1</v>
      </c>
      <c r="G528" s="41">
        <v>1.6358270514949459E-2</v>
      </c>
      <c r="H528" s="41">
        <v>1.5369857486319782E-2</v>
      </c>
      <c r="I528" s="40">
        <f t="shared" si="98"/>
        <v>0</v>
      </c>
      <c r="J528" s="40">
        <f t="shared" si="99"/>
        <v>307.39714972639564</v>
      </c>
      <c r="K528" s="36">
        <v>0.17743401702609682</v>
      </c>
      <c r="L528" s="42">
        <f t="shared" si="104"/>
        <v>0</v>
      </c>
      <c r="M528" s="42">
        <f t="shared" si="104"/>
        <v>20000</v>
      </c>
      <c r="N528" s="42">
        <f t="shared" si="100"/>
        <v>3548.6803405219362</v>
      </c>
      <c r="O528" s="36">
        <v>4.9967081069220267</v>
      </c>
      <c r="P528" s="42">
        <f t="shared" si="101"/>
        <v>10285.203315715242</v>
      </c>
      <c r="Q528" s="42"/>
      <c r="R528">
        <v>0.2412488174077578</v>
      </c>
      <c r="S528">
        <v>0.94009216589861755</v>
      </c>
    </row>
    <row r="529" spans="1:19" x14ac:dyDescent="0.25">
      <c r="A529" s="40">
        <f t="shared" si="102"/>
        <v>0</v>
      </c>
      <c r="B529" s="40">
        <f t="shared" si="103"/>
        <v>50</v>
      </c>
      <c r="C529" s="41">
        <f t="shared" si="96"/>
        <v>1.0313000000000001</v>
      </c>
      <c r="D529" s="41">
        <f t="shared" si="97"/>
        <v>0.88000000000000012</v>
      </c>
      <c r="E529" s="39">
        <f>IF(_xlfn.NORM.INV(R529,C529,'Regressão Grupo 2'!$B$7)&lt;=0,0,IF(_xlfn.NORM.INV(R529,C529,'Regressão Grupo 2'!$B$7)&gt;100%,100%,_xlfn.NORM.INV(R529,C529,'Regressão Grupo 2'!$B$7)))</f>
        <v>1</v>
      </c>
      <c r="F529" s="39">
        <f>IF(_xlfn.NORM.INV(S529,D529,'Regressão Grupo 2'!$B$7)&lt;=0,0,IF(_xlfn.NORM.INV(S529,D529,'Regressão Grupo 2'!$B$7)&gt;100%,100%,_xlfn.NORM.INV(S529,D529,'Regressão Grupo 2'!$B$7)))</f>
        <v>0.82519602990261787</v>
      </c>
      <c r="G529" s="41">
        <v>2.022005322640516E-2</v>
      </c>
      <c r="H529" s="41">
        <v>1.0899859920091562E-2</v>
      </c>
      <c r="I529" s="40">
        <f t="shared" si="98"/>
        <v>0</v>
      </c>
      <c r="J529" s="40">
        <f t="shared" si="99"/>
        <v>179.89042265108446</v>
      </c>
      <c r="K529" s="36">
        <v>0.37673084777702692</v>
      </c>
      <c r="L529" s="42">
        <f t="shared" si="104"/>
        <v>0</v>
      </c>
      <c r="M529" s="42">
        <f t="shared" si="104"/>
        <v>20000</v>
      </c>
      <c r="N529" s="42">
        <f t="shared" si="100"/>
        <v>7534.6169555405386</v>
      </c>
      <c r="O529" s="36">
        <v>8.5030540524131712</v>
      </c>
      <c r="P529" s="42">
        <f t="shared" si="101"/>
        <v>-69.713810299937904</v>
      </c>
      <c r="Q529" s="42"/>
      <c r="R529">
        <v>0.72869045075838501</v>
      </c>
      <c r="S529">
        <v>0.34592730491042817</v>
      </c>
    </row>
    <row r="530" spans="1:19" x14ac:dyDescent="0.25">
      <c r="A530" s="40">
        <f t="shared" si="102"/>
        <v>0</v>
      </c>
      <c r="B530" s="40">
        <f t="shared" si="103"/>
        <v>50</v>
      </c>
      <c r="C530" s="41">
        <f t="shared" si="96"/>
        <v>1.0313000000000001</v>
      </c>
      <c r="D530" s="41">
        <f t="shared" si="97"/>
        <v>0.88000000000000012</v>
      </c>
      <c r="E530" s="39">
        <f>IF(_xlfn.NORM.INV(R530,C530,'Regressão Grupo 2'!$B$7)&lt;=0,0,IF(_xlfn.NORM.INV(R530,C530,'Regressão Grupo 2'!$B$7)&gt;100%,100%,_xlfn.NORM.INV(R530,C530,'Regressão Grupo 2'!$B$7)))</f>
        <v>0.87575299563870945</v>
      </c>
      <c r="F530" s="39">
        <f>IF(_xlfn.NORM.INV(S530,D530,'Regressão Grupo 2'!$B$7)&lt;=0,0,IF(_xlfn.NORM.INV(S530,D530,'Regressão Grupo 2'!$B$7)&gt;100%,100%,_xlfn.NORM.INV(S530,D530,'Regressão Grupo 2'!$B$7)))</f>
        <v>0.91947198985002987</v>
      </c>
      <c r="G530" s="41">
        <v>5.8640484292084884E-3</v>
      </c>
      <c r="H530" s="41">
        <v>1.9037810111071751E-2</v>
      </c>
      <c r="I530" s="40">
        <f t="shared" si="98"/>
        <v>0</v>
      </c>
      <c r="J530" s="40">
        <f t="shared" si="99"/>
        <v>350.09466290428321</v>
      </c>
      <c r="K530" s="36">
        <v>0.12869623547364509</v>
      </c>
      <c r="L530" s="42">
        <f t="shared" si="104"/>
        <v>0</v>
      </c>
      <c r="M530" s="42">
        <f t="shared" si="104"/>
        <v>20000</v>
      </c>
      <c r="N530" s="42">
        <f t="shared" si="100"/>
        <v>2573.9247094729017</v>
      </c>
      <c r="O530" s="36">
        <v>5.7854178504980753</v>
      </c>
      <c r="P530" s="42">
        <f t="shared" si="101"/>
        <v>12905.364523610711</v>
      </c>
      <c r="Q530" s="42"/>
      <c r="R530">
        <v>0.130314035462508</v>
      </c>
      <c r="S530">
        <v>0.61235389263588369</v>
      </c>
    </row>
    <row r="531" spans="1:19" x14ac:dyDescent="0.25">
      <c r="A531" s="40">
        <f t="shared" si="102"/>
        <v>0</v>
      </c>
      <c r="B531" s="40">
        <f t="shared" si="103"/>
        <v>50</v>
      </c>
      <c r="C531" s="41">
        <f t="shared" si="96"/>
        <v>1.0313000000000001</v>
      </c>
      <c r="D531" s="41">
        <f t="shared" si="97"/>
        <v>0.88000000000000012</v>
      </c>
      <c r="E531" s="39">
        <f>IF(_xlfn.NORM.INV(R531,C531,'Regressão Grupo 2'!$B$7)&lt;=0,0,IF(_xlfn.NORM.INV(R531,C531,'Regressão Grupo 2'!$B$7)&gt;100%,100%,_xlfn.NORM.INV(R531,C531,'Regressão Grupo 2'!$B$7)))</f>
        <v>1</v>
      </c>
      <c r="F531" s="39">
        <f>IF(_xlfn.NORM.INV(S531,D531,'Regressão Grupo 2'!$B$7)&lt;=0,0,IF(_xlfn.NORM.INV(S531,D531,'Regressão Grupo 2'!$B$7)&gt;100%,100%,_xlfn.NORM.INV(S531,D531,'Regressão Grupo 2'!$B$7)))</f>
        <v>0.83745509951190611</v>
      </c>
      <c r="G531" s="41">
        <v>1.8500452706236497E-2</v>
      </c>
      <c r="H531" s="41">
        <v>1.5133398073256791E-2</v>
      </c>
      <c r="I531" s="40">
        <f t="shared" si="98"/>
        <v>0</v>
      </c>
      <c r="J531" s="40">
        <f t="shared" si="99"/>
        <v>253.47082778785105</v>
      </c>
      <c r="K531" s="36">
        <v>0.25869783640818689</v>
      </c>
      <c r="L531" s="42">
        <f t="shared" si="104"/>
        <v>0</v>
      </c>
      <c r="M531" s="42">
        <f t="shared" si="104"/>
        <v>20000</v>
      </c>
      <c r="N531" s="42">
        <f t="shared" si="100"/>
        <v>5173.9567281637374</v>
      </c>
      <c r="O531" s="36">
        <v>4.0211643131473398</v>
      </c>
      <c r="P531" s="42">
        <f t="shared" si="101"/>
        <v>6480.3368141043939</v>
      </c>
      <c r="Q531" s="42"/>
      <c r="R531">
        <v>0.92992950224311044</v>
      </c>
      <c r="S531">
        <v>0.37916196172978911</v>
      </c>
    </row>
    <row r="532" spans="1:19" x14ac:dyDescent="0.25">
      <c r="A532" s="40">
        <f t="shared" si="102"/>
        <v>0</v>
      </c>
      <c r="B532" s="40">
        <f t="shared" si="103"/>
        <v>50</v>
      </c>
      <c r="C532" s="41">
        <f t="shared" si="96"/>
        <v>1.0313000000000001</v>
      </c>
      <c r="D532" s="41">
        <f t="shared" si="97"/>
        <v>0.88000000000000012</v>
      </c>
      <c r="E532" s="39">
        <f>IF(_xlfn.NORM.INV(R532,C532,'Regressão Grupo 2'!$B$7)&lt;=0,0,IF(_xlfn.NORM.INV(R532,C532,'Regressão Grupo 2'!$B$7)&gt;100%,100%,_xlfn.NORM.INV(R532,C532,'Regressão Grupo 2'!$B$7)))</f>
        <v>0.93662553211404731</v>
      </c>
      <c r="F532" s="39">
        <f>IF(_xlfn.NORM.INV(S532,D532,'Regressão Grupo 2'!$B$7)&lt;=0,0,IF(_xlfn.NORM.INV(S532,D532,'Regressão Grupo 2'!$B$7)&gt;100%,100%,_xlfn.NORM.INV(S532,D532,'Regressão Grupo 2'!$B$7)))</f>
        <v>0.7794766423943853</v>
      </c>
      <c r="G532" s="41">
        <v>2.2821259238282092E-2</v>
      </c>
      <c r="H532" s="41">
        <v>1.8186308005687025E-2</v>
      </c>
      <c r="I532" s="40">
        <f t="shared" si="98"/>
        <v>0</v>
      </c>
      <c r="J532" s="40">
        <f t="shared" si="99"/>
        <v>283.51604603646103</v>
      </c>
      <c r="K532" s="36">
        <v>0.21048975031339517</v>
      </c>
      <c r="L532" s="42">
        <f t="shared" si="104"/>
        <v>0</v>
      </c>
      <c r="M532" s="42">
        <f t="shared" si="104"/>
        <v>20000</v>
      </c>
      <c r="N532" s="42">
        <f t="shared" si="100"/>
        <v>4209.7950062679038</v>
      </c>
      <c r="O532" s="36">
        <v>5.8032377845950673</v>
      </c>
      <c r="P532" s="42">
        <f t="shared" si="101"/>
        <v>8320.6962646573629</v>
      </c>
      <c r="Q532" s="42"/>
      <c r="R532">
        <v>0.24677266762291331</v>
      </c>
      <c r="S532">
        <v>0.2336191900387585</v>
      </c>
    </row>
    <row r="533" spans="1:19" x14ac:dyDescent="0.25">
      <c r="A533" s="40">
        <f t="shared" si="102"/>
        <v>0</v>
      </c>
      <c r="B533" s="40">
        <f t="shared" si="103"/>
        <v>50</v>
      </c>
      <c r="C533" s="41">
        <f t="shared" si="96"/>
        <v>1.0313000000000001</v>
      </c>
      <c r="D533" s="41">
        <f t="shared" si="97"/>
        <v>0.88000000000000012</v>
      </c>
      <c r="E533" s="39">
        <f>IF(_xlfn.NORM.INV(R533,C533,'Regressão Grupo 2'!$B$7)&lt;=0,0,IF(_xlfn.NORM.INV(R533,C533,'Regressão Grupo 2'!$B$7)&gt;100%,100%,_xlfn.NORM.INV(R533,C533,'Regressão Grupo 2'!$B$7)))</f>
        <v>0.95741204141318403</v>
      </c>
      <c r="F533" s="39">
        <f>IF(_xlfn.NORM.INV(S533,D533,'Regressão Grupo 2'!$B$7)&lt;=0,0,IF(_xlfn.NORM.INV(S533,D533,'Regressão Grupo 2'!$B$7)&gt;100%,100%,_xlfn.NORM.INV(S533,D533,'Regressão Grupo 2'!$B$7)))</f>
        <v>0.74246117738933626</v>
      </c>
      <c r="G533" s="41">
        <v>8.5195430876218049E-3</v>
      </c>
      <c r="H533" s="41">
        <v>2.4712989299833133E-3</v>
      </c>
      <c r="I533" s="40">
        <f t="shared" si="98"/>
        <v>0</v>
      </c>
      <c r="J533" s="40">
        <f t="shared" si="99"/>
        <v>36.696870264728354</v>
      </c>
      <c r="K533" s="36">
        <v>0.39423136077726162</v>
      </c>
      <c r="L533" s="42">
        <f t="shared" si="104"/>
        <v>0</v>
      </c>
      <c r="M533" s="42">
        <f t="shared" si="104"/>
        <v>20000</v>
      </c>
      <c r="N533" s="42">
        <f t="shared" si="100"/>
        <v>7884.6272155452325</v>
      </c>
      <c r="O533" s="36">
        <v>4.0022720901579572</v>
      </c>
      <c r="P533" s="42">
        <f t="shared" si="101"/>
        <v>-6196.6545619654844</v>
      </c>
      <c r="Q533" s="42"/>
      <c r="R533">
        <v>0.29654835657826473</v>
      </c>
      <c r="S533">
        <v>0.15994750816370129</v>
      </c>
    </row>
    <row r="534" spans="1:19" x14ac:dyDescent="0.25">
      <c r="A534" s="40">
        <f t="shared" si="102"/>
        <v>0</v>
      </c>
      <c r="B534" s="40">
        <f t="shared" si="103"/>
        <v>50</v>
      </c>
      <c r="C534" s="41">
        <f t="shared" si="96"/>
        <v>1.0313000000000001</v>
      </c>
      <c r="D534" s="41">
        <f t="shared" si="97"/>
        <v>0.88000000000000012</v>
      </c>
      <c r="E534" s="39">
        <f>IF(_xlfn.NORM.INV(R534,C534,'Regressão Grupo 2'!$B$7)&lt;=0,0,IF(_xlfn.NORM.INV(R534,C534,'Regressão Grupo 2'!$B$7)&gt;100%,100%,_xlfn.NORM.INV(R534,C534,'Regressão Grupo 2'!$B$7)))</f>
        <v>1</v>
      </c>
      <c r="F534" s="39">
        <f>IF(_xlfn.NORM.INV(S534,D534,'Regressão Grupo 2'!$B$7)&lt;=0,0,IF(_xlfn.NORM.INV(S534,D534,'Regressão Grupo 2'!$B$7)&gt;100%,100%,_xlfn.NORM.INV(S534,D534,'Regressão Grupo 2'!$B$7)))</f>
        <v>0.90270117110631409</v>
      </c>
      <c r="G534" s="41">
        <v>1.6509975062420204E-2</v>
      </c>
      <c r="H534" s="41">
        <v>8.2863234327753745E-3</v>
      </c>
      <c r="I534" s="40">
        <f t="shared" si="98"/>
        <v>0</v>
      </c>
      <c r="J534" s="40">
        <f t="shared" si="99"/>
        <v>149.60147733864045</v>
      </c>
      <c r="K534" s="36">
        <v>0.22658905880912719</v>
      </c>
      <c r="L534" s="42">
        <f t="shared" si="104"/>
        <v>0</v>
      </c>
      <c r="M534" s="42">
        <f t="shared" si="104"/>
        <v>20000</v>
      </c>
      <c r="N534" s="42">
        <f t="shared" si="100"/>
        <v>4531.7811761825442</v>
      </c>
      <c r="O534" s="36">
        <v>4.380677564405703</v>
      </c>
      <c r="P534" s="42">
        <f t="shared" si="101"/>
        <v>2292.9368553701479</v>
      </c>
      <c r="Q534" s="42"/>
      <c r="R534">
        <v>0.54539628284554587</v>
      </c>
      <c r="S534">
        <v>0.56520279549546804</v>
      </c>
    </row>
    <row r="535" spans="1:19" x14ac:dyDescent="0.25">
      <c r="A535" s="40">
        <f t="shared" si="102"/>
        <v>0</v>
      </c>
      <c r="B535" s="40">
        <f t="shared" si="103"/>
        <v>50</v>
      </c>
      <c r="C535" s="41">
        <f t="shared" si="96"/>
        <v>1.0313000000000001</v>
      </c>
      <c r="D535" s="41">
        <f t="shared" si="97"/>
        <v>0.88000000000000012</v>
      </c>
      <c r="E535" s="39">
        <f>IF(_xlfn.NORM.INV(R535,C535,'Regressão Grupo 2'!$B$7)&lt;=0,0,IF(_xlfn.NORM.INV(R535,C535,'Regressão Grupo 2'!$B$7)&gt;100%,100%,_xlfn.NORM.INV(R535,C535,'Regressão Grupo 2'!$B$7)))</f>
        <v>0.89843583372410185</v>
      </c>
      <c r="F535" s="39">
        <f>IF(_xlfn.NORM.INV(S535,D535,'Regressão Grupo 2'!$B$7)&lt;=0,0,IF(_xlfn.NORM.INV(S535,D535,'Regressão Grupo 2'!$B$7)&gt;100%,100%,_xlfn.NORM.INV(S535,D535,'Regressão Grupo 2'!$B$7)))</f>
        <v>0.8069525596472481</v>
      </c>
      <c r="G535" s="41">
        <v>2.2020209611547999E-2</v>
      </c>
      <c r="H535" s="41">
        <v>2.3414533475835095E-2</v>
      </c>
      <c r="I535" s="40">
        <f t="shared" si="98"/>
        <v>0</v>
      </c>
      <c r="J535" s="40">
        <f t="shared" si="99"/>
        <v>377.88835442542614</v>
      </c>
      <c r="K535" s="36">
        <v>0.19328917094327297</v>
      </c>
      <c r="L535" s="42">
        <f t="shared" ref="L535:M550" si="105">L534</f>
        <v>0</v>
      </c>
      <c r="M535" s="42">
        <f t="shared" si="105"/>
        <v>20000</v>
      </c>
      <c r="N535" s="42">
        <f t="shared" si="100"/>
        <v>3865.7834188654592</v>
      </c>
      <c r="O535" s="36">
        <v>5.1425247525531779</v>
      </c>
      <c r="P535" s="42">
        <f t="shared" si="101"/>
        <v>13085.334086071507</v>
      </c>
      <c r="Q535" s="42"/>
      <c r="R535">
        <v>0.16830957976012451</v>
      </c>
      <c r="S535">
        <v>0.29865413373210853</v>
      </c>
    </row>
    <row r="536" spans="1:19" x14ac:dyDescent="0.25">
      <c r="A536" s="40">
        <f t="shared" si="102"/>
        <v>0</v>
      </c>
      <c r="B536" s="40">
        <f t="shared" si="103"/>
        <v>50</v>
      </c>
      <c r="C536" s="41">
        <f t="shared" si="96"/>
        <v>1.0313000000000001</v>
      </c>
      <c r="D536" s="41">
        <f t="shared" si="97"/>
        <v>0.88000000000000012</v>
      </c>
      <c r="E536" s="39">
        <f>IF(_xlfn.NORM.INV(R536,C536,'Regressão Grupo 2'!$B$7)&lt;=0,0,IF(_xlfn.NORM.INV(R536,C536,'Regressão Grupo 2'!$B$7)&gt;100%,100%,_xlfn.NORM.INV(R536,C536,'Regressão Grupo 2'!$B$7)))</f>
        <v>1</v>
      </c>
      <c r="F536" s="39">
        <f>IF(_xlfn.NORM.INV(S536,D536,'Regressão Grupo 2'!$B$7)&lt;=0,0,IF(_xlfn.NORM.INV(S536,D536,'Regressão Grupo 2'!$B$7)&gt;100%,100%,_xlfn.NORM.INV(S536,D536,'Regressão Grupo 2'!$B$7)))</f>
        <v>1</v>
      </c>
      <c r="G536" s="41">
        <v>7.4172847004531032E-3</v>
      </c>
      <c r="H536" s="41">
        <v>2.1990085784571387E-2</v>
      </c>
      <c r="I536" s="40">
        <f t="shared" si="98"/>
        <v>0</v>
      </c>
      <c r="J536" s="40">
        <f t="shared" si="99"/>
        <v>439.80171569142772</v>
      </c>
      <c r="K536" s="36">
        <v>0.24004968578953007</v>
      </c>
      <c r="L536" s="42">
        <f t="shared" si="105"/>
        <v>0</v>
      </c>
      <c r="M536" s="42">
        <f t="shared" si="105"/>
        <v>20000</v>
      </c>
      <c r="N536" s="42">
        <f t="shared" si="100"/>
        <v>4800.9937157906015</v>
      </c>
      <c r="O536" s="36">
        <v>7.2436370473062652</v>
      </c>
      <c r="P536" s="42">
        <f t="shared" si="101"/>
        <v>14003.328067529503</v>
      </c>
      <c r="Q536" s="42"/>
      <c r="R536">
        <v>0.8070009460737938</v>
      </c>
      <c r="S536">
        <v>0.92919705801568653</v>
      </c>
    </row>
    <row r="537" spans="1:19" x14ac:dyDescent="0.25">
      <c r="A537" s="40">
        <f t="shared" si="102"/>
        <v>0</v>
      </c>
      <c r="B537" s="40">
        <f t="shared" si="103"/>
        <v>50</v>
      </c>
      <c r="C537" s="41">
        <f t="shared" si="96"/>
        <v>1.0313000000000001</v>
      </c>
      <c r="D537" s="41">
        <f t="shared" si="97"/>
        <v>0.88000000000000012</v>
      </c>
      <c r="E537" s="39">
        <f>IF(_xlfn.NORM.INV(R537,C537,'Regressão Grupo 2'!$B$7)&lt;=0,0,IF(_xlfn.NORM.INV(R537,C537,'Regressão Grupo 2'!$B$7)&gt;100%,100%,_xlfn.NORM.INV(R537,C537,'Regressão Grupo 2'!$B$7)))</f>
        <v>0.84179657149293563</v>
      </c>
      <c r="F537" s="39">
        <f>IF(_xlfn.NORM.INV(S537,D537,'Regressão Grupo 2'!$B$7)&lt;=0,0,IF(_xlfn.NORM.INV(S537,D537,'Regressão Grupo 2'!$B$7)&gt;100%,100%,_xlfn.NORM.INV(S537,D537,'Regressão Grupo 2'!$B$7)))</f>
        <v>0.74011683821619723</v>
      </c>
      <c r="G537" s="41">
        <v>1.6900465083071203E-2</v>
      </c>
      <c r="H537" s="41">
        <v>9.8249455632456167E-3</v>
      </c>
      <c r="I537" s="40">
        <f t="shared" si="98"/>
        <v>0</v>
      </c>
      <c r="J537" s="40">
        <f t="shared" si="99"/>
        <v>145.43215291831203</v>
      </c>
      <c r="K537" s="36">
        <v>0.13879061877306631</v>
      </c>
      <c r="L537" s="42">
        <f t="shared" si="105"/>
        <v>0</v>
      </c>
      <c r="M537" s="42">
        <f t="shared" si="105"/>
        <v>20000</v>
      </c>
      <c r="N537" s="42">
        <f t="shared" si="100"/>
        <v>2775.8123754613262</v>
      </c>
      <c r="O537" s="36">
        <v>6.1667657497849868</v>
      </c>
      <c r="P537" s="42">
        <f t="shared" si="101"/>
        <v>3598.9492509201355</v>
      </c>
      <c r="Q537" s="42"/>
      <c r="R537">
        <v>8.526871547593616E-2</v>
      </c>
      <c r="S537">
        <v>0.15585802789391767</v>
      </c>
    </row>
    <row r="538" spans="1:19" x14ac:dyDescent="0.25">
      <c r="A538" s="40">
        <f t="shared" si="102"/>
        <v>0</v>
      </c>
      <c r="B538" s="40">
        <f t="shared" si="103"/>
        <v>50</v>
      </c>
      <c r="C538" s="41">
        <f t="shared" si="96"/>
        <v>1.0313000000000001</v>
      </c>
      <c r="D538" s="41">
        <f t="shared" si="97"/>
        <v>0.88000000000000012</v>
      </c>
      <c r="E538" s="39">
        <f>IF(_xlfn.NORM.INV(R538,C538,'Regressão Grupo 2'!$B$7)&lt;=0,0,IF(_xlfn.NORM.INV(R538,C538,'Regressão Grupo 2'!$B$7)&gt;100%,100%,_xlfn.NORM.INV(R538,C538,'Regressão Grupo 2'!$B$7)))</f>
        <v>1</v>
      </c>
      <c r="F538" s="39">
        <f>IF(_xlfn.NORM.INV(S538,D538,'Regressão Grupo 2'!$B$7)&lt;=0,0,IF(_xlfn.NORM.INV(S538,D538,'Regressão Grupo 2'!$B$7)&gt;100%,100%,_xlfn.NORM.INV(S538,D538,'Regressão Grupo 2'!$B$7)))</f>
        <v>0.96413900502205985</v>
      </c>
      <c r="G538" s="41">
        <v>1.6561829895282876E-2</v>
      </c>
      <c r="H538" s="41">
        <v>1.5559828839230995E-2</v>
      </c>
      <c r="I538" s="40">
        <f t="shared" si="98"/>
        <v>0</v>
      </c>
      <c r="J538" s="40">
        <f t="shared" si="99"/>
        <v>300.03675790739447</v>
      </c>
      <c r="K538" s="36">
        <v>0.21895775941263815</v>
      </c>
      <c r="L538" s="42">
        <f t="shared" si="105"/>
        <v>0</v>
      </c>
      <c r="M538" s="42">
        <f t="shared" si="105"/>
        <v>20000</v>
      </c>
      <c r="N538" s="42">
        <f t="shared" si="100"/>
        <v>4379.1551882527629</v>
      </c>
      <c r="O538" s="36">
        <v>3.5881220237226645</v>
      </c>
      <c r="P538" s="42">
        <f t="shared" si="101"/>
        <v>9546.1142081430917</v>
      </c>
      <c r="Q538" s="42"/>
      <c r="R538">
        <v>0.50672933133945741</v>
      </c>
      <c r="S538">
        <v>0.72856837672048103</v>
      </c>
    </row>
    <row r="539" spans="1:19" x14ac:dyDescent="0.25">
      <c r="A539" s="40">
        <f t="shared" si="102"/>
        <v>0</v>
      </c>
      <c r="B539" s="40">
        <f t="shared" si="103"/>
        <v>50</v>
      </c>
      <c r="C539" s="41">
        <f t="shared" si="96"/>
        <v>1.0313000000000001</v>
      </c>
      <c r="D539" s="41">
        <f t="shared" si="97"/>
        <v>0.88000000000000012</v>
      </c>
      <c r="E539" s="39">
        <f>IF(_xlfn.NORM.INV(R539,C539,'Regressão Grupo 2'!$B$7)&lt;=0,0,IF(_xlfn.NORM.INV(R539,C539,'Regressão Grupo 2'!$B$7)&gt;100%,100%,_xlfn.NORM.INV(R539,C539,'Regressão Grupo 2'!$B$7)))</f>
        <v>1</v>
      </c>
      <c r="F539" s="39">
        <f>IF(_xlfn.NORM.INV(S539,D539,'Regressão Grupo 2'!$B$7)&lt;=0,0,IF(_xlfn.NORM.INV(S539,D539,'Regressão Grupo 2'!$B$7)&gt;100%,100%,_xlfn.NORM.INV(S539,D539,'Regressão Grupo 2'!$B$7)))</f>
        <v>0.98392942062641808</v>
      </c>
      <c r="G539" s="41">
        <v>4.1857894136520888E-3</v>
      </c>
      <c r="H539" s="41">
        <v>2.131462632273242E-2</v>
      </c>
      <c r="I539" s="40">
        <f t="shared" si="98"/>
        <v>0</v>
      </c>
      <c r="J539" s="40">
        <f t="shared" si="99"/>
        <v>419.44175857189424</v>
      </c>
      <c r="K539" s="36">
        <v>0.23448169819138032</v>
      </c>
      <c r="L539" s="42">
        <f t="shared" si="105"/>
        <v>0</v>
      </c>
      <c r="M539" s="42">
        <f t="shared" si="105"/>
        <v>20000</v>
      </c>
      <c r="N539" s="42">
        <f t="shared" si="100"/>
        <v>4689.6339638276067</v>
      </c>
      <c r="O539" s="36">
        <v>10.635761660362574</v>
      </c>
      <c r="P539" s="42">
        <f t="shared" si="101"/>
        <v>11821.371390193097</v>
      </c>
      <c r="Q539" s="42"/>
      <c r="R539">
        <v>0.85253456221198154</v>
      </c>
      <c r="S539">
        <v>0.77385784478286079</v>
      </c>
    </row>
    <row r="540" spans="1:19" x14ac:dyDescent="0.25">
      <c r="A540" s="40">
        <f t="shared" si="102"/>
        <v>0</v>
      </c>
      <c r="B540" s="40">
        <f t="shared" si="103"/>
        <v>50</v>
      </c>
      <c r="C540" s="41">
        <f t="shared" si="96"/>
        <v>1.0313000000000001</v>
      </c>
      <c r="D540" s="41">
        <f t="shared" si="97"/>
        <v>0.88000000000000012</v>
      </c>
      <c r="E540" s="39">
        <f>IF(_xlfn.NORM.INV(R540,C540,'Regressão Grupo 2'!$B$7)&lt;=0,0,IF(_xlfn.NORM.INV(R540,C540,'Regressão Grupo 2'!$B$7)&gt;100%,100%,_xlfn.NORM.INV(R540,C540,'Regressão Grupo 2'!$B$7)))</f>
        <v>1</v>
      </c>
      <c r="F540" s="39">
        <f>IF(_xlfn.NORM.INV(S540,D540,'Regressão Grupo 2'!$B$7)&lt;=0,0,IF(_xlfn.NORM.INV(S540,D540,'Regressão Grupo 2'!$B$7)&gt;100%,100%,_xlfn.NORM.INV(S540,D540,'Regressão Grupo 2'!$B$7)))</f>
        <v>0.68458961802011786</v>
      </c>
      <c r="G540" s="41">
        <v>1.7073129382232943E-3</v>
      </c>
      <c r="H540" s="41">
        <v>2.3095050934296452E-2</v>
      </c>
      <c r="I540" s="40">
        <f t="shared" si="98"/>
        <v>0</v>
      </c>
      <c r="J540" s="40">
        <f t="shared" si="99"/>
        <v>316.21264194530346</v>
      </c>
      <c r="K540" s="36">
        <v>0.24141378646072548</v>
      </c>
      <c r="L540" s="42">
        <f t="shared" si="105"/>
        <v>0</v>
      </c>
      <c r="M540" s="42">
        <f t="shared" si="105"/>
        <v>20000</v>
      </c>
      <c r="N540" s="42">
        <f t="shared" si="100"/>
        <v>4828.2757292145097</v>
      </c>
      <c r="O540" s="36">
        <v>4.0113383553860231</v>
      </c>
      <c r="P540" s="42">
        <f t="shared" si="101"/>
        <v>9713.9204689575199</v>
      </c>
      <c r="Q540" s="42"/>
      <c r="R540">
        <v>0.6454054383983886</v>
      </c>
      <c r="S540">
        <v>7.8798791467024745E-2</v>
      </c>
    </row>
    <row r="541" spans="1:19" x14ac:dyDescent="0.25">
      <c r="A541" s="40">
        <f t="shared" si="102"/>
        <v>0</v>
      </c>
      <c r="B541" s="40">
        <f t="shared" si="103"/>
        <v>50</v>
      </c>
      <c r="C541" s="41">
        <f t="shared" si="96"/>
        <v>1.0313000000000001</v>
      </c>
      <c r="D541" s="41">
        <f t="shared" si="97"/>
        <v>0.88000000000000012</v>
      </c>
      <c r="E541" s="39">
        <f>IF(_xlfn.NORM.INV(R541,C541,'Regressão Grupo 2'!$B$7)&lt;=0,0,IF(_xlfn.NORM.INV(R541,C541,'Regressão Grupo 2'!$B$7)&gt;100%,100%,_xlfn.NORM.INV(R541,C541,'Regressão Grupo 2'!$B$7)))</f>
        <v>0.94688078130026865</v>
      </c>
      <c r="F541" s="39">
        <f>IF(_xlfn.NORM.INV(S541,D541,'Regressão Grupo 2'!$B$7)&lt;=0,0,IF(_xlfn.NORM.INV(S541,D541,'Regressão Grupo 2'!$B$7)&gt;100%,100%,_xlfn.NORM.INV(S541,D541,'Regressão Grupo 2'!$B$7)))</f>
        <v>1</v>
      </c>
      <c r="G541" s="41">
        <v>1.2434989196533368E-2</v>
      </c>
      <c r="H541" s="41">
        <v>1.7966383736753019E-2</v>
      </c>
      <c r="I541" s="40">
        <f t="shared" si="98"/>
        <v>0</v>
      </c>
      <c r="J541" s="40">
        <f t="shared" si="99"/>
        <v>359.32767473506038</v>
      </c>
      <c r="K541" s="36">
        <v>0.31557981107351829</v>
      </c>
      <c r="L541" s="42">
        <f t="shared" si="105"/>
        <v>0</v>
      </c>
      <c r="M541" s="42">
        <f t="shared" si="105"/>
        <v>20000</v>
      </c>
      <c r="N541" s="42">
        <f t="shared" si="100"/>
        <v>6311.5962214703659</v>
      </c>
      <c r="O541" s="36">
        <v>5.7279976318043424</v>
      </c>
      <c r="P541" s="42">
        <f t="shared" si="101"/>
        <v>9596.5594453584636</v>
      </c>
      <c r="Q541" s="42"/>
      <c r="R541">
        <v>0.27076021607104711</v>
      </c>
      <c r="S541">
        <v>0.80968657490768148</v>
      </c>
    </row>
    <row r="542" spans="1:19" x14ac:dyDescent="0.25">
      <c r="A542" s="40">
        <f t="shared" si="102"/>
        <v>0</v>
      </c>
      <c r="B542" s="40">
        <f t="shared" si="103"/>
        <v>50</v>
      </c>
      <c r="C542" s="41">
        <f t="shared" si="96"/>
        <v>1.0313000000000001</v>
      </c>
      <c r="D542" s="41">
        <f t="shared" si="97"/>
        <v>0.88000000000000012</v>
      </c>
      <c r="E542" s="39">
        <f>IF(_xlfn.NORM.INV(R542,C542,'Regressão Grupo 2'!$B$7)&lt;=0,0,IF(_xlfn.NORM.INV(R542,C542,'Regressão Grupo 2'!$B$7)&gt;100%,100%,_xlfn.NORM.INV(R542,C542,'Regressão Grupo 2'!$B$7)))</f>
        <v>1</v>
      </c>
      <c r="F542" s="39">
        <f>IF(_xlfn.NORM.INV(S542,D542,'Regressão Grupo 2'!$B$7)&lt;=0,0,IF(_xlfn.NORM.INV(S542,D542,'Regressão Grupo 2'!$B$7)&gt;100%,100%,_xlfn.NORM.INV(S542,D542,'Regressão Grupo 2'!$B$7)))</f>
        <v>0.86497637265387284</v>
      </c>
      <c r="G542" s="41">
        <v>2.3309892449751665E-2</v>
      </c>
      <c r="H542" s="41">
        <v>1.5877887087839365E-2</v>
      </c>
      <c r="I542" s="40">
        <f t="shared" si="98"/>
        <v>0</v>
      </c>
      <c r="J542" s="40">
        <f t="shared" si="99"/>
        <v>274.67994357294117</v>
      </c>
      <c r="K542" s="36">
        <v>0.31330381394099915</v>
      </c>
      <c r="L542" s="42">
        <f t="shared" si="105"/>
        <v>0</v>
      </c>
      <c r="M542" s="42">
        <f t="shared" si="105"/>
        <v>20000</v>
      </c>
      <c r="N542" s="42">
        <f t="shared" si="100"/>
        <v>6266.0762788199827</v>
      </c>
      <c r="O542" s="36">
        <v>7.8318690707212735</v>
      </c>
      <c r="P542" s="42">
        <f t="shared" si="101"/>
        <v>5316.6635454106927</v>
      </c>
      <c r="Q542" s="42"/>
      <c r="R542">
        <v>0.57460249641407513</v>
      </c>
      <c r="S542">
        <v>0.45674001281777399</v>
      </c>
    </row>
    <row r="543" spans="1:19" x14ac:dyDescent="0.25">
      <c r="A543" s="40">
        <f t="shared" si="102"/>
        <v>0</v>
      </c>
      <c r="B543" s="40">
        <f t="shared" si="103"/>
        <v>50</v>
      </c>
      <c r="C543" s="41">
        <f t="shared" si="96"/>
        <v>1.0313000000000001</v>
      </c>
      <c r="D543" s="41">
        <f t="shared" si="97"/>
        <v>0.88000000000000012</v>
      </c>
      <c r="E543" s="39">
        <f>IF(_xlfn.NORM.INV(R543,C543,'Regressão Grupo 2'!$B$7)&lt;=0,0,IF(_xlfn.NORM.INV(R543,C543,'Regressão Grupo 2'!$B$7)&gt;100%,100%,_xlfn.NORM.INV(R543,C543,'Regressão Grupo 2'!$B$7)))</f>
        <v>1</v>
      </c>
      <c r="F543" s="39">
        <f>IF(_xlfn.NORM.INV(S543,D543,'Regressão Grupo 2'!$B$7)&lt;=0,0,IF(_xlfn.NORM.INV(S543,D543,'Regressão Grupo 2'!$B$7)&gt;100%,100%,_xlfn.NORM.INV(S543,D543,'Regressão Grupo 2'!$B$7)))</f>
        <v>0.92463486429673314</v>
      </c>
      <c r="G543" s="41">
        <v>1.2693932560970114E-2</v>
      </c>
      <c r="H543" s="41">
        <v>1.8330424757186332E-2</v>
      </c>
      <c r="I543" s="40">
        <f t="shared" si="98"/>
        <v>0</v>
      </c>
      <c r="J543" s="40">
        <f t="shared" si="99"/>
        <v>338.97899615724924</v>
      </c>
      <c r="K543" s="36">
        <v>0.3806455635885751</v>
      </c>
      <c r="L543" s="42">
        <f t="shared" si="105"/>
        <v>0</v>
      </c>
      <c r="M543" s="42">
        <f t="shared" si="105"/>
        <v>20000</v>
      </c>
      <c r="N543" s="42">
        <f t="shared" si="100"/>
        <v>7612.9112717715016</v>
      </c>
      <c r="O543" s="36">
        <v>5.5895377896335452</v>
      </c>
      <c r="P543" s="42">
        <f t="shared" si="101"/>
        <v>7441.3026271779727</v>
      </c>
      <c r="Q543" s="42"/>
      <c r="R543">
        <v>0.81411175878170106</v>
      </c>
      <c r="S543">
        <v>0.62657551805169831</v>
      </c>
    </row>
    <row r="544" spans="1:19" x14ac:dyDescent="0.25">
      <c r="A544" s="40">
        <f t="shared" si="102"/>
        <v>0</v>
      </c>
      <c r="B544" s="40">
        <f t="shared" si="103"/>
        <v>50</v>
      </c>
      <c r="C544" s="41">
        <f t="shared" si="96"/>
        <v>1.0313000000000001</v>
      </c>
      <c r="D544" s="41">
        <f t="shared" si="97"/>
        <v>0.88000000000000012</v>
      </c>
      <c r="E544" s="39">
        <f>IF(_xlfn.NORM.INV(R544,C544,'Regressão Grupo 2'!$B$7)&lt;=0,0,IF(_xlfn.NORM.INV(R544,C544,'Regressão Grupo 2'!$B$7)&gt;100%,100%,_xlfn.NORM.INV(R544,C544,'Regressão Grupo 2'!$B$7)))</f>
        <v>0.97709051795100599</v>
      </c>
      <c r="F544" s="39">
        <f>IF(_xlfn.NORM.INV(S544,D544,'Regressão Grupo 2'!$B$7)&lt;=0,0,IF(_xlfn.NORM.INV(S544,D544,'Regressão Grupo 2'!$B$7)&gt;100%,100%,_xlfn.NORM.INV(S544,D544,'Regressão Grupo 2'!$B$7)))</f>
        <v>0.98384525768816933</v>
      </c>
      <c r="G544" s="41">
        <v>1.6850194713701337E-2</v>
      </c>
      <c r="H544" s="41">
        <v>1.9583085511715965E-2</v>
      </c>
      <c r="I544" s="40">
        <f t="shared" si="98"/>
        <v>0</v>
      </c>
      <c r="J544" s="40">
        <f t="shared" si="99"/>
        <v>385.33451623207293</v>
      </c>
      <c r="K544" s="36">
        <v>0.41171394293715402</v>
      </c>
      <c r="L544" s="42">
        <f t="shared" si="105"/>
        <v>0</v>
      </c>
      <c r="M544" s="42">
        <f t="shared" si="105"/>
        <v>20000</v>
      </c>
      <c r="N544" s="42">
        <f t="shared" si="100"/>
        <v>8234.2788587430805</v>
      </c>
      <c r="O544" s="36">
        <v>3.3570737762903278</v>
      </c>
      <c r="P544" s="42">
        <f t="shared" si="101"/>
        <v>9738.8505533183525</v>
      </c>
      <c r="Q544" s="42"/>
      <c r="R544">
        <v>0.34751426740318003</v>
      </c>
      <c r="S544">
        <v>0.77367473372600482</v>
      </c>
    </row>
    <row r="545" spans="1:19" x14ac:dyDescent="0.25">
      <c r="A545" s="40">
        <f t="shared" si="102"/>
        <v>0</v>
      </c>
      <c r="B545" s="40">
        <f t="shared" si="103"/>
        <v>50</v>
      </c>
      <c r="C545" s="41">
        <f t="shared" si="96"/>
        <v>1.0313000000000001</v>
      </c>
      <c r="D545" s="41">
        <f t="shared" si="97"/>
        <v>0.88000000000000012</v>
      </c>
      <c r="E545" s="39">
        <f>IF(_xlfn.NORM.INV(R545,C545,'Regressão Grupo 2'!$B$7)&lt;=0,0,IF(_xlfn.NORM.INV(R545,C545,'Regressão Grupo 2'!$B$7)&gt;100%,100%,_xlfn.NORM.INV(R545,C545,'Regressão Grupo 2'!$B$7)))</f>
        <v>0.78334320393662848</v>
      </c>
      <c r="F545" s="39">
        <f>IF(_xlfn.NORM.INV(S545,D545,'Regressão Grupo 2'!$B$7)&lt;=0,0,IF(_xlfn.NORM.INV(S545,D545,'Regressão Grupo 2'!$B$7)&gt;100%,100%,_xlfn.NORM.INV(S545,D545,'Regressão Grupo 2'!$B$7)))</f>
        <v>0.76363359327732638</v>
      </c>
      <c r="G545" s="41">
        <v>1.367324211914746E-2</v>
      </c>
      <c r="H545" s="41">
        <v>1.319075597550274E-2</v>
      </c>
      <c r="I545" s="40">
        <f t="shared" si="98"/>
        <v>0</v>
      </c>
      <c r="J545" s="40">
        <f t="shared" si="99"/>
        <v>201.45808767235044</v>
      </c>
      <c r="K545" s="36">
        <v>0.42591848110594388</v>
      </c>
      <c r="L545" s="42">
        <f t="shared" si="105"/>
        <v>0</v>
      </c>
      <c r="M545" s="42">
        <f t="shared" si="105"/>
        <v>20000</v>
      </c>
      <c r="N545" s="42">
        <f t="shared" si="100"/>
        <v>8518.3696221188784</v>
      </c>
      <c r="O545" s="36">
        <v>5.8476471456357979</v>
      </c>
      <c r="P545" s="42">
        <f t="shared" si="101"/>
        <v>376.47895015617723</v>
      </c>
      <c r="Q545" s="42"/>
      <c r="R545">
        <v>3.6469618823816642E-2</v>
      </c>
      <c r="S545">
        <v>0.2000183111056856</v>
      </c>
    </row>
    <row r="546" spans="1:19" x14ac:dyDescent="0.25">
      <c r="A546" s="40">
        <f t="shared" si="102"/>
        <v>0</v>
      </c>
      <c r="B546" s="40">
        <f t="shared" si="103"/>
        <v>50</v>
      </c>
      <c r="C546" s="41">
        <f t="shared" si="96"/>
        <v>1.0313000000000001</v>
      </c>
      <c r="D546" s="41">
        <f t="shared" si="97"/>
        <v>0.88000000000000012</v>
      </c>
      <c r="E546" s="39">
        <f>IF(_xlfn.NORM.INV(R546,C546,'Regressão Grupo 2'!$B$7)&lt;=0,0,IF(_xlfn.NORM.INV(R546,C546,'Regressão Grupo 2'!$B$7)&gt;100%,100%,_xlfn.NORM.INV(R546,C546,'Regressão Grupo 2'!$B$7)))</f>
        <v>1</v>
      </c>
      <c r="F546" s="39">
        <f>IF(_xlfn.NORM.INV(S546,D546,'Regressão Grupo 2'!$B$7)&lt;=0,0,IF(_xlfn.NORM.INV(S546,D546,'Regressão Grupo 2'!$B$7)&gt;100%,100%,_xlfn.NORM.INV(S546,D546,'Regressão Grupo 2'!$B$7)))</f>
        <v>0.98586175561380585</v>
      </c>
      <c r="G546" s="41">
        <v>2.1496944780225985E-2</v>
      </c>
      <c r="H546" s="41">
        <v>1.8691106811803582E-2</v>
      </c>
      <c r="I546" s="40">
        <f t="shared" si="98"/>
        <v>0</v>
      </c>
      <c r="J546" s="40">
        <f t="shared" si="99"/>
        <v>368.53694751699686</v>
      </c>
      <c r="K546" s="36">
        <v>0.40673881810527557</v>
      </c>
      <c r="L546" s="42">
        <f t="shared" si="105"/>
        <v>0</v>
      </c>
      <c r="M546" s="42">
        <f t="shared" si="105"/>
        <v>20000</v>
      </c>
      <c r="N546" s="42">
        <f t="shared" si="100"/>
        <v>8134.776362105511</v>
      </c>
      <c r="O546" s="36">
        <v>4.4818939560046456</v>
      </c>
      <c r="P546" s="42">
        <f t="shared" si="101"/>
        <v>8640.327496103504</v>
      </c>
      <c r="Q546" s="42"/>
      <c r="R546">
        <v>0.62630085146641434</v>
      </c>
      <c r="S546">
        <v>0.7780388805810724</v>
      </c>
    </row>
    <row r="547" spans="1:19" x14ac:dyDescent="0.25">
      <c r="A547" s="40">
        <f t="shared" si="102"/>
        <v>0</v>
      </c>
      <c r="B547" s="40">
        <f t="shared" si="103"/>
        <v>50</v>
      </c>
      <c r="C547" s="41">
        <f t="shared" si="96"/>
        <v>1.0313000000000001</v>
      </c>
      <c r="D547" s="41">
        <f t="shared" si="97"/>
        <v>0.88000000000000012</v>
      </c>
      <c r="E547" s="39">
        <f>IF(_xlfn.NORM.INV(R547,C547,'Regressão Grupo 2'!$B$7)&lt;=0,0,IF(_xlfn.NORM.INV(R547,C547,'Regressão Grupo 2'!$B$7)&gt;100%,100%,_xlfn.NORM.INV(R547,C547,'Regressão Grupo 2'!$B$7)))</f>
        <v>1</v>
      </c>
      <c r="F547" s="39">
        <f>IF(_xlfn.NORM.INV(S547,D547,'Regressão Grupo 2'!$B$7)&lt;=0,0,IF(_xlfn.NORM.INV(S547,D547,'Regressão Grupo 2'!$B$7)&gt;100%,100%,_xlfn.NORM.INV(S547,D547,'Regressão Grupo 2'!$B$7)))</f>
        <v>1</v>
      </c>
      <c r="G547" s="41">
        <v>2.228477768679981E-2</v>
      </c>
      <c r="H547" s="41">
        <v>2.7239553223780133E-2</v>
      </c>
      <c r="I547" s="40">
        <f t="shared" si="98"/>
        <v>0</v>
      </c>
      <c r="J547" s="40">
        <f t="shared" si="99"/>
        <v>544.79106447560264</v>
      </c>
      <c r="K547" s="36">
        <v>0.16612027693324127</v>
      </c>
      <c r="L547" s="42">
        <f t="shared" si="105"/>
        <v>0</v>
      </c>
      <c r="M547" s="42">
        <f t="shared" si="105"/>
        <v>20000</v>
      </c>
      <c r="N547" s="42">
        <f t="shared" si="100"/>
        <v>3322.4055386648256</v>
      </c>
      <c r="O547" s="36">
        <v>4.998620669846531</v>
      </c>
      <c r="P547" s="42">
        <f t="shared" si="101"/>
        <v>21193.943809479864</v>
      </c>
      <c r="Q547" s="42"/>
      <c r="R547">
        <v>0.98776207770012514</v>
      </c>
      <c r="S547">
        <v>0.99414044618060848</v>
      </c>
    </row>
    <row r="548" spans="1:19" x14ac:dyDescent="0.25">
      <c r="A548" s="40">
        <f t="shared" si="102"/>
        <v>0</v>
      </c>
      <c r="B548" s="40">
        <f t="shared" si="103"/>
        <v>50</v>
      </c>
      <c r="C548" s="41">
        <f t="shared" si="96"/>
        <v>1.0313000000000001</v>
      </c>
      <c r="D548" s="41">
        <f t="shared" si="97"/>
        <v>0.88000000000000012</v>
      </c>
      <c r="E548" s="39">
        <f>IF(_xlfn.NORM.INV(R548,C548,'Regressão Grupo 2'!$B$7)&lt;=0,0,IF(_xlfn.NORM.INV(R548,C548,'Regressão Grupo 2'!$B$7)&gt;100%,100%,_xlfn.NORM.INV(R548,C548,'Regressão Grupo 2'!$B$7)))</f>
        <v>1</v>
      </c>
      <c r="F548" s="39">
        <f>IF(_xlfn.NORM.INV(S548,D548,'Regressão Grupo 2'!$B$7)&lt;=0,0,IF(_xlfn.NORM.INV(S548,D548,'Regressão Grupo 2'!$B$7)&gt;100%,100%,_xlfn.NORM.INV(S548,D548,'Regressão Grupo 2'!$B$7)))</f>
        <v>0.76109686442467606</v>
      </c>
      <c r="G548" s="41">
        <v>1.9946074205639777E-2</v>
      </c>
      <c r="H548" s="41">
        <v>2.3877978250997668E-2</v>
      </c>
      <c r="I548" s="40">
        <f t="shared" si="98"/>
        <v>0</v>
      </c>
      <c r="J548" s="40">
        <f t="shared" si="99"/>
        <v>363.46908751269871</v>
      </c>
      <c r="K548" s="36">
        <v>0.25061465532544869</v>
      </c>
      <c r="L548" s="42">
        <f t="shared" si="105"/>
        <v>0</v>
      </c>
      <c r="M548" s="42">
        <f t="shared" si="105"/>
        <v>20000</v>
      </c>
      <c r="N548" s="42">
        <f t="shared" si="100"/>
        <v>5012.2931065089733</v>
      </c>
      <c r="O548" s="36">
        <v>3.6754852780486775</v>
      </c>
      <c r="P548" s="42">
        <f t="shared" si="101"/>
        <v>11825.23598894725</v>
      </c>
      <c r="Q548" s="42"/>
      <c r="R548">
        <v>0.67717520676290166</v>
      </c>
      <c r="S548">
        <v>0.19492172002319408</v>
      </c>
    </row>
    <row r="549" spans="1:19" x14ac:dyDescent="0.25">
      <c r="A549" s="40">
        <f t="shared" si="102"/>
        <v>0</v>
      </c>
      <c r="B549" s="40">
        <f t="shared" si="103"/>
        <v>50</v>
      </c>
      <c r="C549" s="41">
        <f t="shared" si="96"/>
        <v>1.0313000000000001</v>
      </c>
      <c r="D549" s="41">
        <f t="shared" si="97"/>
        <v>0.88000000000000012</v>
      </c>
      <c r="E549" s="39">
        <f>IF(_xlfn.NORM.INV(R549,C549,'Regressão Grupo 2'!$B$7)&lt;=0,0,IF(_xlfn.NORM.INV(R549,C549,'Regressão Grupo 2'!$B$7)&gt;100%,100%,_xlfn.NORM.INV(R549,C549,'Regressão Grupo 2'!$B$7)))</f>
        <v>1</v>
      </c>
      <c r="F549" s="39">
        <f>IF(_xlfn.NORM.INV(S549,D549,'Regressão Grupo 2'!$B$7)&lt;=0,0,IF(_xlfn.NORM.INV(S549,D549,'Regressão Grupo 2'!$B$7)&gt;100%,100%,_xlfn.NORM.INV(S549,D549,'Regressão Grupo 2'!$B$7)))</f>
        <v>0.867952455547505</v>
      </c>
      <c r="G549" s="41">
        <v>2.4724774134079405E-2</v>
      </c>
      <c r="H549" s="41">
        <v>2.0503233142199442E-2</v>
      </c>
      <c r="I549" s="40">
        <f t="shared" si="98"/>
        <v>0</v>
      </c>
      <c r="J549" s="40">
        <f t="shared" si="99"/>
        <v>355.91663104869986</v>
      </c>
      <c r="K549" s="36">
        <v>0.32085902523935006</v>
      </c>
      <c r="L549" s="42">
        <f t="shared" si="105"/>
        <v>0</v>
      </c>
      <c r="M549" s="42">
        <f t="shared" si="105"/>
        <v>20000</v>
      </c>
      <c r="N549" s="42">
        <f t="shared" si="100"/>
        <v>6417.1805047870012</v>
      </c>
      <c r="O549" s="36">
        <v>5.6467712546011475</v>
      </c>
      <c r="P549" s="42">
        <f t="shared" si="101"/>
        <v>9368.8712464077107</v>
      </c>
      <c r="Q549" s="42"/>
      <c r="R549">
        <v>0.4209112826929533</v>
      </c>
      <c r="S549">
        <v>0.46528519547105318</v>
      </c>
    </row>
    <row r="550" spans="1:19" x14ac:dyDescent="0.25">
      <c r="A550" s="40">
        <f t="shared" si="102"/>
        <v>0</v>
      </c>
      <c r="B550" s="40">
        <f t="shared" si="103"/>
        <v>50</v>
      </c>
      <c r="C550" s="41">
        <f t="shared" si="96"/>
        <v>1.0313000000000001</v>
      </c>
      <c r="D550" s="41">
        <f t="shared" si="97"/>
        <v>0.88000000000000012</v>
      </c>
      <c r="E550" s="39">
        <f>IF(_xlfn.NORM.INV(R550,C550,'Regressão Grupo 2'!$B$7)&lt;=0,0,IF(_xlfn.NORM.INV(R550,C550,'Regressão Grupo 2'!$B$7)&gt;100%,100%,_xlfn.NORM.INV(R550,C550,'Regressão Grupo 2'!$B$7)))</f>
        <v>1</v>
      </c>
      <c r="F550" s="39">
        <f>IF(_xlfn.NORM.INV(S550,D550,'Regressão Grupo 2'!$B$7)&lt;=0,0,IF(_xlfn.NORM.INV(S550,D550,'Regressão Grupo 2'!$B$7)&gt;100%,100%,_xlfn.NORM.INV(S550,D550,'Regressão Grupo 2'!$B$7)))</f>
        <v>0.88273455586045113</v>
      </c>
      <c r="G550" s="41">
        <v>2.082616237602701E-2</v>
      </c>
      <c r="H550" s="41">
        <v>1.8463931776766956E-2</v>
      </c>
      <c r="I550" s="40">
        <f t="shared" si="98"/>
        <v>0</v>
      </c>
      <c r="J550" s="40">
        <f t="shared" si="99"/>
        <v>325.97501232804098</v>
      </c>
      <c r="K550" s="36">
        <v>0.28164600651470229</v>
      </c>
      <c r="L550" s="42">
        <f t="shared" si="105"/>
        <v>0</v>
      </c>
      <c r="M550" s="42">
        <f t="shared" si="105"/>
        <v>20000</v>
      </c>
      <c r="N550" s="42">
        <f t="shared" si="100"/>
        <v>5632.9201302940455</v>
      </c>
      <c r="O550" s="36">
        <v>4.4466974522860863</v>
      </c>
      <c r="P550" s="42">
        <f t="shared" si="101"/>
        <v>9216.3182292799775</v>
      </c>
      <c r="Q550" s="42"/>
      <c r="R550">
        <v>0.48500015259254736</v>
      </c>
      <c r="S550">
        <v>0.50788903469954527</v>
      </c>
    </row>
    <row r="551" spans="1:19" x14ac:dyDescent="0.25">
      <c r="A551" s="40">
        <f t="shared" si="102"/>
        <v>0</v>
      </c>
      <c r="B551" s="40">
        <f t="shared" si="103"/>
        <v>50</v>
      </c>
      <c r="C551" s="41">
        <f t="shared" si="96"/>
        <v>1.0313000000000001</v>
      </c>
      <c r="D551" s="41">
        <f t="shared" si="97"/>
        <v>0.88000000000000012</v>
      </c>
      <c r="E551" s="39">
        <f>IF(_xlfn.NORM.INV(R551,C551,'Regressão Grupo 2'!$B$7)&lt;=0,0,IF(_xlfn.NORM.INV(R551,C551,'Regressão Grupo 2'!$B$7)&gt;100%,100%,_xlfn.NORM.INV(R551,C551,'Regressão Grupo 2'!$B$7)))</f>
        <v>0.82870979094274733</v>
      </c>
      <c r="F551" s="39">
        <f>IF(_xlfn.NORM.INV(S551,D551,'Regressão Grupo 2'!$B$7)&lt;=0,0,IF(_xlfn.NORM.INV(S551,D551,'Regressão Grupo 2'!$B$7)&gt;100%,100%,_xlfn.NORM.INV(S551,D551,'Regressão Grupo 2'!$B$7)))</f>
        <v>0.82630417084115249</v>
      </c>
      <c r="G551" s="41">
        <v>1.1152926294507872E-2</v>
      </c>
      <c r="H551" s="41">
        <v>2.1886851444512204E-2</v>
      </c>
      <c r="I551" s="40">
        <f t="shared" si="98"/>
        <v>0</v>
      </c>
      <c r="J551" s="40">
        <f t="shared" si="99"/>
        <v>361.70393270362274</v>
      </c>
      <c r="K551" s="36">
        <v>0.35929960788328669</v>
      </c>
      <c r="L551" s="42">
        <f t="shared" ref="L551:M566" si="106">L550</f>
        <v>0</v>
      </c>
      <c r="M551" s="42">
        <f t="shared" si="106"/>
        <v>20000</v>
      </c>
      <c r="N551" s="42">
        <f t="shared" si="100"/>
        <v>7185.9921576657334</v>
      </c>
      <c r="O551" s="36">
        <v>4.6311599117994655</v>
      </c>
      <c r="P551" s="42">
        <f t="shared" si="101"/>
        <v>9224.0957244381752</v>
      </c>
      <c r="Q551" s="42"/>
      <c r="R551">
        <v>7.1443830683309423E-2</v>
      </c>
      <c r="S551">
        <v>0.34888760032959992</v>
      </c>
    </row>
    <row r="552" spans="1:19" x14ac:dyDescent="0.25">
      <c r="A552" s="40">
        <f t="shared" si="102"/>
        <v>0</v>
      </c>
      <c r="B552" s="40">
        <f t="shared" si="103"/>
        <v>50</v>
      </c>
      <c r="C552" s="41">
        <f t="shared" si="96"/>
        <v>1.0313000000000001</v>
      </c>
      <c r="D552" s="41">
        <f t="shared" si="97"/>
        <v>0.88000000000000012</v>
      </c>
      <c r="E552" s="39">
        <f>IF(_xlfn.NORM.INV(R552,C552,'Regressão Grupo 2'!$B$7)&lt;=0,0,IF(_xlfn.NORM.INV(R552,C552,'Regressão Grupo 2'!$B$7)&gt;100%,100%,_xlfn.NORM.INV(R552,C552,'Regressão Grupo 2'!$B$7)))</f>
        <v>1</v>
      </c>
      <c r="F552" s="39">
        <f>IF(_xlfn.NORM.INV(S552,D552,'Regressão Grupo 2'!$B$7)&lt;=0,0,IF(_xlfn.NORM.INV(S552,D552,'Regressão Grupo 2'!$B$7)&gt;100%,100%,_xlfn.NORM.INV(S552,D552,'Regressão Grupo 2'!$B$7)))</f>
        <v>0.99128968905085346</v>
      </c>
      <c r="G552" s="41">
        <v>1.0983824584541E-2</v>
      </c>
      <c r="H552" s="41">
        <v>5.445880482631768E-3</v>
      </c>
      <c r="I552" s="40">
        <f t="shared" si="98"/>
        <v>0</v>
      </c>
      <c r="J552" s="40">
        <f t="shared" si="99"/>
        <v>107.96890340472314</v>
      </c>
      <c r="K552" s="36">
        <v>0.32864675473786542</v>
      </c>
      <c r="L552" s="42">
        <f t="shared" si="106"/>
        <v>0</v>
      </c>
      <c r="M552" s="42">
        <f t="shared" si="106"/>
        <v>20000</v>
      </c>
      <c r="N552" s="42">
        <f t="shared" si="100"/>
        <v>6572.9350947573084</v>
      </c>
      <c r="O552" s="36">
        <v>4.4642932355659335</v>
      </c>
      <c r="P552" s="42">
        <f t="shared" si="101"/>
        <v>-1656.4947696423287</v>
      </c>
      <c r="Q552" s="42"/>
      <c r="R552">
        <v>0.5179296243171484</v>
      </c>
      <c r="S552">
        <v>0.78954435865352335</v>
      </c>
    </row>
    <row r="553" spans="1:19" x14ac:dyDescent="0.25">
      <c r="A553" s="40">
        <f t="shared" si="102"/>
        <v>0</v>
      </c>
      <c r="B553" s="40">
        <f t="shared" si="103"/>
        <v>50</v>
      </c>
      <c r="C553" s="41">
        <f t="shared" si="96"/>
        <v>1.0313000000000001</v>
      </c>
      <c r="D553" s="41">
        <f t="shared" si="97"/>
        <v>0.88000000000000012</v>
      </c>
      <c r="E553" s="39">
        <f>IF(_xlfn.NORM.INV(R553,C553,'Regressão Grupo 2'!$B$7)&lt;=0,0,IF(_xlfn.NORM.INV(R553,C553,'Regressão Grupo 2'!$B$7)&gt;100%,100%,_xlfn.NORM.INV(R553,C553,'Regressão Grupo 2'!$B$7)))</f>
        <v>1</v>
      </c>
      <c r="F553" s="39">
        <f>IF(_xlfn.NORM.INV(S553,D553,'Regressão Grupo 2'!$B$7)&lt;=0,0,IF(_xlfn.NORM.INV(S553,D553,'Regressão Grupo 2'!$B$7)&gt;100%,100%,_xlfn.NORM.INV(S553,D553,'Regressão Grupo 2'!$B$7)))</f>
        <v>0.83975614950730848</v>
      </c>
      <c r="G553" s="41">
        <v>6.4118783928374789E-3</v>
      </c>
      <c r="H553" s="41">
        <v>1.2206250951623367E-2</v>
      </c>
      <c r="I553" s="40">
        <f t="shared" si="98"/>
        <v>0</v>
      </c>
      <c r="J553" s="40">
        <f t="shared" si="99"/>
        <v>205.00548598110319</v>
      </c>
      <c r="K553" s="36">
        <v>0.22146598455933358</v>
      </c>
      <c r="L553" s="42">
        <f t="shared" si="106"/>
        <v>0</v>
      </c>
      <c r="M553" s="42">
        <f t="shared" si="106"/>
        <v>20000</v>
      </c>
      <c r="N553" s="42">
        <f t="shared" si="100"/>
        <v>4429.3196911866717</v>
      </c>
      <c r="O553" s="36">
        <v>4.4198951627351537</v>
      </c>
      <c r="P553" s="42">
        <f t="shared" si="101"/>
        <v>4914.8518520464413</v>
      </c>
      <c r="Q553" s="42"/>
      <c r="R553">
        <v>0.79036835840937525</v>
      </c>
      <c r="S553">
        <v>0.38550981170079651</v>
      </c>
    </row>
    <row r="554" spans="1:19" x14ac:dyDescent="0.25">
      <c r="A554" s="40">
        <f t="shared" si="102"/>
        <v>0</v>
      </c>
      <c r="B554" s="40">
        <f t="shared" si="103"/>
        <v>50</v>
      </c>
      <c r="C554" s="41">
        <f t="shared" si="96"/>
        <v>1.0313000000000001</v>
      </c>
      <c r="D554" s="41">
        <f t="shared" si="97"/>
        <v>0.88000000000000012</v>
      </c>
      <c r="E554" s="39">
        <f>IF(_xlfn.NORM.INV(R554,C554,'Regressão Grupo 2'!$B$7)&lt;=0,0,IF(_xlfn.NORM.INV(R554,C554,'Regressão Grupo 2'!$B$7)&gt;100%,100%,_xlfn.NORM.INV(R554,C554,'Regressão Grupo 2'!$B$7)))</f>
        <v>0.901425821231296</v>
      </c>
      <c r="F554" s="39">
        <f>IF(_xlfn.NORM.INV(S554,D554,'Regressão Grupo 2'!$B$7)&lt;=0,0,IF(_xlfn.NORM.INV(S554,D554,'Regressão Grupo 2'!$B$7)&gt;100%,100%,_xlfn.NORM.INV(S554,D554,'Regressão Grupo 2'!$B$7)))</f>
        <v>0.87562532390740166</v>
      </c>
      <c r="G554" s="41">
        <v>1.178238642141864E-2</v>
      </c>
      <c r="H554" s="41">
        <v>1.4750277096360023E-2</v>
      </c>
      <c r="I554" s="40">
        <f t="shared" si="98"/>
        <v>0</v>
      </c>
      <c r="J554" s="40">
        <f t="shared" si="99"/>
        <v>258.31432320448346</v>
      </c>
      <c r="K554" s="36">
        <v>0.25197824304869582</v>
      </c>
      <c r="L554" s="42">
        <f t="shared" si="106"/>
        <v>0</v>
      </c>
      <c r="M554" s="42">
        <f t="shared" si="106"/>
        <v>20000</v>
      </c>
      <c r="N554" s="42">
        <f t="shared" si="100"/>
        <v>5039.5648609739164</v>
      </c>
      <c r="O554" s="36">
        <v>9.1078952873568113</v>
      </c>
      <c r="P554" s="42">
        <f t="shared" si="101"/>
        <v>5523.4514922793769</v>
      </c>
      <c r="Q554" s="42"/>
      <c r="R554">
        <v>0.17380291146580401</v>
      </c>
      <c r="S554">
        <v>0.48738059633167519</v>
      </c>
    </row>
    <row r="555" spans="1:19" x14ac:dyDescent="0.25">
      <c r="A555" s="40">
        <f t="shared" si="102"/>
        <v>0</v>
      </c>
      <c r="B555" s="40">
        <f t="shared" si="103"/>
        <v>50</v>
      </c>
      <c r="C555" s="41">
        <f t="shared" si="96"/>
        <v>1.0313000000000001</v>
      </c>
      <c r="D555" s="41">
        <f t="shared" si="97"/>
        <v>0.88000000000000012</v>
      </c>
      <c r="E555" s="39">
        <f>IF(_xlfn.NORM.INV(R555,C555,'Regressão Grupo 2'!$B$7)&lt;=0,0,IF(_xlfn.NORM.INV(R555,C555,'Regressão Grupo 2'!$B$7)&gt;100%,100%,_xlfn.NORM.INV(R555,C555,'Regressão Grupo 2'!$B$7)))</f>
        <v>1</v>
      </c>
      <c r="F555" s="39">
        <f>IF(_xlfn.NORM.INV(S555,D555,'Regressão Grupo 2'!$B$7)&lt;=0,0,IF(_xlfn.NORM.INV(S555,D555,'Regressão Grupo 2'!$B$7)&gt;100%,100%,_xlfn.NORM.INV(S555,D555,'Regressão Grupo 2'!$B$7)))</f>
        <v>0.93064044280954972</v>
      </c>
      <c r="G555" s="41">
        <v>8.054134464610679E-3</v>
      </c>
      <c r="H555" s="41">
        <v>2.0034801721243861E-2</v>
      </c>
      <c r="I555" s="40">
        <f t="shared" si="98"/>
        <v>0</v>
      </c>
      <c r="J555" s="40">
        <f t="shared" si="99"/>
        <v>372.90393490919831</v>
      </c>
      <c r="K555" s="36">
        <v>0.21411152661314037</v>
      </c>
      <c r="L555" s="42">
        <f t="shared" si="106"/>
        <v>0</v>
      </c>
      <c r="M555" s="42">
        <f t="shared" si="106"/>
        <v>20000</v>
      </c>
      <c r="N555" s="42">
        <f t="shared" si="100"/>
        <v>4282.2305322628072</v>
      </c>
      <c r="O555" s="36">
        <v>4.8628783105123947</v>
      </c>
      <c r="P555" s="42">
        <f t="shared" si="101"/>
        <v>12549.579756222442</v>
      </c>
      <c r="Q555" s="42"/>
      <c r="R555">
        <v>0.81170079653309735</v>
      </c>
      <c r="S555">
        <v>0.6429029206213569</v>
      </c>
    </row>
    <row r="556" spans="1:19" x14ac:dyDescent="0.25">
      <c r="A556" s="40">
        <f t="shared" si="102"/>
        <v>0</v>
      </c>
      <c r="B556" s="40">
        <f t="shared" si="103"/>
        <v>50</v>
      </c>
      <c r="C556" s="41">
        <f t="shared" si="96"/>
        <v>1.0313000000000001</v>
      </c>
      <c r="D556" s="41">
        <f t="shared" si="97"/>
        <v>0.88000000000000012</v>
      </c>
      <c r="E556" s="39">
        <f>IF(_xlfn.NORM.INV(R556,C556,'Regressão Grupo 2'!$B$7)&lt;=0,0,IF(_xlfn.NORM.INV(R556,C556,'Regressão Grupo 2'!$B$7)&gt;100%,100%,_xlfn.NORM.INV(R556,C556,'Regressão Grupo 2'!$B$7)))</f>
        <v>1</v>
      </c>
      <c r="F556" s="39">
        <f>IF(_xlfn.NORM.INV(S556,D556,'Regressão Grupo 2'!$B$7)&lt;=0,0,IF(_xlfn.NORM.INV(S556,D556,'Regressão Grupo 2'!$B$7)&gt;100%,100%,_xlfn.NORM.INV(S556,D556,'Regressão Grupo 2'!$B$7)))</f>
        <v>0.90470852985968397</v>
      </c>
      <c r="G556" s="41">
        <v>1.7287422678147712E-2</v>
      </c>
      <c r="H556" s="41">
        <v>1.6277131026369959E-2</v>
      </c>
      <c r="I556" s="40">
        <f t="shared" si="98"/>
        <v>0</v>
      </c>
      <c r="J556" s="40">
        <f t="shared" si="99"/>
        <v>294.52118562401228</v>
      </c>
      <c r="K556" s="36">
        <v>0.47277622932288088</v>
      </c>
      <c r="L556" s="42">
        <f t="shared" si="106"/>
        <v>0</v>
      </c>
      <c r="M556" s="42">
        <f t="shared" si="106"/>
        <v>20000</v>
      </c>
      <c r="N556" s="42">
        <f t="shared" si="100"/>
        <v>9455.5245864576173</v>
      </c>
      <c r="O556" s="36">
        <v>8.845686662724745</v>
      </c>
      <c r="P556" s="42">
        <f t="shared" si="101"/>
        <v>2665.2925711787939</v>
      </c>
      <c r="Q556" s="42"/>
      <c r="R556">
        <v>0.43952757347331156</v>
      </c>
      <c r="S556">
        <v>0.57090975676747946</v>
      </c>
    </row>
    <row r="557" spans="1:19" x14ac:dyDescent="0.25">
      <c r="A557" s="40">
        <f t="shared" si="102"/>
        <v>0</v>
      </c>
      <c r="B557" s="40">
        <f t="shared" si="103"/>
        <v>50</v>
      </c>
      <c r="C557" s="41">
        <f t="shared" si="96"/>
        <v>1.0313000000000001</v>
      </c>
      <c r="D557" s="41">
        <f t="shared" si="97"/>
        <v>0.88000000000000012</v>
      </c>
      <c r="E557" s="39">
        <f>IF(_xlfn.NORM.INV(R557,C557,'Regressão Grupo 2'!$B$7)&lt;=0,0,IF(_xlfn.NORM.INV(R557,C557,'Regressão Grupo 2'!$B$7)&gt;100%,100%,_xlfn.NORM.INV(R557,C557,'Regressão Grupo 2'!$B$7)))</f>
        <v>1</v>
      </c>
      <c r="F557" s="39">
        <f>IF(_xlfn.NORM.INV(S557,D557,'Regressão Grupo 2'!$B$7)&lt;=0,0,IF(_xlfn.NORM.INV(S557,D557,'Regressão Grupo 2'!$B$7)&gt;100%,100%,_xlfn.NORM.INV(S557,D557,'Regressão Grupo 2'!$B$7)))</f>
        <v>0.69424142422317103</v>
      </c>
      <c r="G557" s="41">
        <v>6.4518704430260006E-3</v>
      </c>
      <c r="H557" s="41">
        <v>2.7575053040602766E-2</v>
      </c>
      <c r="I557" s="40">
        <f t="shared" si="98"/>
        <v>0</v>
      </c>
      <c r="J557" s="40">
        <f t="shared" si="99"/>
        <v>382.87488191875093</v>
      </c>
      <c r="K557" s="36">
        <v>0.46450715870570392</v>
      </c>
      <c r="L557" s="42">
        <f t="shared" si="106"/>
        <v>0</v>
      </c>
      <c r="M557" s="42">
        <f t="shared" si="106"/>
        <v>20000</v>
      </c>
      <c r="N557" s="42">
        <f t="shared" si="100"/>
        <v>9290.1431741140786</v>
      </c>
      <c r="O557" s="36">
        <v>6.1709066824988232</v>
      </c>
      <c r="P557" s="42">
        <f t="shared" si="101"/>
        <v>7490.9157544300997</v>
      </c>
      <c r="Q557" s="42"/>
      <c r="R557">
        <v>0.93649098178044987</v>
      </c>
      <c r="S557">
        <v>8.9571825312051753E-2</v>
      </c>
    </row>
    <row r="558" spans="1:19" x14ac:dyDescent="0.25">
      <c r="A558" s="40">
        <f t="shared" si="102"/>
        <v>0</v>
      </c>
      <c r="B558" s="40">
        <f t="shared" si="103"/>
        <v>50</v>
      </c>
      <c r="C558" s="41">
        <f t="shared" si="96"/>
        <v>1.0313000000000001</v>
      </c>
      <c r="D558" s="41">
        <f t="shared" si="97"/>
        <v>0.88000000000000012</v>
      </c>
      <c r="E558" s="39">
        <f>IF(_xlfn.NORM.INV(R558,C558,'Regressão Grupo 2'!$B$7)&lt;=0,0,IF(_xlfn.NORM.INV(R558,C558,'Regressão Grupo 2'!$B$7)&gt;100%,100%,_xlfn.NORM.INV(R558,C558,'Regressão Grupo 2'!$B$7)))</f>
        <v>1</v>
      </c>
      <c r="F558" s="39">
        <f>IF(_xlfn.NORM.INV(S558,D558,'Regressão Grupo 2'!$B$7)&lt;=0,0,IF(_xlfn.NORM.INV(S558,D558,'Regressão Grupo 2'!$B$7)&gt;100%,100%,_xlfn.NORM.INV(S558,D558,'Regressão Grupo 2'!$B$7)))</f>
        <v>1</v>
      </c>
      <c r="G558" s="41">
        <v>1.479838778246073E-2</v>
      </c>
      <c r="H558" s="41">
        <v>2.8862087286899339E-2</v>
      </c>
      <c r="I558" s="40">
        <f t="shared" si="98"/>
        <v>0</v>
      </c>
      <c r="J558" s="40">
        <f t="shared" si="99"/>
        <v>577.24174573798678</v>
      </c>
      <c r="K558" s="36">
        <v>0.15678746624323592</v>
      </c>
      <c r="L558" s="42">
        <f t="shared" si="106"/>
        <v>0</v>
      </c>
      <c r="M558" s="42">
        <f t="shared" si="106"/>
        <v>20000</v>
      </c>
      <c r="N558" s="42">
        <f t="shared" si="100"/>
        <v>3135.7493248647183</v>
      </c>
      <c r="O558" s="36">
        <v>4.9404627590036316</v>
      </c>
      <c r="P558" s="42">
        <f t="shared" si="101"/>
        <v>22874.496614273852</v>
      </c>
      <c r="Q558" s="42"/>
      <c r="R558">
        <v>0.79448835718863486</v>
      </c>
      <c r="S558">
        <v>0.94631794183172091</v>
      </c>
    </row>
    <row r="559" spans="1:19" x14ac:dyDescent="0.25">
      <c r="A559" s="40">
        <f t="shared" si="102"/>
        <v>0</v>
      </c>
      <c r="B559" s="40">
        <f t="shared" si="103"/>
        <v>50</v>
      </c>
      <c r="C559" s="41">
        <f t="shared" si="96"/>
        <v>1.0313000000000001</v>
      </c>
      <c r="D559" s="41">
        <f t="shared" si="97"/>
        <v>0.88000000000000012</v>
      </c>
      <c r="E559" s="39">
        <f>IF(_xlfn.NORM.INV(R559,C559,'Regressão Grupo 2'!$B$7)&lt;=0,0,IF(_xlfn.NORM.INV(R559,C559,'Regressão Grupo 2'!$B$7)&gt;100%,100%,_xlfn.NORM.INV(R559,C559,'Regressão Grupo 2'!$B$7)))</f>
        <v>1</v>
      </c>
      <c r="F559" s="39">
        <f>IF(_xlfn.NORM.INV(S559,D559,'Regressão Grupo 2'!$B$7)&lt;=0,0,IF(_xlfn.NORM.INV(S559,D559,'Regressão Grupo 2'!$B$7)&gt;100%,100%,_xlfn.NORM.INV(S559,D559,'Regressão Grupo 2'!$B$7)))</f>
        <v>0.90695824809598002</v>
      </c>
      <c r="G559" s="41">
        <v>7.4676483491019265E-3</v>
      </c>
      <c r="H559" s="41">
        <v>1.6716587604184877E-2</v>
      </c>
      <c r="I559" s="40">
        <f t="shared" si="98"/>
        <v>0</v>
      </c>
      <c r="J559" s="40">
        <f t="shared" si="99"/>
        <v>303.22494015268984</v>
      </c>
      <c r="K559" s="36">
        <v>0.28457504024202918</v>
      </c>
      <c r="L559" s="42">
        <f t="shared" si="106"/>
        <v>0</v>
      </c>
      <c r="M559" s="42">
        <f t="shared" si="106"/>
        <v>20000</v>
      </c>
      <c r="N559" s="42">
        <f t="shared" si="100"/>
        <v>5691.5008048405834</v>
      </c>
      <c r="O559" s="36">
        <v>4.8202427144808215</v>
      </c>
      <c r="P559" s="42">
        <f t="shared" si="101"/>
        <v>8008.1283941740221</v>
      </c>
      <c r="Q559" s="42"/>
      <c r="R559">
        <v>0.91354106265449997</v>
      </c>
      <c r="S559">
        <v>0.57728812524796291</v>
      </c>
    </row>
    <row r="560" spans="1:19" x14ac:dyDescent="0.25">
      <c r="A560" s="40">
        <f t="shared" si="102"/>
        <v>0</v>
      </c>
      <c r="B560" s="40">
        <f t="shared" si="103"/>
        <v>50</v>
      </c>
      <c r="C560" s="41">
        <f t="shared" si="96"/>
        <v>1.0313000000000001</v>
      </c>
      <c r="D560" s="41">
        <f t="shared" si="97"/>
        <v>0.88000000000000012</v>
      </c>
      <c r="E560" s="39">
        <f>IF(_xlfn.NORM.INV(R560,C560,'Regressão Grupo 2'!$B$7)&lt;=0,0,IF(_xlfn.NORM.INV(R560,C560,'Regressão Grupo 2'!$B$7)&gt;100%,100%,_xlfn.NORM.INV(R560,C560,'Regressão Grupo 2'!$B$7)))</f>
        <v>1</v>
      </c>
      <c r="F560" s="39">
        <f>IF(_xlfn.NORM.INV(S560,D560,'Regressão Grupo 2'!$B$7)&lt;=0,0,IF(_xlfn.NORM.INV(S560,D560,'Regressão Grupo 2'!$B$7)&gt;100%,100%,_xlfn.NORM.INV(S560,D560,'Regressão Grupo 2'!$B$7)))</f>
        <v>0.89557705424099066</v>
      </c>
      <c r="G560" s="41">
        <v>8.9061556359361551E-3</v>
      </c>
      <c r="H560" s="41">
        <v>1.907112926842236E-2</v>
      </c>
      <c r="I560" s="40">
        <f t="shared" si="98"/>
        <v>0</v>
      </c>
      <c r="J560" s="40">
        <f t="shared" si="99"/>
        <v>341.59331542525672</v>
      </c>
      <c r="K560" s="36">
        <v>0.19563798205446514</v>
      </c>
      <c r="L560" s="42">
        <f t="shared" si="106"/>
        <v>0</v>
      </c>
      <c r="M560" s="42">
        <f t="shared" si="106"/>
        <v>20000</v>
      </c>
      <c r="N560" s="42">
        <f t="shared" si="100"/>
        <v>3912.7596410893029</v>
      </c>
      <c r="O560" s="36">
        <v>4.5387690447905786</v>
      </c>
      <c r="P560" s="42">
        <f t="shared" si="101"/>
        <v>11616.492964213994</v>
      </c>
      <c r="Q560" s="42"/>
      <c r="R560">
        <v>0.88930936613055822</v>
      </c>
      <c r="S560">
        <v>0.54484694967497782</v>
      </c>
    </row>
    <row r="561" spans="1:19" x14ac:dyDescent="0.25">
      <c r="A561" s="40">
        <f t="shared" si="102"/>
        <v>0</v>
      </c>
      <c r="B561" s="40">
        <f t="shared" si="103"/>
        <v>50</v>
      </c>
      <c r="C561" s="41">
        <f t="shared" si="96"/>
        <v>1.0313000000000001</v>
      </c>
      <c r="D561" s="41">
        <f t="shared" si="97"/>
        <v>0.88000000000000012</v>
      </c>
      <c r="E561" s="39">
        <f>IF(_xlfn.NORM.INV(R561,C561,'Regressão Grupo 2'!$B$7)&lt;=0,0,IF(_xlfn.NORM.INV(R561,C561,'Regressão Grupo 2'!$B$7)&gt;100%,100%,_xlfn.NORM.INV(R561,C561,'Regressão Grupo 2'!$B$7)))</f>
        <v>1</v>
      </c>
      <c r="F561" s="39">
        <f>IF(_xlfn.NORM.INV(S561,D561,'Regressão Grupo 2'!$B$7)&lt;=0,0,IF(_xlfn.NORM.INV(S561,D561,'Regressão Grupo 2'!$B$7)&gt;100%,100%,_xlfn.NORM.INV(S561,D561,'Regressão Grupo 2'!$B$7)))</f>
        <v>1</v>
      </c>
      <c r="G561" s="41">
        <v>2.7704833997359821E-2</v>
      </c>
      <c r="H561" s="41">
        <v>2.804193891564442E-2</v>
      </c>
      <c r="I561" s="40">
        <f t="shared" si="98"/>
        <v>0</v>
      </c>
      <c r="J561" s="40">
        <f t="shared" si="99"/>
        <v>560.83877831288839</v>
      </c>
      <c r="K561" s="36">
        <v>0.31601150420120361</v>
      </c>
      <c r="L561" s="42">
        <f t="shared" si="106"/>
        <v>0</v>
      </c>
      <c r="M561" s="42">
        <f t="shared" si="106"/>
        <v>20000</v>
      </c>
      <c r="N561" s="42">
        <f t="shared" si="100"/>
        <v>6320.2300840240723</v>
      </c>
      <c r="O561" s="36">
        <v>5.5624025287814209</v>
      </c>
      <c r="P561" s="42">
        <f t="shared" si="101"/>
        <v>18602.097792894056</v>
      </c>
      <c r="Q561" s="42"/>
      <c r="R561">
        <v>0.79903561510055854</v>
      </c>
      <c r="S561">
        <v>0.88711203344828637</v>
      </c>
    </row>
    <row r="562" spans="1:19" x14ac:dyDescent="0.25">
      <c r="A562" s="40">
        <f t="shared" si="102"/>
        <v>0</v>
      </c>
      <c r="B562" s="40">
        <f t="shared" si="103"/>
        <v>50</v>
      </c>
      <c r="C562" s="41">
        <f t="shared" si="96"/>
        <v>1.0313000000000001</v>
      </c>
      <c r="D562" s="41">
        <f t="shared" si="97"/>
        <v>0.88000000000000012</v>
      </c>
      <c r="E562" s="39">
        <f>IF(_xlfn.NORM.INV(R562,C562,'Regressão Grupo 2'!$B$7)&lt;=0,0,IF(_xlfn.NORM.INV(R562,C562,'Regressão Grupo 2'!$B$7)&gt;100%,100%,_xlfn.NORM.INV(R562,C562,'Regressão Grupo 2'!$B$7)))</f>
        <v>0.77403119759478267</v>
      </c>
      <c r="F562" s="39">
        <f>IF(_xlfn.NORM.INV(S562,D562,'Regressão Grupo 2'!$B$7)&lt;=0,0,IF(_xlfn.NORM.INV(S562,D562,'Regressão Grupo 2'!$B$7)&gt;100%,100%,_xlfn.NORM.INV(S562,D562,'Regressão Grupo 2'!$B$7)))</f>
        <v>1</v>
      </c>
      <c r="G562" s="41">
        <v>1.5471409655719057E-2</v>
      </c>
      <c r="H562" s="41">
        <v>2.560362994199878E-2</v>
      </c>
      <c r="I562" s="40">
        <f t="shared" si="98"/>
        <v>0</v>
      </c>
      <c r="J562" s="40">
        <f t="shared" si="99"/>
        <v>512.07259883997563</v>
      </c>
      <c r="K562" s="36">
        <v>0.1179324903769835</v>
      </c>
      <c r="L562" s="42">
        <f t="shared" si="106"/>
        <v>0</v>
      </c>
      <c r="M562" s="42">
        <f t="shared" si="106"/>
        <v>20000</v>
      </c>
      <c r="N562" s="42">
        <f t="shared" si="100"/>
        <v>2358.6498075396698</v>
      </c>
      <c r="O562" s="36">
        <v>7.2051371501932531</v>
      </c>
      <c r="P562" s="42">
        <f t="shared" si="101"/>
        <v>19555.426828961197</v>
      </c>
      <c r="Q562" s="42"/>
      <c r="R562">
        <v>3.1403546250801113E-2</v>
      </c>
      <c r="S562">
        <v>0.99157689138462479</v>
      </c>
    </row>
    <row r="563" spans="1:19" x14ac:dyDescent="0.25">
      <c r="A563" s="40">
        <f t="shared" si="102"/>
        <v>0</v>
      </c>
      <c r="B563" s="40">
        <f t="shared" si="103"/>
        <v>50</v>
      </c>
      <c r="C563" s="41">
        <f t="shared" si="96"/>
        <v>1.0313000000000001</v>
      </c>
      <c r="D563" s="41">
        <f t="shared" si="97"/>
        <v>0.88000000000000012</v>
      </c>
      <c r="E563" s="39">
        <f>IF(_xlfn.NORM.INV(R563,C563,'Regressão Grupo 2'!$B$7)&lt;=0,0,IF(_xlfn.NORM.INV(R563,C563,'Regressão Grupo 2'!$B$7)&gt;100%,100%,_xlfn.NORM.INV(R563,C563,'Regressão Grupo 2'!$B$7)))</f>
        <v>1</v>
      </c>
      <c r="F563" s="39">
        <f>IF(_xlfn.NORM.INV(S563,D563,'Regressão Grupo 2'!$B$7)&lt;=0,0,IF(_xlfn.NORM.INV(S563,D563,'Regressão Grupo 2'!$B$7)&gt;100%,100%,_xlfn.NORM.INV(S563,D563,'Regressão Grupo 2'!$B$7)))</f>
        <v>1</v>
      </c>
      <c r="G563" s="41">
        <v>1.7770786632671762E-2</v>
      </c>
      <c r="H563" s="41">
        <v>1.844643521800058E-2</v>
      </c>
      <c r="I563" s="40">
        <f t="shared" si="98"/>
        <v>0</v>
      </c>
      <c r="J563" s="40">
        <f t="shared" si="99"/>
        <v>368.92870436001158</v>
      </c>
      <c r="K563" s="36">
        <v>0.37602797725411569</v>
      </c>
      <c r="L563" s="42">
        <f t="shared" si="106"/>
        <v>0</v>
      </c>
      <c r="M563" s="42">
        <f t="shared" si="106"/>
        <v>20000</v>
      </c>
      <c r="N563" s="42">
        <f t="shared" si="100"/>
        <v>7520.5595450823139</v>
      </c>
      <c r="O563" s="36">
        <v>3.2625370501756588</v>
      </c>
      <c r="P563" s="42">
        <f t="shared" si="101"/>
        <v>9722.2321060704271</v>
      </c>
      <c r="Q563" s="42"/>
      <c r="R563">
        <v>0.57582323679311498</v>
      </c>
      <c r="S563">
        <v>0.99691763054292426</v>
      </c>
    </row>
    <row r="564" spans="1:19" x14ac:dyDescent="0.25">
      <c r="A564" s="40">
        <f t="shared" si="102"/>
        <v>0</v>
      </c>
      <c r="B564" s="40">
        <f t="shared" si="103"/>
        <v>50</v>
      </c>
      <c r="C564" s="41">
        <f t="shared" si="96"/>
        <v>1.0313000000000001</v>
      </c>
      <c r="D564" s="41">
        <f t="shared" si="97"/>
        <v>0.88000000000000012</v>
      </c>
      <c r="E564" s="39">
        <f>IF(_xlfn.NORM.INV(R564,C564,'Regressão Grupo 2'!$B$7)&lt;=0,0,IF(_xlfn.NORM.INV(R564,C564,'Regressão Grupo 2'!$B$7)&gt;100%,100%,_xlfn.NORM.INV(R564,C564,'Regressão Grupo 2'!$B$7)))</f>
        <v>0.70099917935511069</v>
      </c>
      <c r="F564" s="39">
        <f>IF(_xlfn.NORM.INV(S564,D564,'Regressão Grupo 2'!$B$7)&lt;=0,0,IF(_xlfn.NORM.INV(S564,D564,'Regressão Grupo 2'!$B$7)&gt;100%,100%,_xlfn.NORM.INV(S564,D564,'Regressão Grupo 2'!$B$7)))</f>
        <v>0.79110078137287954</v>
      </c>
      <c r="G564" s="41">
        <v>2.0178201719529679E-2</v>
      </c>
      <c r="H564" s="41">
        <v>1.7420160183525928E-2</v>
      </c>
      <c r="I564" s="40">
        <f t="shared" si="98"/>
        <v>0</v>
      </c>
      <c r="J564" s="40">
        <f t="shared" si="99"/>
        <v>275.62204665656174</v>
      </c>
      <c r="K564" s="36">
        <v>0.18445284043227961</v>
      </c>
      <c r="L564" s="42">
        <f t="shared" si="106"/>
        <v>0</v>
      </c>
      <c r="M564" s="42">
        <f t="shared" si="106"/>
        <v>20000</v>
      </c>
      <c r="N564" s="42">
        <f t="shared" si="100"/>
        <v>3689.0568086455924</v>
      </c>
      <c r="O564" s="36">
        <v>5.4654895887349602</v>
      </c>
      <c r="P564" s="42">
        <f t="shared" si="101"/>
        <v>8585.6360977552358</v>
      </c>
      <c r="Q564" s="42"/>
      <c r="R564">
        <v>8.4536271248512231E-3</v>
      </c>
      <c r="S564">
        <v>0.26013977477340006</v>
      </c>
    </row>
    <row r="565" spans="1:19" x14ac:dyDescent="0.25">
      <c r="A565" s="40">
        <f t="shared" si="102"/>
        <v>0</v>
      </c>
      <c r="B565" s="40">
        <f t="shared" si="103"/>
        <v>50</v>
      </c>
      <c r="C565" s="41">
        <f t="shared" si="96"/>
        <v>1.0313000000000001</v>
      </c>
      <c r="D565" s="41">
        <f t="shared" si="97"/>
        <v>0.88000000000000012</v>
      </c>
      <c r="E565" s="39">
        <f>IF(_xlfn.NORM.INV(R565,C565,'Regressão Grupo 2'!$B$7)&lt;=0,0,IF(_xlfn.NORM.INV(R565,C565,'Regressão Grupo 2'!$B$7)&gt;100%,100%,_xlfn.NORM.INV(R565,C565,'Regressão Grupo 2'!$B$7)))</f>
        <v>1</v>
      </c>
      <c r="F565" s="39">
        <f>IF(_xlfn.NORM.INV(S565,D565,'Regressão Grupo 2'!$B$7)&lt;=0,0,IF(_xlfn.NORM.INV(S565,D565,'Regressão Grupo 2'!$B$7)&gt;100%,100%,_xlfn.NORM.INV(S565,D565,'Regressão Grupo 2'!$B$7)))</f>
        <v>0.77576165186434665</v>
      </c>
      <c r="G565" s="41">
        <v>2.109273514757418E-2</v>
      </c>
      <c r="H565" s="41">
        <v>9.7254685855346548E-3</v>
      </c>
      <c r="I565" s="40">
        <f t="shared" si="98"/>
        <v>0</v>
      </c>
      <c r="J565" s="40">
        <f t="shared" si="99"/>
        <v>150.89291150138348</v>
      </c>
      <c r="K565" s="36">
        <v>0.43070131254792365</v>
      </c>
      <c r="L565" s="42">
        <f t="shared" si="106"/>
        <v>0</v>
      </c>
      <c r="M565" s="42">
        <f t="shared" si="106"/>
        <v>20000</v>
      </c>
      <c r="N565" s="42">
        <f t="shared" si="100"/>
        <v>8614.0262509584736</v>
      </c>
      <c r="O565" s="36">
        <v>7.5250018949994102</v>
      </c>
      <c r="P565" s="42">
        <f t="shared" si="101"/>
        <v>-2204.8501208791886</v>
      </c>
      <c r="Q565" s="42"/>
      <c r="R565">
        <v>0.81356242561113312</v>
      </c>
      <c r="S565">
        <v>0.22547074800866726</v>
      </c>
    </row>
    <row r="566" spans="1:19" x14ac:dyDescent="0.25">
      <c r="A566" s="40">
        <f t="shared" si="102"/>
        <v>0</v>
      </c>
      <c r="B566" s="40">
        <f t="shared" si="103"/>
        <v>50</v>
      </c>
      <c r="C566" s="41">
        <f t="shared" si="96"/>
        <v>1.0313000000000001</v>
      </c>
      <c r="D566" s="41">
        <f t="shared" si="97"/>
        <v>0.88000000000000012</v>
      </c>
      <c r="E566" s="39">
        <f>IF(_xlfn.NORM.INV(R566,C566,'Regressão Grupo 2'!$B$7)&lt;=0,0,IF(_xlfn.NORM.INV(R566,C566,'Regressão Grupo 2'!$B$7)&gt;100%,100%,_xlfn.NORM.INV(R566,C566,'Regressão Grupo 2'!$B$7)))</f>
        <v>0.95096099655439659</v>
      </c>
      <c r="F566" s="39">
        <f>IF(_xlfn.NORM.INV(S566,D566,'Regressão Grupo 2'!$B$7)&lt;=0,0,IF(_xlfn.NORM.INV(S566,D566,'Regressão Grupo 2'!$B$7)&gt;100%,100%,_xlfn.NORM.INV(S566,D566,'Regressão Grupo 2'!$B$7)))</f>
        <v>0.77341361486574034</v>
      </c>
      <c r="G566" s="41">
        <v>2.5200201521573828E-2</v>
      </c>
      <c r="H566" s="41">
        <v>2.478131724874915E-2</v>
      </c>
      <c r="I566" s="40">
        <f t="shared" si="98"/>
        <v>0</v>
      </c>
      <c r="J566" s="40">
        <f t="shared" si="99"/>
        <v>383.32416308979606</v>
      </c>
      <c r="K566" s="36">
        <v>0.37047566946585908</v>
      </c>
      <c r="L566" s="42">
        <f t="shared" si="106"/>
        <v>0</v>
      </c>
      <c r="M566" s="42">
        <f t="shared" si="106"/>
        <v>20000</v>
      </c>
      <c r="N566" s="42">
        <f t="shared" si="100"/>
        <v>7409.5133893171815</v>
      </c>
      <c r="O566" s="36">
        <v>9.4557875225592483</v>
      </c>
      <c r="P566" s="42">
        <f t="shared" si="101"/>
        <v>8132.0629267326613</v>
      </c>
      <c r="Q566" s="42"/>
      <c r="R566">
        <v>0.2806176946317942</v>
      </c>
      <c r="S566">
        <v>0.22040467543565173</v>
      </c>
    </row>
    <row r="567" spans="1:19" x14ac:dyDescent="0.25">
      <c r="A567" s="40">
        <f t="shared" si="102"/>
        <v>0</v>
      </c>
      <c r="B567" s="40">
        <f t="shared" si="103"/>
        <v>50</v>
      </c>
      <c r="C567" s="41">
        <f t="shared" si="96"/>
        <v>1.0313000000000001</v>
      </c>
      <c r="D567" s="41">
        <f t="shared" si="97"/>
        <v>0.88000000000000012</v>
      </c>
      <c r="E567" s="39">
        <f>IF(_xlfn.NORM.INV(R567,C567,'Regressão Grupo 2'!$B$7)&lt;=0,0,IF(_xlfn.NORM.INV(R567,C567,'Regressão Grupo 2'!$B$7)&gt;100%,100%,_xlfn.NORM.INV(R567,C567,'Regressão Grupo 2'!$B$7)))</f>
        <v>1</v>
      </c>
      <c r="F567" s="39">
        <f>IF(_xlfn.NORM.INV(S567,D567,'Regressão Grupo 2'!$B$7)&lt;=0,0,IF(_xlfn.NORM.INV(S567,D567,'Regressão Grupo 2'!$B$7)&gt;100%,100%,_xlfn.NORM.INV(S567,D567,'Regressão Grupo 2'!$B$7)))</f>
        <v>0.84847676287154628</v>
      </c>
      <c r="G567" s="41">
        <v>1.9380121784654269E-2</v>
      </c>
      <c r="H567" s="41">
        <v>1.0574780317148482E-2</v>
      </c>
      <c r="I567" s="40">
        <f t="shared" si="98"/>
        <v>0</v>
      </c>
      <c r="J567" s="40">
        <f t="shared" si="99"/>
        <v>179.44910743143774</v>
      </c>
      <c r="K567" s="36">
        <v>0.29419401421009173</v>
      </c>
      <c r="L567" s="42">
        <f t="shared" ref="L567:M582" si="107">L566</f>
        <v>0</v>
      </c>
      <c r="M567" s="42">
        <f t="shared" si="107"/>
        <v>20000</v>
      </c>
      <c r="N567" s="42">
        <f t="shared" si="100"/>
        <v>5883.8802842018349</v>
      </c>
      <c r="O567" s="36">
        <v>3.7524011861884206</v>
      </c>
      <c r="P567" s="42">
        <f t="shared" si="101"/>
        <v>2415.2100437838717</v>
      </c>
      <c r="Q567" s="42"/>
      <c r="R567">
        <v>0.6513870662556841</v>
      </c>
      <c r="S567">
        <v>0.4098330637531663</v>
      </c>
    </row>
    <row r="568" spans="1:19" x14ac:dyDescent="0.25">
      <c r="A568" s="40">
        <f t="shared" si="102"/>
        <v>0</v>
      </c>
      <c r="B568" s="40">
        <f t="shared" si="103"/>
        <v>50</v>
      </c>
      <c r="C568" s="41">
        <f t="shared" si="96"/>
        <v>1.0313000000000001</v>
      </c>
      <c r="D568" s="41">
        <f t="shared" si="97"/>
        <v>0.88000000000000012</v>
      </c>
      <c r="E568" s="39">
        <f>IF(_xlfn.NORM.INV(R568,C568,'Regressão Grupo 2'!$B$7)&lt;=0,0,IF(_xlfn.NORM.INV(R568,C568,'Regressão Grupo 2'!$B$7)&gt;100%,100%,_xlfn.NORM.INV(R568,C568,'Regressão Grupo 2'!$B$7)))</f>
        <v>0.83094191501985815</v>
      </c>
      <c r="F568" s="39">
        <f>IF(_xlfn.NORM.INV(S568,D568,'Regressão Grupo 2'!$B$7)&lt;=0,0,IF(_xlfn.NORM.INV(S568,D568,'Regressão Grupo 2'!$B$7)&gt;100%,100%,_xlfn.NORM.INV(S568,D568,'Regressão Grupo 2'!$B$7)))</f>
        <v>0.87465155682671569</v>
      </c>
      <c r="G568" s="41">
        <v>2.1536938920583251E-2</v>
      </c>
      <c r="H568" s="41">
        <v>2.2581853498084579E-2</v>
      </c>
      <c r="I568" s="40">
        <f t="shared" si="98"/>
        <v>0</v>
      </c>
      <c r="J568" s="40">
        <f t="shared" si="99"/>
        <v>395.02506636264985</v>
      </c>
      <c r="K568" s="36">
        <v>0.23946981036385506</v>
      </c>
      <c r="L568" s="42">
        <f t="shared" si="107"/>
        <v>0</v>
      </c>
      <c r="M568" s="42">
        <f t="shared" si="107"/>
        <v>20000</v>
      </c>
      <c r="N568" s="42">
        <f t="shared" si="100"/>
        <v>4789.396207277101</v>
      </c>
      <c r="O568" s="36">
        <v>5.3618740640735547</v>
      </c>
      <c r="P568" s="42">
        <f t="shared" si="101"/>
        <v>12843.782452866568</v>
      </c>
      <c r="Q568" s="42"/>
      <c r="R568">
        <v>7.3671681875057224E-2</v>
      </c>
      <c r="S568">
        <v>0.48457289345988341</v>
      </c>
    </row>
    <row r="569" spans="1:19" x14ac:dyDescent="0.25">
      <c r="A569" s="40">
        <f t="shared" si="102"/>
        <v>0</v>
      </c>
      <c r="B569" s="40">
        <f t="shared" si="103"/>
        <v>50</v>
      </c>
      <c r="C569" s="41">
        <f t="shared" si="96"/>
        <v>1.0313000000000001</v>
      </c>
      <c r="D569" s="41">
        <f t="shared" si="97"/>
        <v>0.88000000000000012</v>
      </c>
      <c r="E569" s="39">
        <f>IF(_xlfn.NORM.INV(R569,C569,'Regressão Grupo 2'!$B$7)&lt;=0,0,IF(_xlfn.NORM.INV(R569,C569,'Regressão Grupo 2'!$B$7)&gt;100%,100%,_xlfn.NORM.INV(R569,C569,'Regressão Grupo 2'!$B$7)))</f>
        <v>1</v>
      </c>
      <c r="F569" s="39">
        <f>IF(_xlfn.NORM.INV(S569,D569,'Regressão Grupo 2'!$B$7)&lt;=0,0,IF(_xlfn.NORM.INV(S569,D569,'Regressão Grupo 2'!$B$7)&gt;100%,100%,_xlfn.NORM.INV(S569,D569,'Regressão Grupo 2'!$B$7)))</f>
        <v>0.98310348099313061</v>
      </c>
      <c r="G569" s="41">
        <v>1.1942088698183445E-2</v>
      </c>
      <c r="H569" s="41">
        <v>1.6231267475622594E-2</v>
      </c>
      <c r="I569" s="40">
        <f t="shared" si="98"/>
        <v>0</v>
      </c>
      <c r="J569" s="40">
        <f t="shared" si="99"/>
        <v>319.14031112430308</v>
      </c>
      <c r="K569" s="36">
        <v>0.32451703096086348</v>
      </c>
      <c r="L569" s="42">
        <f t="shared" si="107"/>
        <v>0</v>
      </c>
      <c r="M569" s="42">
        <f t="shared" si="107"/>
        <v>20000</v>
      </c>
      <c r="N569" s="42">
        <f t="shared" si="100"/>
        <v>6490.3406192172697</v>
      </c>
      <c r="O569" s="36">
        <v>6.6103622216002957</v>
      </c>
      <c r="P569" s="42">
        <f t="shared" si="101"/>
        <v>7357.041880952027</v>
      </c>
      <c r="Q569" s="42"/>
      <c r="R569">
        <v>0.88390758995330665</v>
      </c>
      <c r="S569">
        <v>0.77205725272377701</v>
      </c>
    </row>
    <row r="570" spans="1:19" x14ac:dyDescent="0.25">
      <c r="A570" s="40">
        <f t="shared" si="102"/>
        <v>0</v>
      </c>
      <c r="B570" s="40">
        <f t="shared" si="103"/>
        <v>50</v>
      </c>
      <c r="C570" s="41">
        <f t="shared" si="96"/>
        <v>1.0313000000000001</v>
      </c>
      <c r="D570" s="41">
        <f t="shared" si="97"/>
        <v>0.88000000000000012</v>
      </c>
      <c r="E570" s="39">
        <f>IF(_xlfn.NORM.INV(R570,C570,'Regressão Grupo 2'!$B$7)&lt;=0,0,IF(_xlfn.NORM.INV(R570,C570,'Regressão Grupo 2'!$B$7)&gt;100%,100%,_xlfn.NORM.INV(R570,C570,'Regressão Grupo 2'!$B$7)))</f>
        <v>0.99752522665966314</v>
      </c>
      <c r="F570" s="39">
        <f>IF(_xlfn.NORM.INV(S570,D570,'Regressão Grupo 2'!$B$7)&lt;=0,0,IF(_xlfn.NORM.INV(S570,D570,'Regressão Grupo 2'!$B$7)&gt;100%,100%,_xlfn.NORM.INV(S570,D570,'Regressão Grupo 2'!$B$7)))</f>
        <v>0.86566781905023327</v>
      </c>
      <c r="G570" s="41">
        <v>1.3396046149826176E-2</v>
      </c>
      <c r="H570" s="41">
        <v>5.8243766778607224E-3</v>
      </c>
      <c r="I570" s="40">
        <f t="shared" si="98"/>
        <v>0</v>
      </c>
      <c r="J570" s="40">
        <f t="shared" si="99"/>
        <v>100.83950912101469</v>
      </c>
      <c r="K570" s="36">
        <v>0.47377397814942318</v>
      </c>
      <c r="L570" s="42">
        <f t="shared" si="107"/>
        <v>0</v>
      </c>
      <c r="M570" s="42">
        <f t="shared" si="107"/>
        <v>20000</v>
      </c>
      <c r="N570" s="42">
        <f t="shared" si="100"/>
        <v>9475.4795629884629</v>
      </c>
      <c r="O570" s="36">
        <v>4.9066491314394796</v>
      </c>
      <c r="P570" s="42">
        <f t="shared" si="101"/>
        <v>-4928.288196781139</v>
      </c>
      <c r="Q570" s="42"/>
      <c r="R570">
        <v>0.4035157322916349</v>
      </c>
      <c r="S570">
        <v>0.4587237159337138</v>
      </c>
    </row>
    <row r="571" spans="1:19" x14ac:dyDescent="0.25">
      <c r="A571" s="40">
        <f t="shared" si="102"/>
        <v>0</v>
      </c>
      <c r="B571" s="40">
        <f t="shared" si="103"/>
        <v>50</v>
      </c>
      <c r="C571" s="41">
        <f t="shared" si="96"/>
        <v>1.0313000000000001</v>
      </c>
      <c r="D571" s="41">
        <f t="shared" si="97"/>
        <v>0.88000000000000012</v>
      </c>
      <c r="E571" s="39">
        <f>IF(_xlfn.NORM.INV(R571,C571,'Regressão Grupo 2'!$B$7)&lt;=0,0,IF(_xlfn.NORM.INV(R571,C571,'Regressão Grupo 2'!$B$7)&gt;100%,100%,_xlfn.NORM.INV(R571,C571,'Regressão Grupo 2'!$B$7)))</f>
        <v>1</v>
      </c>
      <c r="F571" s="39">
        <f>IF(_xlfn.NORM.INV(S571,D571,'Regressão Grupo 2'!$B$7)&lt;=0,0,IF(_xlfn.NORM.INV(S571,D571,'Regressão Grupo 2'!$B$7)&gt;100%,100%,_xlfn.NORM.INV(S571,D571,'Regressão Grupo 2'!$B$7)))</f>
        <v>0.92655592060446401</v>
      </c>
      <c r="G571" s="41">
        <v>1.4255052273218601E-2</v>
      </c>
      <c r="H571" s="41">
        <v>1.4659749050568601E-2</v>
      </c>
      <c r="I571" s="40">
        <f t="shared" si="98"/>
        <v>0</v>
      </c>
      <c r="J571" s="40">
        <f t="shared" si="99"/>
        <v>271.66154554760016</v>
      </c>
      <c r="K571" s="36">
        <v>0.16909547182695656</v>
      </c>
      <c r="L571" s="42">
        <f t="shared" si="107"/>
        <v>0</v>
      </c>
      <c r="M571" s="42">
        <f t="shared" si="107"/>
        <v>20000</v>
      </c>
      <c r="N571" s="42">
        <f t="shared" si="100"/>
        <v>3381.9094365391311</v>
      </c>
      <c r="O571" s="36">
        <v>6.7888014667289616</v>
      </c>
      <c r="P571" s="42">
        <f t="shared" si="101"/>
        <v>8356.9115419734699</v>
      </c>
      <c r="Q571" s="42"/>
      <c r="R571">
        <v>0.43205053865169224</v>
      </c>
      <c r="S571">
        <v>0.6318247016815699</v>
      </c>
    </row>
    <row r="572" spans="1:19" x14ac:dyDescent="0.25">
      <c r="A572" s="40">
        <f t="shared" si="102"/>
        <v>0</v>
      </c>
      <c r="B572" s="40">
        <f t="shared" si="103"/>
        <v>50</v>
      </c>
      <c r="C572" s="41">
        <f t="shared" si="96"/>
        <v>1.0313000000000001</v>
      </c>
      <c r="D572" s="41">
        <f t="shared" si="97"/>
        <v>0.88000000000000012</v>
      </c>
      <c r="E572" s="39">
        <f>IF(_xlfn.NORM.INV(R572,C572,'Regressão Grupo 2'!$B$7)&lt;=0,0,IF(_xlfn.NORM.INV(R572,C572,'Regressão Grupo 2'!$B$7)&gt;100%,100%,_xlfn.NORM.INV(R572,C572,'Regressão Grupo 2'!$B$7)))</f>
        <v>1</v>
      </c>
      <c r="F572" s="39">
        <f>IF(_xlfn.NORM.INV(S572,D572,'Regressão Grupo 2'!$B$7)&lt;=0,0,IF(_xlfn.NORM.INV(S572,D572,'Regressão Grupo 2'!$B$7)&gt;100%,100%,_xlfn.NORM.INV(S572,D572,'Regressão Grupo 2'!$B$7)))</f>
        <v>0.52807980603499627</v>
      </c>
      <c r="G572" s="41">
        <v>1.6585186230197845E-2</v>
      </c>
      <c r="H572" s="41">
        <v>2.347871781737167E-2</v>
      </c>
      <c r="I572" s="40">
        <f t="shared" si="98"/>
        <v>0</v>
      </c>
      <c r="J572" s="40">
        <f t="shared" si="99"/>
        <v>247.97273501896086</v>
      </c>
      <c r="K572" s="36">
        <v>0.31568473878524705</v>
      </c>
      <c r="L572" s="42">
        <f t="shared" si="107"/>
        <v>0</v>
      </c>
      <c r="M572" s="42">
        <f t="shared" si="107"/>
        <v>20000</v>
      </c>
      <c r="N572" s="42">
        <f t="shared" si="100"/>
        <v>6313.6947757049411</v>
      </c>
      <c r="O572" s="36">
        <v>2.4905613876215464</v>
      </c>
      <c r="P572" s="42">
        <f t="shared" si="101"/>
        <v>5467.3506562219673</v>
      </c>
      <c r="Q572" s="42"/>
      <c r="R572">
        <v>0.56340220343638414</v>
      </c>
      <c r="S572">
        <v>5.4628131962034974E-3</v>
      </c>
    </row>
    <row r="573" spans="1:19" x14ac:dyDescent="0.25">
      <c r="A573" s="40">
        <f t="shared" si="102"/>
        <v>0</v>
      </c>
      <c r="B573" s="40">
        <f t="shared" si="103"/>
        <v>50</v>
      </c>
      <c r="C573" s="41">
        <f t="shared" si="96"/>
        <v>1.0313000000000001</v>
      </c>
      <c r="D573" s="41">
        <f t="shared" si="97"/>
        <v>0.88000000000000012</v>
      </c>
      <c r="E573" s="39">
        <f>IF(_xlfn.NORM.INV(R573,C573,'Regressão Grupo 2'!$B$7)&lt;=0,0,IF(_xlfn.NORM.INV(R573,C573,'Regressão Grupo 2'!$B$7)&gt;100%,100%,_xlfn.NORM.INV(R573,C573,'Regressão Grupo 2'!$B$7)))</f>
        <v>1</v>
      </c>
      <c r="F573" s="39">
        <f>IF(_xlfn.NORM.INV(S573,D573,'Regressão Grupo 2'!$B$7)&lt;=0,0,IF(_xlfn.NORM.INV(S573,D573,'Regressão Grupo 2'!$B$7)&gt;100%,100%,_xlfn.NORM.INV(S573,D573,'Regressão Grupo 2'!$B$7)))</f>
        <v>0.92257817351341287</v>
      </c>
      <c r="G573" s="41">
        <v>1.5989248746504637E-2</v>
      </c>
      <c r="H573" s="41">
        <v>2.5630331563281178E-2</v>
      </c>
      <c r="I573" s="40">
        <f t="shared" si="98"/>
        <v>0</v>
      </c>
      <c r="J573" s="40">
        <f t="shared" si="99"/>
        <v>472.9196896039025</v>
      </c>
      <c r="K573" s="36">
        <v>0.44083034487109352</v>
      </c>
      <c r="L573" s="42">
        <f t="shared" si="107"/>
        <v>0</v>
      </c>
      <c r="M573" s="42">
        <f t="shared" si="107"/>
        <v>20000</v>
      </c>
      <c r="N573" s="42">
        <f t="shared" si="100"/>
        <v>8816.6068974218706</v>
      </c>
      <c r="O573" s="36">
        <v>6.3766488875208616</v>
      </c>
      <c r="P573" s="42">
        <f t="shared" si="101"/>
        <v>11813.73477017382</v>
      </c>
      <c r="Q573" s="42"/>
      <c r="R573">
        <v>0.97994933927426986</v>
      </c>
      <c r="S573">
        <v>0.62092959379863888</v>
      </c>
    </row>
    <row r="574" spans="1:19" x14ac:dyDescent="0.25">
      <c r="A574" s="40">
        <f t="shared" si="102"/>
        <v>0</v>
      </c>
      <c r="B574" s="40">
        <f t="shared" si="103"/>
        <v>50</v>
      </c>
      <c r="C574" s="41">
        <f t="shared" si="96"/>
        <v>1.0313000000000001</v>
      </c>
      <c r="D574" s="41">
        <f t="shared" si="97"/>
        <v>0.88000000000000012</v>
      </c>
      <c r="E574" s="39">
        <f>IF(_xlfn.NORM.INV(R574,C574,'Regressão Grupo 2'!$B$7)&lt;=0,0,IF(_xlfn.NORM.INV(R574,C574,'Regressão Grupo 2'!$B$7)&gt;100%,100%,_xlfn.NORM.INV(R574,C574,'Regressão Grupo 2'!$B$7)))</f>
        <v>0.85859839269700033</v>
      </c>
      <c r="F574" s="39">
        <f>IF(_xlfn.NORM.INV(S574,D574,'Regressão Grupo 2'!$B$7)&lt;=0,0,IF(_xlfn.NORM.INV(S574,D574,'Regressão Grupo 2'!$B$7)&gt;100%,100%,_xlfn.NORM.INV(S574,D574,'Regressão Grupo 2'!$B$7)))</f>
        <v>0.9237999059440688</v>
      </c>
      <c r="G574" s="41">
        <v>7.5823907545843547E-3</v>
      </c>
      <c r="H574" s="41">
        <v>2.2897169169766363E-2</v>
      </c>
      <c r="I574" s="40">
        <f t="shared" si="98"/>
        <v>0</v>
      </c>
      <c r="J574" s="40">
        <f t="shared" si="99"/>
        <v>423.04805450831191</v>
      </c>
      <c r="K574" s="36">
        <v>0.31723992210862401</v>
      </c>
      <c r="L574" s="42">
        <f t="shared" si="107"/>
        <v>0</v>
      </c>
      <c r="M574" s="42">
        <f t="shared" si="107"/>
        <v>20000</v>
      </c>
      <c r="N574" s="42">
        <f t="shared" si="100"/>
        <v>6344.7984421724805</v>
      </c>
      <c r="O574" s="36">
        <v>3.0958145003398707</v>
      </c>
      <c r="P574" s="42">
        <f t="shared" si="101"/>
        <v>13497.92598175571</v>
      </c>
      <c r="Q574" s="42"/>
      <c r="R574">
        <v>0.10583819086275827</v>
      </c>
      <c r="S574">
        <v>0.62428662984099859</v>
      </c>
    </row>
    <row r="575" spans="1:19" x14ac:dyDescent="0.25">
      <c r="A575" s="40">
        <f t="shared" si="102"/>
        <v>0</v>
      </c>
      <c r="B575" s="40">
        <f t="shared" si="103"/>
        <v>50</v>
      </c>
      <c r="C575" s="41">
        <f t="shared" si="96"/>
        <v>1.0313000000000001</v>
      </c>
      <c r="D575" s="41">
        <f t="shared" si="97"/>
        <v>0.88000000000000012</v>
      </c>
      <c r="E575" s="39">
        <f>IF(_xlfn.NORM.INV(R575,C575,'Regressão Grupo 2'!$B$7)&lt;=0,0,IF(_xlfn.NORM.INV(R575,C575,'Regressão Grupo 2'!$B$7)&gt;100%,100%,_xlfn.NORM.INV(R575,C575,'Regressão Grupo 2'!$B$7)))</f>
        <v>0.81506383217593426</v>
      </c>
      <c r="F575" s="39">
        <f>IF(_xlfn.NORM.INV(S575,D575,'Regressão Grupo 2'!$B$7)&lt;=0,0,IF(_xlfn.NORM.INV(S575,D575,'Regressão Grupo 2'!$B$7)&gt;100%,100%,_xlfn.NORM.INV(S575,D575,'Regressão Grupo 2'!$B$7)))</f>
        <v>0.89944786168349744</v>
      </c>
      <c r="G575" s="41">
        <v>1.4250647429766516E-2</v>
      </c>
      <c r="H575" s="41">
        <v>1.774775735361411E-2</v>
      </c>
      <c r="I575" s="40">
        <f t="shared" si="98"/>
        <v>0</v>
      </c>
      <c r="J575" s="40">
        <f t="shared" si="99"/>
        <v>319.26364802771559</v>
      </c>
      <c r="K575" s="36">
        <v>0.22102099786581864</v>
      </c>
      <c r="L575" s="42">
        <f t="shared" si="107"/>
        <v>0</v>
      </c>
      <c r="M575" s="42">
        <f t="shared" si="107"/>
        <v>20000</v>
      </c>
      <c r="N575" s="42">
        <f t="shared" si="100"/>
        <v>4420.4199573163723</v>
      </c>
      <c r="O575" s="36">
        <v>5.1459117172891249</v>
      </c>
      <c r="P575" s="42">
        <f t="shared" si="101"/>
        <v>9899.8598967791149</v>
      </c>
      <c r="Q575" s="42"/>
      <c r="R575">
        <v>5.8931241798150576E-2</v>
      </c>
      <c r="S575">
        <v>0.55592516861476482</v>
      </c>
    </row>
    <row r="576" spans="1:19" x14ac:dyDescent="0.25">
      <c r="A576" s="40">
        <f t="shared" si="102"/>
        <v>0</v>
      </c>
      <c r="B576" s="40">
        <f t="shared" si="103"/>
        <v>50</v>
      </c>
      <c r="C576" s="41">
        <f t="shared" si="96"/>
        <v>1.0313000000000001</v>
      </c>
      <c r="D576" s="41">
        <f t="shared" si="97"/>
        <v>0.88000000000000012</v>
      </c>
      <c r="E576" s="39">
        <f>IF(_xlfn.NORM.INV(R576,C576,'Regressão Grupo 2'!$B$7)&lt;=0,0,IF(_xlfn.NORM.INV(R576,C576,'Regressão Grupo 2'!$B$7)&gt;100%,100%,_xlfn.NORM.INV(R576,C576,'Regressão Grupo 2'!$B$7)))</f>
        <v>1</v>
      </c>
      <c r="F576" s="39">
        <f>IF(_xlfn.NORM.INV(S576,D576,'Regressão Grupo 2'!$B$7)&lt;=0,0,IF(_xlfn.NORM.INV(S576,D576,'Regressão Grupo 2'!$B$7)&gt;100%,100%,_xlfn.NORM.INV(S576,D576,'Regressão Grupo 2'!$B$7)))</f>
        <v>0.89935171934015501</v>
      </c>
      <c r="G576" s="41">
        <v>2.1841823016266332E-2</v>
      </c>
      <c r="H576" s="41">
        <v>2.3960550594509859E-2</v>
      </c>
      <c r="I576" s="40">
        <f t="shared" si="98"/>
        <v>0</v>
      </c>
      <c r="J576" s="40">
        <f t="shared" si="99"/>
        <v>430.9792474701843</v>
      </c>
      <c r="K576" s="36">
        <v>0.31955415945431365</v>
      </c>
      <c r="L576" s="42">
        <f t="shared" si="107"/>
        <v>0</v>
      </c>
      <c r="M576" s="42">
        <f t="shared" si="107"/>
        <v>20000</v>
      </c>
      <c r="N576" s="42">
        <f t="shared" si="100"/>
        <v>6391.0831890862728</v>
      </c>
      <c r="O576" s="36">
        <v>7.1841143647902967</v>
      </c>
      <c r="P576" s="42">
        <f t="shared" si="101"/>
        <v>12061.67498174588</v>
      </c>
      <c r="Q576" s="42"/>
      <c r="R576">
        <v>0.84923856318857383</v>
      </c>
      <c r="S576">
        <v>0.55565050202948085</v>
      </c>
    </row>
    <row r="577" spans="1:19" x14ac:dyDescent="0.25">
      <c r="A577" s="40">
        <f t="shared" si="102"/>
        <v>0</v>
      </c>
      <c r="B577" s="40">
        <f t="shared" si="103"/>
        <v>50</v>
      </c>
      <c r="C577" s="41">
        <f t="shared" si="96"/>
        <v>1.0313000000000001</v>
      </c>
      <c r="D577" s="41">
        <f t="shared" si="97"/>
        <v>0.88000000000000012</v>
      </c>
      <c r="E577" s="39">
        <f>IF(_xlfn.NORM.INV(R577,C577,'Regressão Grupo 2'!$B$7)&lt;=0,0,IF(_xlfn.NORM.INV(R577,C577,'Regressão Grupo 2'!$B$7)&gt;100%,100%,_xlfn.NORM.INV(R577,C577,'Regressão Grupo 2'!$B$7)))</f>
        <v>0.98185669775887652</v>
      </c>
      <c r="F577" s="39">
        <f>IF(_xlfn.NORM.INV(S577,D577,'Regressão Grupo 2'!$B$7)&lt;=0,0,IF(_xlfn.NORM.INV(S577,D577,'Regressão Grupo 2'!$B$7)&gt;100%,100%,_xlfn.NORM.INV(S577,D577,'Regressão Grupo 2'!$B$7)))</f>
        <v>0.92413369596183481</v>
      </c>
      <c r="G577" s="41">
        <v>2.5038616170460798E-2</v>
      </c>
      <c r="H577" s="41">
        <v>1.994935687039532E-2</v>
      </c>
      <c r="I577" s="40">
        <f t="shared" si="98"/>
        <v>0</v>
      </c>
      <c r="J577" s="40">
        <f t="shared" si="99"/>
        <v>368.717457934001</v>
      </c>
      <c r="K577" s="36">
        <v>0.24647096292766371</v>
      </c>
      <c r="L577" s="42">
        <f t="shared" si="107"/>
        <v>0</v>
      </c>
      <c r="M577" s="42">
        <f t="shared" si="107"/>
        <v>20000</v>
      </c>
      <c r="N577" s="42">
        <f t="shared" si="100"/>
        <v>4929.4192585532746</v>
      </c>
      <c r="O577" s="36">
        <v>5.8011339451984512</v>
      </c>
      <c r="P577" s="42">
        <f t="shared" si="101"/>
        <v>11367.47427673856</v>
      </c>
      <c r="Q577" s="42"/>
      <c r="R577">
        <v>0.36033204138309882</v>
      </c>
      <c r="S577">
        <v>0.62520218512527848</v>
      </c>
    </row>
    <row r="578" spans="1:19" x14ac:dyDescent="0.25">
      <c r="A578" s="40">
        <f t="shared" si="102"/>
        <v>0</v>
      </c>
      <c r="B578" s="40">
        <f t="shared" si="103"/>
        <v>50</v>
      </c>
      <c r="C578" s="41">
        <f t="shared" si="96"/>
        <v>1.0313000000000001</v>
      </c>
      <c r="D578" s="41">
        <f t="shared" si="97"/>
        <v>0.88000000000000012</v>
      </c>
      <c r="E578" s="39">
        <f>IF(_xlfn.NORM.INV(R578,C578,'Regressão Grupo 2'!$B$7)&lt;=0,0,IF(_xlfn.NORM.INV(R578,C578,'Regressão Grupo 2'!$B$7)&gt;100%,100%,_xlfn.NORM.INV(R578,C578,'Regressão Grupo 2'!$B$7)))</f>
        <v>1</v>
      </c>
      <c r="F578" s="39">
        <f>IF(_xlfn.NORM.INV(S578,D578,'Regressão Grupo 2'!$B$7)&lt;=0,0,IF(_xlfn.NORM.INV(S578,D578,'Regressão Grupo 2'!$B$7)&gt;100%,100%,_xlfn.NORM.INV(S578,D578,'Regressão Grupo 2'!$B$7)))</f>
        <v>0.95860462822024239</v>
      </c>
      <c r="G578" s="41">
        <v>1.0997291079663702E-2</v>
      </c>
      <c r="H578" s="41">
        <v>1.9941843235410095E-2</v>
      </c>
      <c r="I578" s="40">
        <f t="shared" si="98"/>
        <v>0</v>
      </c>
      <c r="J578" s="40">
        <f t="shared" si="99"/>
        <v>382.32686441413296</v>
      </c>
      <c r="K578" s="36">
        <v>0.30089381387416247</v>
      </c>
      <c r="L578" s="42">
        <f t="shared" si="107"/>
        <v>0</v>
      </c>
      <c r="M578" s="42">
        <f t="shared" si="107"/>
        <v>20000</v>
      </c>
      <c r="N578" s="42">
        <f t="shared" si="100"/>
        <v>6017.8762774832494</v>
      </c>
      <c r="O578" s="36">
        <v>7.9247416953671985</v>
      </c>
      <c r="P578" s="42">
        <f t="shared" si="101"/>
        <v>10068.625299541716</v>
      </c>
      <c r="Q578" s="42"/>
      <c r="R578">
        <v>0.94170964690084535</v>
      </c>
      <c r="S578">
        <v>0.7151402325510422</v>
      </c>
    </row>
    <row r="579" spans="1:19" x14ac:dyDescent="0.25">
      <c r="A579" s="40">
        <f t="shared" si="102"/>
        <v>0</v>
      </c>
      <c r="B579" s="40">
        <f t="shared" si="103"/>
        <v>50</v>
      </c>
      <c r="C579" s="41">
        <f t="shared" si="96"/>
        <v>1.0313000000000001</v>
      </c>
      <c r="D579" s="41">
        <f t="shared" si="97"/>
        <v>0.88000000000000012</v>
      </c>
      <c r="E579" s="39">
        <f>IF(_xlfn.NORM.INV(R579,C579,'Regressão Grupo 2'!$B$7)&lt;=0,0,IF(_xlfn.NORM.INV(R579,C579,'Regressão Grupo 2'!$B$7)&gt;100%,100%,_xlfn.NORM.INV(R579,C579,'Regressão Grupo 2'!$B$7)))</f>
        <v>1</v>
      </c>
      <c r="F579" s="39">
        <f>IF(_xlfn.NORM.INV(S579,D579,'Regressão Grupo 2'!$B$7)&lt;=0,0,IF(_xlfn.NORM.INV(S579,D579,'Regressão Grupo 2'!$B$7)&gt;100%,100%,_xlfn.NORM.INV(S579,D579,'Regressão Grupo 2'!$B$7)))</f>
        <v>0.64839005551655349</v>
      </c>
      <c r="G579" s="41">
        <v>2.0122045270920427E-2</v>
      </c>
      <c r="H579" s="41">
        <v>1.6408883019741666E-2</v>
      </c>
      <c r="I579" s="40">
        <f t="shared" si="98"/>
        <v>0</v>
      </c>
      <c r="J579" s="40">
        <f t="shared" si="99"/>
        <v>212.78713144269861</v>
      </c>
      <c r="K579" s="36">
        <v>0.2531795482400423</v>
      </c>
      <c r="L579" s="42">
        <f t="shared" si="107"/>
        <v>0</v>
      </c>
      <c r="M579" s="42">
        <f t="shared" si="107"/>
        <v>20000</v>
      </c>
      <c r="N579" s="42">
        <f t="shared" si="100"/>
        <v>5063.5909648008455</v>
      </c>
      <c r="O579" s="36">
        <v>5.2231038172143558</v>
      </c>
      <c r="P579" s="42">
        <f t="shared" si="101"/>
        <v>4464.3563288416317</v>
      </c>
      <c r="Q579" s="42"/>
      <c r="R579">
        <v>0.55763420514542072</v>
      </c>
      <c r="S579">
        <v>4.6967986083559676E-2</v>
      </c>
    </row>
    <row r="580" spans="1:19" x14ac:dyDescent="0.25">
      <c r="A580" s="40">
        <f t="shared" si="102"/>
        <v>0</v>
      </c>
      <c r="B580" s="40">
        <f t="shared" si="103"/>
        <v>50</v>
      </c>
      <c r="C580" s="41">
        <f t="shared" si="96"/>
        <v>1.0313000000000001</v>
      </c>
      <c r="D580" s="41">
        <f t="shared" si="97"/>
        <v>0.88000000000000012</v>
      </c>
      <c r="E580" s="39">
        <f>IF(_xlfn.NORM.INV(R580,C580,'Regressão Grupo 2'!$B$7)&lt;=0,0,IF(_xlfn.NORM.INV(R580,C580,'Regressão Grupo 2'!$B$7)&gt;100%,100%,_xlfn.NORM.INV(R580,C580,'Regressão Grupo 2'!$B$7)))</f>
        <v>1</v>
      </c>
      <c r="F580" s="39">
        <f>IF(_xlfn.NORM.INV(S580,D580,'Regressão Grupo 2'!$B$7)&lt;=0,0,IF(_xlfn.NORM.INV(S580,D580,'Regressão Grupo 2'!$B$7)&gt;100%,100%,_xlfn.NORM.INV(S580,D580,'Regressão Grupo 2'!$B$7)))</f>
        <v>1</v>
      </c>
      <c r="G580" s="41">
        <v>1.7376010892811936E-2</v>
      </c>
      <c r="H580" s="41">
        <v>2.1387610449204997E-2</v>
      </c>
      <c r="I580" s="40">
        <f t="shared" si="98"/>
        <v>0</v>
      </c>
      <c r="J580" s="40">
        <f t="shared" si="99"/>
        <v>427.75220898409992</v>
      </c>
      <c r="K580" s="36">
        <v>0.30650368347519641</v>
      </c>
      <c r="L580" s="42">
        <f t="shared" si="107"/>
        <v>0</v>
      </c>
      <c r="M580" s="42">
        <f t="shared" si="107"/>
        <v>20000</v>
      </c>
      <c r="N580" s="42">
        <f t="shared" si="100"/>
        <v>6130.0736695039286</v>
      </c>
      <c r="O580" s="36">
        <v>8.3065902792122177</v>
      </c>
      <c r="P580" s="42">
        <f t="shared" si="101"/>
        <v>11704.374438642191</v>
      </c>
      <c r="Q580" s="42"/>
      <c r="R580">
        <v>0.51237525559251684</v>
      </c>
      <c r="S580">
        <v>0.86413159581286048</v>
      </c>
    </row>
    <row r="581" spans="1:19" x14ac:dyDescent="0.25">
      <c r="A581" s="40">
        <f t="shared" si="102"/>
        <v>0</v>
      </c>
      <c r="B581" s="40">
        <f t="shared" si="103"/>
        <v>50</v>
      </c>
      <c r="C581" s="41">
        <f t="shared" si="96"/>
        <v>1.0313000000000001</v>
      </c>
      <c r="D581" s="41">
        <f t="shared" si="97"/>
        <v>0.88000000000000012</v>
      </c>
      <c r="E581" s="39">
        <f>IF(_xlfn.NORM.INV(R581,C581,'Regressão Grupo 2'!$B$7)&lt;=0,0,IF(_xlfn.NORM.INV(R581,C581,'Regressão Grupo 2'!$B$7)&gt;100%,100%,_xlfn.NORM.INV(R581,C581,'Regressão Grupo 2'!$B$7)))</f>
        <v>1</v>
      </c>
      <c r="F581" s="39">
        <f>IF(_xlfn.NORM.INV(S581,D581,'Regressão Grupo 2'!$B$7)&lt;=0,0,IF(_xlfn.NORM.INV(S581,D581,'Regressão Grupo 2'!$B$7)&gt;100%,100%,_xlfn.NORM.INV(S581,D581,'Regressão Grupo 2'!$B$7)))</f>
        <v>1</v>
      </c>
      <c r="G581" s="41">
        <v>3.4057958457631571E-3</v>
      </c>
      <c r="H581" s="41">
        <v>2.4417766385179483E-2</v>
      </c>
      <c r="I581" s="40">
        <f t="shared" si="98"/>
        <v>0</v>
      </c>
      <c r="J581" s="40">
        <f t="shared" si="99"/>
        <v>488.35532770358964</v>
      </c>
      <c r="K581" s="36">
        <v>0.2101839287796361</v>
      </c>
      <c r="L581" s="42">
        <f t="shared" si="107"/>
        <v>0</v>
      </c>
      <c r="M581" s="42">
        <f t="shared" si="107"/>
        <v>20000</v>
      </c>
      <c r="N581" s="42">
        <f t="shared" si="100"/>
        <v>4203.6785755927222</v>
      </c>
      <c r="O581" s="36">
        <v>8.5883477400889507</v>
      </c>
      <c r="P581" s="42">
        <f t="shared" si="101"/>
        <v>16019.922434543234</v>
      </c>
      <c r="Q581" s="42"/>
      <c r="R581">
        <v>0.42002624591814935</v>
      </c>
      <c r="S581">
        <v>0.85393841364787748</v>
      </c>
    </row>
    <row r="582" spans="1:19" x14ac:dyDescent="0.25">
      <c r="A582" s="40">
        <f t="shared" si="102"/>
        <v>0</v>
      </c>
      <c r="B582" s="40">
        <f t="shared" si="103"/>
        <v>50</v>
      </c>
      <c r="C582" s="41">
        <f t="shared" ref="C582:C645" si="108">-0.0071*A582 + 1.0313</f>
        <v>1.0313000000000001</v>
      </c>
      <c r="D582" s="41">
        <f t="shared" ref="D582:D645" si="109">-0.0059*B582+1.175</f>
        <v>0.88000000000000012</v>
      </c>
      <c r="E582" s="39">
        <f>IF(_xlfn.NORM.INV(R582,C582,'Regressão Grupo 2'!$B$7)&lt;=0,0,IF(_xlfn.NORM.INV(R582,C582,'Regressão Grupo 2'!$B$7)&gt;100%,100%,_xlfn.NORM.INV(R582,C582,'Regressão Grupo 2'!$B$7)))</f>
        <v>1</v>
      </c>
      <c r="F582" s="39">
        <f>IF(_xlfn.NORM.INV(S582,D582,'Regressão Grupo 2'!$B$7)&lt;=0,0,IF(_xlfn.NORM.INV(S582,D582,'Regressão Grupo 2'!$B$7)&gt;100%,100%,_xlfn.NORM.INV(S582,D582,'Regressão Grupo 2'!$B$7)))</f>
        <v>1</v>
      </c>
      <c r="G582" s="41">
        <v>2.3856381745455828E-2</v>
      </c>
      <c r="H582" s="41">
        <v>2.2391146009919864E-2</v>
      </c>
      <c r="I582" s="40">
        <f t="shared" ref="I582:I645" si="110">IF(E582*G582*L582&gt;0,E582*G582*L582,0)</f>
        <v>0</v>
      </c>
      <c r="J582" s="40">
        <f t="shared" ref="J582:J645" si="111">IF(F582*H582*M582&gt;0,F582*H582*M582,0)</f>
        <v>447.8229201983973</v>
      </c>
      <c r="K582" s="36">
        <v>0.25478908401463696</v>
      </c>
      <c r="L582" s="42">
        <f t="shared" si="107"/>
        <v>0</v>
      </c>
      <c r="M582" s="42">
        <f t="shared" si="107"/>
        <v>20000</v>
      </c>
      <c r="N582" s="42">
        <f t="shared" ref="N582:N645" si="112">(L582+M582)*K582</f>
        <v>5095.7816802927391</v>
      </c>
      <c r="O582" s="36">
        <v>8.7194330375782165</v>
      </c>
      <c r="P582" s="42">
        <f t="shared" ref="P582:P645" si="113">SUMPRODUCT(A582:B582,I582:J582)-SUM(I582:J582)*O582-N582</f>
        <v>13390.60236426447</v>
      </c>
      <c r="Q582" s="42"/>
      <c r="R582">
        <v>0.94228949858088928</v>
      </c>
      <c r="S582">
        <v>0.92275765251625108</v>
      </c>
    </row>
    <row r="583" spans="1:19" x14ac:dyDescent="0.25">
      <c r="A583" s="40">
        <f t="shared" ref="A583:A646" si="114">A582</f>
        <v>0</v>
      </c>
      <c r="B583" s="40">
        <f t="shared" ref="B583:B646" si="115">B582</f>
        <v>50</v>
      </c>
      <c r="C583" s="41">
        <f t="shared" si="108"/>
        <v>1.0313000000000001</v>
      </c>
      <c r="D583" s="41">
        <f t="shared" si="109"/>
        <v>0.88000000000000012</v>
      </c>
      <c r="E583" s="39">
        <f>IF(_xlfn.NORM.INV(R583,C583,'Regressão Grupo 2'!$B$7)&lt;=0,0,IF(_xlfn.NORM.INV(R583,C583,'Regressão Grupo 2'!$B$7)&gt;100%,100%,_xlfn.NORM.INV(R583,C583,'Regressão Grupo 2'!$B$7)))</f>
        <v>1</v>
      </c>
      <c r="F583" s="39">
        <f>IF(_xlfn.NORM.INV(S583,D583,'Regressão Grupo 2'!$B$7)&lt;=0,0,IF(_xlfn.NORM.INV(S583,D583,'Regressão Grupo 2'!$B$7)&gt;100%,100%,_xlfn.NORM.INV(S583,D583,'Regressão Grupo 2'!$B$7)))</f>
        <v>1</v>
      </c>
      <c r="G583" s="41">
        <v>1.9291973649858216E-2</v>
      </c>
      <c r="H583" s="41">
        <v>2.060947559175718E-2</v>
      </c>
      <c r="I583" s="40">
        <f t="shared" si="110"/>
        <v>0</v>
      </c>
      <c r="J583" s="40">
        <f t="shared" si="111"/>
        <v>412.18951183514361</v>
      </c>
      <c r="K583" s="36">
        <v>0.34316065733771295</v>
      </c>
      <c r="L583" s="42">
        <f t="shared" ref="L583:M598" si="116">L582</f>
        <v>0</v>
      </c>
      <c r="M583" s="42">
        <f t="shared" si="116"/>
        <v>20000</v>
      </c>
      <c r="N583" s="42">
        <f t="shared" si="112"/>
        <v>6863.2131467542586</v>
      </c>
      <c r="O583" s="36">
        <v>4.7085993795058574</v>
      </c>
      <c r="P583" s="42">
        <f t="shared" si="113"/>
        <v>11805.427165337145</v>
      </c>
      <c r="Q583" s="42"/>
      <c r="R583">
        <v>0.49812311166722617</v>
      </c>
      <c r="S583">
        <v>0.96124149296548356</v>
      </c>
    </row>
    <row r="584" spans="1:19" x14ac:dyDescent="0.25">
      <c r="A584" s="40">
        <f t="shared" si="114"/>
        <v>0</v>
      </c>
      <c r="B584" s="40">
        <f t="shared" si="115"/>
        <v>50</v>
      </c>
      <c r="C584" s="41">
        <f t="shared" si="108"/>
        <v>1.0313000000000001</v>
      </c>
      <c r="D584" s="41">
        <f t="shared" si="109"/>
        <v>0.88000000000000012</v>
      </c>
      <c r="E584" s="39">
        <f>IF(_xlfn.NORM.INV(R584,C584,'Regressão Grupo 2'!$B$7)&lt;=0,0,IF(_xlfn.NORM.INV(R584,C584,'Regressão Grupo 2'!$B$7)&gt;100%,100%,_xlfn.NORM.INV(R584,C584,'Regressão Grupo 2'!$B$7)))</f>
        <v>0.95276995724385705</v>
      </c>
      <c r="F584" s="39">
        <f>IF(_xlfn.NORM.INV(S584,D584,'Regressão Grupo 2'!$B$7)&lt;=0,0,IF(_xlfn.NORM.INV(S584,D584,'Regressão Grupo 2'!$B$7)&gt;100%,100%,_xlfn.NORM.INV(S584,D584,'Regressão Grupo 2'!$B$7)))</f>
        <v>1</v>
      </c>
      <c r="G584" s="41">
        <v>2.8811398665521439E-2</v>
      </c>
      <c r="H584" s="41">
        <v>7.7894274474022487E-3</v>
      </c>
      <c r="I584" s="40">
        <f t="shared" si="110"/>
        <v>0</v>
      </c>
      <c r="J584" s="40">
        <f t="shared" si="111"/>
        <v>155.78854894804496</v>
      </c>
      <c r="K584" s="36">
        <v>0.37312164160752576</v>
      </c>
      <c r="L584" s="42">
        <f t="shared" si="116"/>
        <v>0</v>
      </c>
      <c r="M584" s="42">
        <f t="shared" si="116"/>
        <v>20000</v>
      </c>
      <c r="N584" s="42">
        <f t="shared" si="112"/>
        <v>7462.4328321505154</v>
      </c>
      <c r="O584" s="36">
        <v>4.2256796843471944</v>
      </c>
      <c r="P584" s="42">
        <f t="shared" si="113"/>
        <v>-331.3178910919496</v>
      </c>
      <c r="Q584" s="42"/>
      <c r="R584">
        <v>0.28504287850581378</v>
      </c>
      <c r="S584">
        <v>0.83196508682515946</v>
      </c>
    </row>
    <row r="585" spans="1:19" x14ac:dyDescent="0.25">
      <c r="A585" s="40">
        <f t="shared" si="114"/>
        <v>0</v>
      </c>
      <c r="B585" s="40">
        <f t="shared" si="115"/>
        <v>50</v>
      </c>
      <c r="C585" s="41">
        <f t="shared" si="108"/>
        <v>1.0313000000000001</v>
      </c>
      <c r="D585" s="41">
        <f t="shared" si="109"/>
        <v>0.88000000000000012</v>
      </c>
      <c r="E585" s="39">
        <f>IF(_xlfn.NORM.INV(R585,C585,'Regressão Grupo 2'!$B$7)&lt;=0,0,IF(_xlfn.NORM.INV(R585,C585,'Regressão Grupo 2'!$B$7)&gt;100%,100%,_xlfn.NORM.INV(R585,C585,'Regressão Grupo 2'!$B$7)))</f>
        <v>0.89548524223653714</v>
      </c>
      <c r="F585" s="39">
        <f>IF(_xlfn.NORM.INV(S585,D585,'Regressão Grupo 2'!$B$7)&lt;=0,0,IF(_xlfn.NORM.INV(S585,D585,'Regressão Grupo 2'!$B$7)&gt;100%,100%,_xlfn.NORM.INV(S585,D585,'Regressão Grupo 2'!$B$7)))</f>
        <v>0.75025730028860971</v>
      </c>
      <c r="G585" s="41">
        <v>4.6565790764160515E-3</v>
      </c>
      <c r="H585" s="41">
        <v>1.8419586466580162E-2</v>
      </c>
      <c r="I585" s="40">
        <f t="shared" si="110"/>
        <v>0</v>
      </c>
      <c r="J585" s="40">
        <f t="shared" si="111"/>
        <v>276.38858429698087</v>
      </c>
      <c r="K585" s="36">
        <v>0.31921112577776944</v>
      </c>
      <c r="L585" s="42">
        <f t="shared" si="116"/>
        <v>0</v>
      </c>
      <c r="M585" s="42">
        <f t="shared" si="116"/>
        <v>20000</v>
      </c>
      <c r="N585" s="42">
        <f t="shared" si="112"/>
        <v>6384.2225155553888</v>
      </c>
      <c r="O585" s="36">
        <v>5.6832089083431656</v>
      </c>
      <c r="P585" s="42">
        <f t="shared" si="113"/>
        <v>5864.4326348526984</v>
      </c>
      <c r="Q585" s="42"/>
      <c r="R585">
        <v>0.16299935911130101</v>
      </c>
      <c r="S585">
        <v>0.17404705954161198</v>
      </c>
    </row>
    <row r="586" spans="1:19" x14ac:dyDescent="0.25">
      <c r="A586" s="40">
        <f t="shared" si="114"/>
        <v>0</v>
      </c>
      <c r="B586" s="40">
        <f t="shared" si="115"/>
        <v>50</v>
      </c>
      <c r="C586" s="41">
        <f t="shared" si="108"/>
        <v>1.0313000000000001</v>
      </c>
      <c r="D586" s="41">
        <f t="shared" si="109"/>
        <v>0.88000000000000012</v>
      </c>
      <c r="E586" s="39">
        <f>IF(_xlfn.NORM.INV(R586,C586,'Regressão Grupo 2'!$B$7)&lt;=0,0,IF(_xlfn.NORM.INV(R586,C586,'Regressão Grupo 2'!$B$7)&gt;100%,100%,_xlfn.NORM.INV(R586,C586,'Regressão Grupo 2'!$B$7)))</f>
        <v>1</v>
      </c>
      <c r="F586" s="39">
        <f>IF(_xlfn.NORM.INV(S586,D586,'Regressão Grupo 2'!$B$7)&lt;=0,0,IF(_xlfn.NORM.INV(S586,D586,'Regressão Grupo 2'!$B$7)&gt;100%,100%,_xlfn.NORM.INV(S586,D586,'Regressão Grupo 2'!$B$7)))</f>
        <v>1</v>
      </c>
      <c r="G586" s="41">
        <v>2.5490423934248264E-2</v>
      </c>
      <c r="H586" s="41">
        <v>5.1879394528952186E-3</v>
      </c>
      <c r="I586" s="40">
        <f t="shared" si="110"/>
        <v>0</v>
      </c>
      <c r="J586" s="40">
        <f t="shared" si="111"/>
        <v>103.75878905790437</v>
      </c>
      <c r="K586" s="36">
        <v>0.22807722363929087</v>
      </c>
      <c r="L586" s="42">
        <f t="shared" si="116"/>
        <v>0</v>
      </c>
      <c r="M586" s="42">
        <f t="shared" si="116"/>
        <v>20000</v>
      </c>
      <c r="N586" s="42">
        <f t="shared" si="112"/>
        <v>4561.5444727858176</v>
      </c>
      <c r="O586" s="36">
        <v>7.1804650752833705</v>
      </c>
      <c r="P586" s="42">
        <f t="shared" si="113"/>
        <v>-118.64138097457635</v>
      </c>
      <c r="Q586" s="42"/>
      <c r="R586">
        <v>0.869899594103824</v>
      </c>
      <c r="S586">
        <v>0.87038789025543994</v>
      </c>
    </row>
    <row r="587" spans="1:19" x14ac:dyDescent="0.25">
      <c r="A587" s="40">
        <f t="shared" si="114"/>
        <v>0</v>
      </c>
      <c r="B587" s="40">
        <f t="shared" si="115"/>
        <v>50</v>
      </c>
      <c r="C587" s="41">
        <f t="shared" si="108"/>
        <v>1.0313000000000001</v>
      </c>
      <c r="D587" s="41">
        <f t="shared" si="109"/>
        <v>0.88000000000000012</v>
      </c>
      <c r="E587" s="39">
        <f>IF(_xlfn.NORM.INV(R587,C587,'Regressão Grupo 2'!$B$7)&lt;=0,0,IF(_xlfn.NORM.INV(R587,C587,'Regressão Grupo 2'!$B$7)&gt;100%,100%,_xlfn.NORM.INV(R587,C587,'Regressão Grupo 2'!$B$7)))</f>
        <v>0.95081067586498702</v>
      </c>
      <c r="F587" s="39">
        <f>IF(_xlfn.NORM.INV(S587,D587,'Regressão Grupo 2'!$B$7)&lt;=0,0,IF(_xlfn.NORM.INV(S587,D587,'Regressão Grupo 2'!$B$7)&gt;100%,100%,_xlfn.NORM.INV(S587,D587,'Regressão Grupo 2'!$B$7)))</f>
        <v>0.80375863795595348</v>
      </c>
      <c r="G587" s="41">
        <v>2.0084570327408027E-2</v>
      </c>
      <c r="H587" s="41">
        <v>7.4918726754497197E-3</v>
      </c>
      <c r="I587" s="40">
        <f t="shared" si="110"/>
        <v>0</v>
      </c>
      <c r="J587" s="40">
        <f t="shared" si="111"/>
        <v>120.43314754717784</v>
      </c>
      <c r="K587" s="36">
        <v>0.24198720049594363</v>
      </c>
      <c r="L587" s="42">
        <f t="shared" si="116"/>
        <v>0</v>
      </c>
      <c r="M587" s="42">
        <f t="shared" si="116"/>
        <v>20000</v>
      </c>
      <c r="N587" s="42">
        <f t="shared" si="112"/>
        <v>4839.7440099188725</v>
      </c>
      <c r="O587" s="36">
        <v>5.1725110459892649</v>
      </c>
      <c r="P587" s="42">
        <f t="shared" si="113"/>
        <v>558.9715814489864</v>
      </c>
      <c r="Q587" s="42"/>
      <c r="R587">
        <v>0.28025147251808219</v>
      </c>
      <c r="S587">
        <v>0.29068880275887327</v>
      </c>
    </row>
    <row r="588" spans="1:19" x14ac:dyDescent="0.25">
      <c r="A588" s="40">
        <f t="shared" si="114"/>
        <v>0</v>
      </c>
      <c r="B588" s="40">
        <f t="shared" si="115"/>
        <v>50</v>
      </c>
      <c r="C588" s="41">
        <f t="shared" si="108"/>
        <v>1.0313000000000001</v>
      </c>
      <c r="D588" s="41">
        <f t="shared" si="109"/>
        <v>0.88000000000000012</v>
      </c>
      <c r="E588" s="39">
        <f>IF(_xlfn.NORM.INV(R588,C588,'Regressão Grupo 2'!$B$7)&lt;=0,0,IF(_xlfn.NORM.INV(R588,C588,'Regressão Grupo 2'!$B$7)&gt;100%,100%,_xlfn.NORM.INV(R588,C588,'Regressão Grupo 2'!$B$7)))</f>
        <v>1</v>
      </c>
      <c r="F588" s="39">
        <f>IF(_xlfn.NORM.INV(S588,D588,'Regressão Grupo 2'!$B$7)&lt;=0,0,IF(_xlfn.NORM.INV(S588,D588,'Regressão Grupo 2'!$B$7)&gt;100%,100%,_xlfn.NORM.INV(S588,D588,'Regressão Grupo 2'!$B$7)))</f>
        <v>1</v>
      </c>
      <c r="G588" s="41">
        <v>1.9729521274568812E-2</v>
      </c>
      <c r="H588" s="41">
        <v>1.8275152314330214E-2</v>
      </c>
      <c r="I588" s="40">
        <f t="shared" si="110"/>
        <v>0</v>
      </c>
      <c r="J588" s="40">
        <f t="shared" si="111"/>
        <v>365.50304628660427</v>
      </c>
      <c r="K588" s="36">
        <v>0.34567310480428398</v>
      </c>
      <c r="L588" s="42">
        <f t="shared" si="116"/>
        <v>0</v>
      </c>
      <c r="M588" s="42">
        <f t="shared" si="116"/>
        <v>20000</v>
      </c>
      <c r="N588" s="42">
        <f t="shared" si="112"/>
        <v>6913.4620960856801</v>
      </c>
      <c r="O588" s="36">
        <v>9.0539791983023523</v>
      </c>
      <c r="P588" s="42">
        <f t="shared" si="113"/>
        <v>8052.4332402494774</v>
      </c>
      <c r="Q588" s="42"/>
      <c r="R588">
        <v>0.61687063203833126</v>
      </c>
      <c r="S588">
        <v>0.83288064210943935</v>
      </c>
    </row>
    <row r="589" spans="1:19" x14ac:dyDescent="0.25">
      <c r="A589" s="40">
        <f t="shared" si="114"/>
        <v>0</v>
      </c>
      <c r="B589" s="40">
        <f t="shared" si="115"/>
        <v>50</v>
      </c>
      <c r="C589" s="41">
        <f t="shared" si="108"/>
        <v>1.0313000000000001</v>
      </c>
      <c r="D589" s="41">
        <f t="shared" si="109"/>
        <v>0.88000000000000012</v>
      </c>
      <c r="E589" s="39">
        <f>IF(_xlfn.NORM.INV(R589,C589,'Regressão Grupo 2'!$B$7)&lt;=0,0,IF(_xlfn.NORM.INV(R589,C589,'Regressão Grupo 2'!$B$7)&gt;100%,100%,_xlfn.NORM.INV(R589,C589,'Regressão Grupo 2'!$B$7)))</f>
        <v>0.95873858159971515</v>
      </c>
      <c r="F589" s="39">
        <f>IF(_xlfn.NORM.INV(S589,D589,'Regressão Grupo 2'!$B$7)&lt;=0,0,IF(_xlfn.NORM.INV(S589,D589,'Regressão Grupo 2'!$B$7)&gt;100%,100%,_xlfn.NORM.INV(S589,D589,'Regressão Grupo 2'!$B$7)))</f>
        <v>1</v>
      </c>
      <c r="G589" s="41">
        <v>1.0494127402411756E-2</v>
      </c>
      <c r="H589" s="41">
        <v>2.3822985024961787E-2</v>
      </c>
      <c r="I589" s="40">
        <f t="shared" si="110"/>
        <v>0</v>
      </c>
      <c r="J589" s="40">
        <f t="shared" si="111"/>
        <v>476.45970049923574</v>
      </c>
      <c r="K589" s="36">
        <v>0.25806026837578722</v>
      </c>
      <c r="L589" s="42">
        <f t="shared" si="116"/>
        <v>0</v>
      </c>
      <c r="M589" s="42">
        <f t="shared" si="116"/>
        <v>20000</v>
      </c>
      <c r="N589" s="42">
        <f t="shared" si="112"/>
        <v>5161.205367515744</v>
      </c>
      <c r="O589" s="36">
        <v>6.5700269518653842</v>
      </c>
      <c r="P589" s="42">
        <f t="shared" si="113"/>
        <v>15531.426583688357</v>
      </c>
      <c r="Q589" s="42"/>
      <c r="R589">
        <v>0.29987487411114844</v>
      </c>
      <c r="S589">
        <v>0.95760979033783988</v>
      </c>
    </row>
    <row r="590" spans="1:19" x14ac:dyDescent="0.25">
      <c r="A590" s="40">
        <f t="shared" si="114"/>
        <v>0</v>
      </c>
      <c r="B590" s="40">
        <f t="shared" si="115"/>
        <v>50</v>
      </c>
      <c r="C590" s="41">
        <f t="shared" si="108"/>
        <v>1.0313000000000001</v>
      </c>
      <c r="D590" s="41">
        <f t="shared" si="109"/>
        <v>0.88000000000000012</v>
      </c>
      <c r="E590" s="39">
        <f>IF(_xlfn.NORM.INV(R590,C590,'Regressão Grupo 2'!$B$7)&lt;=0,0,IF(_xlfn.NORM.INV(R590,C590,'Regressão Grupo 2'!$B$7)&gt;100%,100%,_xlfn.NORM.INV(R590,C590,'Regressão Grupo 2'!$B$7)))</f>
        <v>0.85154548720092926</v>
      </c>
      <c r="F590" s="39">
        <f>IF(_xlfn.NORM.INV(S590,D590,'Regressão Grupo 2'!$B$7)&lt;=0,0,IF(_xlfn.NORM.INV(S590,D590,'Regressão Grupo 2'!$B$7)&gt;100%,100%,_xlfn.NORM.INV(S590,D590,'Regressão Grupo 2'!$B$7)))</f>
        <v>1</v>
      </c>
      <c r="G590" s="41">
        <v>1.5841870348786664E-2</v>
      </c>
      <c r="H590" s="41">
        <v>1.5932818454473089E-2</v>
      </c>
      <c r="I590" s="40">
        <f t="shared" si="110"/>
        <v>0</v>
      </c>
      <c r="J590" s="40">
        <f t="shared" si="111"/>
        <v>318.6563690894618</v>
      </c>
      <c r="K590" s="36">
        <v>0.17675113406259885</v>
      </c>
      <c r="L590" s="42">
        <f t="shared" si="116"/>
        <v>0</v>
      </c>
      <c r="M590" s="42">
        <f t="shared" si="116"/>
        <v>20000</v>
      </c>
      <c r="N590" s="42">
        <f t="shared" si="112"/>
        <v>3535.0226812519768</v>
      </c>
      <c r="O590" s="36">
        <v>7.8033749541060882</v>
      </c>
      <c r="P590" s="42">
        <f t="shared" si="113"/>
        <v>9911.2006437020209</v>
      </c>
      <c r="Q590" s="42"/>
      <c r="R590">
        <v>9.680471205786309E-2</v>
      </c>
      <c r="S590">
        <v>0.97631763664662619</v>
      </c>
    </row>
    <row r="591" spans="1:19" x14ac:dyDescent="0.25">
      <c r="A591" s="40">
        <f t="shared" si="114"/>
        <v>0</v>
      </c>
      <c r="B591" s="40">
        <f t="shared" si="115"/>
        <v>50</v>
      </c>
      <c r="C591" s="41">
        <f t="shared" si="108"/>
        <v>1.0313000000000001</v>
      </c>
      <c r="D591" s="41">
        <f t="shared" si="109"/>
        <v>0.88000000000000012</v>
      </c>
      <c r="E591" s="39">
        <f>IF(_xlfn.NORM.INV(R591,C591,'Regressão Grupo 2'!$B$7)&lt;=0,0,IF(_xlfn.NORM.INV(R591,C591,'Regressão Grupo 2'!$B$7)&gt;100%,100%,_xlfn.NORM.INV(R591,C591,'Regressão Grupo 2'!$B$7)))</f>
        <v>0.79481630437124973</v>
      </c>
      <c r="F591" s="39">
        <f>IF(_xlfn.NORM.INV(S591,D591,'Regressão Grupo 2'!$B$7)&lt;=0,0,IF(_xlfn.NORM.INV(S591,D591,'Regressão Grupo 2'!$B$7)&gt;100%,100%,_xlfn.NORM.INV(S591,D591,'Regressão Grupo 2'!$B$7)))</f>
        <v>0.85660164773153702</v>
      </c>
      <c r="G591" s="41">
        <v>6.2275502415808396E-3</v>
      </c>
      <c r="H591" s="41">
        <v>1.6087308168490189E-2</v>
      </c>
      <c r="I591" s="40">
        <f t="shared" si="110"/>
        <v>0</v>
      </c>
      <c r="J591" s="40">
        <f t="shared" si="111"/>
        <v>275.6082936938742</v>
      </c>
      <c r="K591" s="36">
        <v>0.18917844486582239</v>
      </c>
      <c r="L591" s="42">
        <f t="shared" si="116"/>
        <v>0</v>
      </c>
      <c r="M591" s="42">
        <f t="shared" si="116"/>
        <v>20000</v>
      </c>
      <c r="N591" s="42">
        <f t="shared" si="112"/>
        <v>3783.5688973164479</v>
      </c>
      <c r="O591" s="36">
        <v>8.0670753358188652</v>
      </c>
      <c r="P591" s="42">
        <f t="shared" si="113"/>
        <v>7773.4929189722889</v>
      </c>
      <c r="Q591" s="42"/>
      <c r="R591">
        <v>4.361095004119999E-2</v>
      </c>
      <c r="S591">
        <v>0.4328135013885922</v>
      </c>
    </row>
    <row r="592" spans="1:19" x14ac:dyDescent="0.25">
      <c r="A592" s="40">
        <f t="shared" si="114"/>
        <v>0</v>
      </c>
      <c r="B592" s="40">
        <f t="shared" si="115"/>
        <v>50</v>
      </c>
      <c r="C592" s="41">
        <f t="shared" si="108"/>
        <v>1.0313000000000001</v>
      </c>
      <c r="D592" s="41">
        <f t="shared" si="109"/>
        <v>0.88000000000000012</v>
      </c>
      <c r="E592" s="39">
        <f>IF(_xlfn.NORM.INV(R592,C592,'Regressão Grupo 2'!$B$7)&lt;=0,0,IF(_xlfn.NORM.INV(R592,C592,'Regressão Grupo 2'!$B$7)&gt;100%,100%,_xlfn.NORM.INV(R592,C592,'Regressão Grupo 2'!$B$7)))</f>
        <v>1</v>
      </c>
      <c r="F592" s="39">
        <f>IF(_xlfn.NORM.INV(S592,D592,'Regressão Grupo 2'!$B$7)&lt;=0,0,IF(_xlfn.NORM.INV(S592,D592,'Regressão Grupo 2'!$B$7)&gt;100%,100%,_xlfn.NORM.INV(S592,D592,'Regressão Grupo 2'!$B$7)))</f>
        <v>0.73017444625924921</v>
      </c>
      <c r="G592" s="41">
        <v>2.6950444153778716E-2</v>
      </c>
      <c r="H592" s="41">
        <v>1.4513919709622616E-2</v>
      </c>
      <c r="I592" s="40">
        <f t="shared" si="110"/>
        <v>0</v>
      </c>
      <c r="J592" s="40">
        <f t="shared" si="111"/>
        <v>211.95386574049795</v>
      </c>
      <c r="K592" s="36">
        <v>0.34783015860798017</v>
      </c>
      <c r="L592" s="42">
        <f t="shared" si="116"/>
        <v>0</v>
      </c>
      <c r="M592" s="42">
        <f t="shared" si="116"/>
        <v>20000</v>
      </c>
      <c r="N592" s="42">
        <f t="shared" si="112"/>
        <v>6956.6031721596037</v>
      </c>
      <c r="O592" s="36">
        <v>6.5784296201349761</v>
      </c>
      <c r="P592" s="42">
        <f t="shared" si="113"/>
        <v>2246.766526375889</v>
      </c>
      <c r="Q592" s="42"/>
      <c r="R592">
        <v>0.86629840998565633</v>
      </c>
      <c r="S592">
        <v>0.1392864772484512</v>
      </c>
    </row>
    <row r="593" spans="1:19" x14ac:dyDescent="0.25">
      <c r="A593" s="40">
        <f t="shared" si="114"/>
        <v>0</v>
      </c>
      <c r="B593" s="40">
        <f t="shared" si="115"/>
        <v>50</v>
      </c>
      <c r="C593" s="41">
        <f t="shared" si="108"/>
        <v>1.0313000000000001</v>
      </c>
      <c r="D593" s="41">
        <f t="shared" si="109"/>
        <v>0.88000000000000012</v>
      </c>
      <c r="E593" s="39">
        <f>IF(_xlfn.NORM.INV(R593,C593,'Regressão Grupo 2'!$B$7)&lt;=0,0,IF(_xlfn.NORM.INV(R593,C593,'Regressão Grupo 2'!$B$7)&gt;100%,100%,_xlfn.NORM.INV(R593,C593,'Regressão Grupo 2'!$B$7)))</f>
        <v>1</v>
      </c>
      <c r="F593" s="39">
        <f>IF(_xlfn.NORM.INV(S593,D593,'Regressão Grupo 2'!$B$7)&lt;=0,0,IF(_xlfn.NORM.INV(S593,D593,'Regressão Grupo 2'!$B$7)&gt;100%,100%,_xlfn.NORM.INV(S593,D593,'Regressão Grupo 2'!$B$7)))</f>
        <v>1</v>
      </c>
      <c r="G593" s="41">
        <v>2.2093337088650657E-2</v>
      </c>
      <c r="H593" s="41">
        <v>1.1342103949046084E-2</v>
      </c>
      <c r="I593" s="40">
        <f t="shared" si="110"/>
        <v>0</v>
      </c>
      <c r="J593" s="40">
        <f t="shared" si="111"/>
        <v>226.84207898092168</v>
      </c>
      <c r="K593" s="36">
        <v>0.31952107776064076</v>
      </c>
      <c r="L593" s="42">
        <f t="shared" si="116"/>
        <v>0</v>
      </c>
      <c r="M593" s="42">
        <f t="shared" si="116"/>
        <v>20000</v>
      </c>
      <c r="N593" s="42">
        <f t="shared" si="112"/>
        <v>6390.4215552128153</v>
      </c>
      <c r="O593" s="36">
        <v>4.5118894860124481</v>
      </c>
      <c r="P593" s="42">
        <f t="shared" si="113"/>
        <v>3928.1960026940433</v>
      </c>
      <c r="Q593" s="42"/>
      <c r="R593">
        <v>0.97064119388409065</v>
      </c>
      <c r="S593">
        <v>0.91363261818292796</v>
      </c>
    </row>
    <row r="594" spans="1:19" x14ac:dyDescent="0.25">
      <c r="A594" s="40">
        <f t="shared" si="114"/>
        <v>0</v>
      </c>
      <c r="B594" s="40">
        <f t="shared" si="115"/>
        <v>50</v>
      </c>
      <c r="C594" s="41">
        <f t="shared" si="108"/>
        <v>1.0313000000000001</v>
      </c>
      <c r="D594" s="41">
        <f t="shared" si="109"/>
        <v>0.88000000000000012</v>
      </c>
      <c r="E594" s="39">
        <f>IF(_xlfn.NORM.INV(R594,C594,'Regressão Grupo 2'!$B$7)&lt;=0,0,IF(_xlfn.NORM.INV(R594,C594,'Regressão Grupo 2'!$B$7)&gt;100%,100%,_xlfn.NORM.INV(R594,C594,'Regressão Grupo 2'!$B$7)))</f>
        <v>0.86115317227882049</v>
      </c>
      <c r="F594" s="39">
        <f>IF(_xlfn.NORM.INV(S594,D594,'Regressão Grupo 2'!$B$7)&lt;=0,0,IF(_xlfn.NORM.INV(S594,D594,'Regressão Grupo 2'!$B$7)&gt;100%,100%,_xlfn.NORM.INV(S594,D594,'Regressão Grupo 2'!$B$7)))</f>
        <v>1</v>
      </c>
      <c r="G594" s="41">
        <v>2.1325485012739565E-2</v>
      </c>
      <c r="H594" s="41">
        <v>2.4336845733849553E-2</v>
      </c>
      <c r="I594" s="40">
        <f t="shared" si="110"/>
        <v>0</v>
      </c>
      <c r="J594" s="40">
        <f t="shared" si="111"/>
        <v>486.73691467699109</v>
      </c>
      <c r="K594" s="36">
        <v>0.32560539055064608</v>
      </c>
      <c r="L594" s="42">
        <f t="shared" si="116"/>
        <v>0</v>
      </c>
      <c r="M594" s="42">
        <f t="shared" si="116"/>
        <v>20000</v>
      </c>
      <c r="N594" s="42">
        <f t="shared" si="112"/>
        <v>6512.107811012922</v>
      </c>
      <c r="O594" s="36">
        <v>6.9259254576180789</v>
      </c>
      <c r="P594" s="42">
        <f t="shared" si="113"/>
        <v>14453.634334312779</v>
      </c>
      <c r="Q594" s="42"/>
      <c r="R594">
        <v>0.10925626392406995</v>
      </c>
      <c r="S594">
        <v>0.9421674245429853</v>
      </c>
    </row>
    <row r="595" spans="1:19" x14ac:dyDescent="0.25">
      <c r="A595" s="40">
        <f t="shared" si="114"/>
        <v>0</v>
      </c>
      <c r="B595" s="40">
        <f t="shared" si="115"/>
        <v>50</v>
      </c>
      <c r="C595" s="41">
        <f t="shared" si="108"/>
        <v>1.0313000000000001</v>
      </c>
      <c r="D595" s="41">
        <f t="shared" si="109"/>
        <v>0.88000000000000012</v>
      </c>
      <c r="E595" s="39">
        <f>IF(_xlfn.NORM.INV(R595,C595,'Regressão Grupo 2'!$B$7)&lt;=0,0,IF(_xlfn.NORM.INV(R595,C595,'Regressão Grupo 2'!$B$7)&gt;100%,100%,_xlfn.NORM.INV(R595,C595,'Regressão Grupo 2'!$B$7)))</f>
        <v>0.91637424474198947</v>
      </c>
      <c r="F595" s="39">
        <f>IF(_xlfn.NORM.INV(S595,D595,'Regressão Grupo 2'!$B$7)&lt;=0,0,IF(_xlfn.NORM.INV(S595,D595,'Regressão Grupo 2'!$B$7)&gt;100%,100%,_xlfn.NORM.INV(S595,D595,'Regressão Grupo 2'!$B$7)))</f>
        <v>0.90969123079527547</v>
      </c>
      <c r="G595" s="41">
        <v>2.1199806649533207E-2</v>
      </c>
      <c r="H595" s="41">
        <v>1.0436390640786027E-2</v>
      </c>
      <c r="I595" s="40">
        <f t="shared" si="110"/>
        <v>0</v>
      </c>
      <c r="J595" s="40">
        <f t="shared" si="111"/>
        <v>189.87786094153867</v>
      </c>
      <c r="K595" s="36">
        <v>0.4390727516385689</v>
      </c>
      <c r="L595" s="42">
        <f t="shared" si="116"/>
        <v>0</v>
      </c>
      <c r="M595" s="42">
        <f t="shared" si="116"/>
        <v>20000</v>
      </c>
      <c r="N595" s="42">
        <f t="shared" si="112"/>
        <v>8781.4550327713787</v>
      </c>
      <c r="O595" s="36">
        <v>8.06262154526258</v>
      </c>
      <c r="P595" s="42">
        <f t="shared" si="113"/>
        <v>-818.47531829006675</v>
      </c>
      <c r="Q595" s="42"/>
      <c r="R595">
        <v>0.20294808801538133</v>
      </c>
      <c r="S595">
        <v>0.58500930814539021</v>
      </c>
    </row>
    <row r="596" spans="1:19" x14ac:dyDescent="0.25">
      <c r="A596" s="40">
        <f t="shared" si="114"/>
        <v>0</v>
      </c>
      <c r="B596" s="40">
        <f t="shared" si="115"/>
        <v>50</v>
      </c>
      <c r="C596" s="41">
        <f t="shared" si="108"/>
        <v>1.0313000000000001</v>
      </c>
      <c r="D596" s="41">
        <f t="shared" si="109"/>
        <v>0.88000000000000012</v>
      </c>
      <c r="E596" s="39">
        <f>IF(_xlfn.NORM.INV(R596,C596,'Regressão Grupo 2'!$B$7)&lt;=0,0,IF(_xlfn.NORM.INV(R596,C596,'Regressão Grupo 2'!$B$7)&gt;100%,100%,_xlfn.NORM.INV(R596,C596,'Regressão Grupo 2'!$B$7)))</f>
        <v>0.86667720102578805</v>
      </c>
      <c r="F596" s="39">
        <f>IF(_xlfn.NORM.INV(S596,D596,'Regressão Grupo 2'!$B$7)&lt;=0,0,IF(_xlfn.NORM.INV(S596,D596,'Regressão Grupo 2'!$B$7)&gt;100%,100%,_xlfn.NORM.INV(S596,D596,'Regressão Grupo 2'!$B$7)))</f>
        <v>0.87060492275123469</v>
      </c>
      <c r="G596" s="41">
        <v>2.0335737534219592E-2</v>
      </c>
      <c r="H596" s="41">
        <v>2.5604270589770297E-2</v>
      </c>
      <c r="I596" s="40">
        <f t="shared" si="110"/>
        <v>0</v>
      </c>
      <c r="J596" s="40">
        <f t="shared" si="111"/>
        <v>445.82408037817356</v>
      </c>
      <c r="K596" s="36">
        <v>0.46495677891874093</v>
      </c>
      <c r="L596" s="42">
        <f t="shared" si="116"/>
        <v>0</v>
      </c>
      <c r="M596" s="42">
        <f t="shared" si="116"/>
        <v>20000</v>
      </c>
      <c r="N596" s="42">
        <f t="shared" si="112"/>
        <v>9299.1355783748186</v>
      </c>
      <c r="O596" s="36">
        <v>9.366116669541908</v>
      </c>
      <c r="P596" s="42">
        <f t="shared" si="113"/>
        <v>8816.4280896206546</v>
      </c>
      <c r="Q596" s="42"/>
      <c r="R596">
        <v>0.11691640980254524</v>
      </c>
      <c r="S596">
        <v>0.47291482284005248</v>
      </c>
    </row>
    <row r="597" spans="1:19" x14ac:dyDescent="0.25">
      <c r="A597" s="40">
        <f t="shared" si="114"/>
        <v>0</v>
      </c>
      <c r="B597" s="40">
        <f t="shared" si="115"/>
        <v>50</v>
      </c>
      <c r="C597" s="41">
        <f t="shared" si="108"/>
        <v>1.0313000000000001</v>
      </c>
      <c r="D597" s="41">
        <f t="shared" si="109"/>
        <v>0.88000000000000012</v>
      </c>
      <c r="E597" s="39">
        <f>IF(_xlfn.NORM.INV(R597,C597,'Regressão Grupo 2'!$B$7)&lt;=0,0,IF(_xlfn.NORM.INV(R597,C597,'Regressão Grupo 2'!$B$7)&gt;100%,100%,_xlfn.NORM.INV(R597,C597,'Regressão Grupo 2'!$B$7)))</f>
        <v>0.84773467642544165</v>
      </c>
      <c r="F597" s="39">
        <f>IF(_xlfn.NORM.INV(S597,D597,'Regressão Grupo 2'!$B$7)&lt;=0,0,IF(_xlfn.NORM.INV(S597,D597,'Regressão Grupo 2'!$B$7)&gt;100%,100%,_xlfn.NORM.INV(S597,D597,'Regressão Grupo 2'!$B$7)))</f>
        <v>0.64581215917559376</v>
      </c>
      <c r="G597" s="41">
        <v>1.4602348147299717E-2</v>
      </c>
      <c r="H597" s="41">
        <v>6.1633347926628957E-3</v>
      </c>
      <c r="I597" s="40">
        <f t="shared" si="110"/>
        <v>0</v>
      </c>
      <c r="J597" s="40">
        <f t="shared" si="111"/>
        <v>79.607131003433707</v>
      </c>
      <c r="K597" s="36">
        <v>0.26477261857175682</v>
      </c>
      <c r="L597" s="42">
        <f t="shared" si="116"/>
        <v>0</v>
      </c>
      <c r="M597" s="42">
        <f t="shared" si="116"/>
        <v>20000</v>
      </c>
      <c r="N597" s="42">
        <f t="shared" si="112"/>
        <v>5295.4523714351362</v>
      </c>
      <c r="O597" s="36">
        <v>3.3650532221636249</v>
      </c>
      <c r="P597" s="42">
        <f t="shared" si="113"/>
        <v>-1582.9780539537574</v>
      </c>
      <c r="Q597" s="42"/>
      <c r="R597">
        <v>9.2165898617511524E-2</v>
      </c>
      <c r="S597">
        <v>4.5167394024475845E-2</v>
      </c>
    </row>
    <row r="598" spans="1:19" x14ac:dyDescent="0.25">
      <c r="A598" s="40">
        <f t="shared" si="114"/>
        <v>0</v>
      </c>
      <c r="B598" s="40">
        <f t="shared" si="115"/>
        <v>50</v>
      </c>
      <c r="C598" s="41">
        <f t="shared" si="108"/>
        <v>1.0313000000000001</v>
      </c>
      <c r="D598" s="41">
        <f t="shared" si="109"/>
        <v>0.88000000000000012</v>
      </c>
      <c r="E598" s="39">
        <f>IF(_xlfn.NORM.INV(R598,C598,'Regressão Grupo 2'!$B$7)&lt;=0,0,IF(_xlfn.NORM.INV(R598,C598,'Regressão Grupo 2'!$B$7)&gt;100%,100%,_xlfn.NORM.INV(R598,C598,'Regressão Grupo 2'!$B$7)))</f>
        <v>1</v>
      </c>
      <c r="F598" s="39">
        <f>IF(_xlfn.NORM.INV(S598,D598,'Regressão Grupo 2'!$B$7)&lt;=0,0,IF(_xlfn.NORM.INV(S598,D598,'Regressão Grupo 2'!$B$7)&gt;100%,100%,_xlfn.NORM.INV(S598,D598,'Regressão Grupo 2'!$B$7)))</f>
        <v>0.83270455799001786</v>
      </c>
      <c r="G598" s="41">
        <v>2.0616490411409335E-2</v>
      </c>
      <c r="H598" s="41">
        <v>2.566350167267184E-2</v>
      </c>
      <c r="I598" s="40">
        <f t="shared" si="110"/>
        <v>0</v>
      </c>
      <c r="J598" s="40">
        <f t="shared" si="111"/>
        <v>427.40229633636579</v>
      </c>
      <c r="K598" s="36">
        <v>0.40130984320903973</v>
      </c>
      <c r="L598" s="42">
        <f t="shared" si="116"/>
        <v>0</v>
      </c>
      <c r="M598" s="42">
        <f t="shared" si="116"/>
        <v>20000</v>
      </c>
      <c r="N598" s="42">
        <f t="shared" si="112"/>
        <v>8026.1968641807944</v>
      </c>
      <c r="O598" s="36">
        <v>2.606299341297877</v>
      </c>
      <c r="P598" s="42">
        <f t="shared" si="113"/>
        <v>12229.979629226822</v>
      </c>
      <c r="Q598" s="42"/>
      <c r="R598">
        <v>0.63618884853663749</v>
      </c>
      <c r="S598">
        <v>0.36616107669301429</v>
      </c>
    </row>
    <row r="599" spans="1:19" x14ac:dyDescent="0.25">
      <c r="A599" s="40">
        <f t="shared" si="114"/>
        <v>0</v>
      </c>
      <c r="B599" s="40">
        <f t="shared" si="115"/>
        <v>50</v>
      </c>
      <c r="C599" s="41">
        <f t="shared" si="108"/>
        <v>1.0313000000000001</v>
      </c>
      <c r="D599" s="41">
        <f t="shared" si="109"/>
        <v>0.88000000000000012</v>
      </c>
      <c r="E599" s="39">
        <f>IF(_xlfn.NORM.INV(R599,C599,'Regressão Grupo 2'!$B$7)&lt;=0,0,IF(_xlfn.NORM.INV(R599,C599,'Regressão Grupo 2'!$B$7)&gt;100%,100%,_xlfn.NORM.INV(R599,C599,'Regressão Grupo 2'!$B$7)))</f>
        <v>1</v>
      </c>
      <c r="F599" s="39">
        <f>IF(_xlfn.NORM.INV(S599,D599,'Regressão Grupo 2'!$B$7)&lt;=0,0,IF(_xlfn.NORM.INV(S599,D599,'Regressão Grupo 2'!$B$7)&gt;100%,100%,_xlfn.NORM.INV(S599,D599,'Regressão Grupo 2'!$B$7)))</f>
        <v>0.79275921582368025</v>
      </c>
      <c r="G599" s="41">
        <v>7.0624612452701207E-4</v>
      </c>
      <c r="H599" s="41">
        <v>8.2214760556316886E-3</v>
      </c>
      <c r="I599" s="40">
        <f t="shared" si="110"/>
        <v>0</v>
      </c>
      <c r="J599" s="40">
        <f t="shared" si="111"/>
        <v>130.35301821551482</v>
      </c>
      <c r="K599" s="36">
        <v>0.21051762601685031</v>
      </c>
      <c r="L599" s="42">
        <f t="shared" ref="L599:M614" si="117">L598</f>
        <v>0</v>
      </c>
      <c r="M599" s="42">
        <f t="shared" si="117"/>
        <v>20000</v>
      </c>
      <c r="N599" s="42">
        <f t="shared" si="112"/>
        <v>4210.3525203370064</v>
      </c>
      <c r="O599" s="36">
        <v>6.7649059272774625</v>
      </c>
      <c r="P599" s="42">
        <f t="shared" si="113"/>
        <v>1425.4724848740916</v>
      </c>
      <c r="Q599" s="42"/>
      <c r="R599">
        <v>0.60808130130924409</v>
      </c>
      <c r="S599">
        <v>0.2640461439863277</v>
      </c>
    </row>
    <row r="600" spans="1:19" x14ac:dyDescent="0.25">
      <c r="A600" s="40">
        <f t="shared" si="114"/>
        <v>0</v>
      </c>
      <c r="B600" s="40">
        <f t="shared" si="115"/>
        <v>50</v>
      </c>
      <c r="C600" s="41">
        <f t="shared" si="108"/>
        <v>1.0313000000000001</v>
      </c>
      <c r="D600" s="41">
        <f t="shared" si="109"/>
        <v>0.88000000000000012</v>
      </c>
      <c r="E600" s="39">
        <f>IF(_xlfn.NORM.INV(R600,C600,'Regressão Grupo 2'!$B$7)&lt;=0,0,IF(_xlfn.NORM.INV(R600,C600,'Regressão Grupo 2'!$B$7)&gt;100%,100%,_xlfn.NORM.INV(R600,C600,'Regressão Grupo 2'!$B$7)))</f>
        <v>1</v>
      </c>
      <c r="F600" s="39">
        <f>IF(_xlfn.NORM.INV(S600,D600,'Regressão Grupo 2'!$B$7)&lt;=0,0,IF(_xlfn.NORM.INV(S600,D600,'Regressão Grupo 2'!$B$7)&gt;100%,100%,_xlfn.NORM.INV(S600,D600,'Regressão Grupo 2'!$B$7)))</f>
        <v>0.94487707486964967</v>
      </c>
      <c r="G600" s="41">
        <v>2.1686799846105831E-2</v>
      </c>
      <c r="H600" s="41">
        <v>1.9053438565660122E-2</v>
      </c>
      <c r="I600" s="40">
        <f t="shared" si="110"/>
        <v>0</v>
      </c>
      <c r="J600" s="40">
        <f t="shared" si="111"/>
        <v>360.06314596259017</v>
      </c>
      <c r="K600" s="36">
        <v>0.28124715868597305</v>
      </c>
      <c r="L600" s="42">
        <f t="shared" si="117"/>
        <v>0</v>
      </c>
      <c r="M600" s="42">
        <f t="shared" si="117"/>
        <v>20000</v>
      </c>
      <c r="N600" s="42">
        <f t="shared" si="112"/>
        <v>5624.9431737194609</v>
      </c>
      <c r="O600" s="36">
        <v>4.079134272958175</v>
      </c>
      <c r="P600" s="42">
        <f t="shared" si="113"/>
        <v>10909.468205284906</v>
      </c>
      <c r="Q600" s="42"/>
      <c r="R600">
        <v>0.61906796472060299</v>
      </c>
      <c r="S600">
        <v>0.68053224280526137</v>
      </c>
    </row>
    <row r="601" spans="1:19" x14ac:dyDescent="0.25">
      <c r="A601" s="40">
        <f t="shared" si="114"/>
        <v>0</v>
      </c>
      <c r="B601" s="40">
        <f t="shared" si="115"/>
        <v>50</v>
      </c>
      <c r="C601" s="41">
        <f t="shared" si="108"/>
        <v>1.0313000000000001</v>
      </c>
      <c r="D601" s="41">
        <f t="shared" si="109"/>
        <v>0.88000000000000012</v>
      </c>
      <c r="E601" s="39">
        <f>IF(_xlfn.NORM.INV(R601,C601,'Regressão Grupo 2'!$B$7)&lt;=0,0,IF(_xlfn.NORM.INV(R601,C601,'Regressão Grupo 2'!$B$7)&gt;100%,100%,_xlfn.NORM.INV(R601,C601,'Regressão Grupo 2'!$B$7)))</f>
        <v>0.97088879635739078</v>
      </c>
      <c r="F601" s="39">
        <f>IF(_xlfn.NORM.INV(S601,D601,'Regressão Grupo 2'!$B$7)&lt;=0,0,IF(_xlfn.NORM.INV(S601,D601,'Regressão Grupo 2'!$B$7)&gt;100%,100%,_xlfn.NORM.INV(S601,D601,'Regressão Grupo 2'!$B$7)))</f>
        <v>0.96536431471079676</v>
      </c>
      <c r="G601" s="41">
        <v>1.4376067660944675E-2</v>
      </c>
      <c r="H601" s="41">
        <v>1.4455234682915362E-2</v>
      </c>
      <c r="I601" s="40">
        <f t="shared" si="110"/>
        <v>0</v>
      </c>
      <c r="J601" s="40">
        <f t="shared" si="111"/>
        <v>279.09135447312661</v>
      </c>
      <c r="K601" s="36">
        <v>0.43371107705018003</v>
      </c>
      <c r="L601" s="42">
        <f t="shared" si="117"/>
        <v>0</v>
      </c>
      <c r="M601" s="42">
        <f t="shared" si="117"/>
        <v>20000</v>
      </c>
      <c r="N601" s="42">
        <f t="shared" si="112"/>
        <v>8674.2215410036006</v>
      </c>
      <c r="O601" s="36">
        <v>3.874924753586563</v>
      </c>
      <c r="P601" s="42">
        <f t="shared" si="113"/>
        <v>4198.8881846928107</v>
      </c>
      <c r="Q601" s="42"/>
      <c r="R601">
        <v>0.33109530930509357</v>
      </c>
      <c r="S601">
        <v>0.73149815363017667</v>
      </c>
    </row>
    <row r="602" spans="1:19" x14ac:dyDescent="0.25">
      <c r="A602" s="40">
        <f t="shared" si="114"/>
        <v>0</v>
      </c>
      <c r="B602" s="40">
        <f t="shared" si="115"/>
        <v>50</v>
      </c>
      <c r="C602" s="41">
        <f t="shared" si="108"/>
        <v>1.0313000000000001</v>
      </c>
      <c r="D602" s="41">
        <f t="shared" si="109"/>
        <v>0.88000000000000012</v>
      </c>
      <c r="E602" s="39">
        <f>IF(_xlfn.NORM.INV(R602,C602,'Regressão Grupo 2'!$B$7)&lt;=0,0,IF(_xlfn.NORM.INV(R602,C602,'Regressão Grupo 2'!$B$7)&gt;100%,100%,_xlfn.NORM.INV(R602,C602,'Regressão Grupo 2'!$B$7)))</f>
        <v>0.99743803463253033</v>
      </c>
      <c r="F602" s="39">
        <f>IF(_xlfn.NORM.INV(S602,D602,'Regressão Grupo 2'!$B$7)&lt;=0,0,IF(_xlfn.NORM.INV(S602,D602,'Regressão Grupo 2'!$B$7)&gt;100%,100%,_xlfn.NORM.INV(S602,D602,'Regressão Grupo 2'!$B$7)))</f>
        <v>0.87355045462142022</v>
      </c>
      <c r="G602" s="41">
        <v>1.0463189313597581E-2</v>
      </c>
      <c r="H602" s="41">
        <v>1.7794829186533179E-2</v>
      </c>
      <c r="I602" s="40">
        <f t="shared" si="110"/>
        <v>0</v>
      </c>
      <c r="J602" s="40">
        <f t="shared" si="111"/>
        <v>310.89362251613153</v>
      </c>
      <c r="K602" s="36">
        <v>0.28182037319683412</v>
      </c>
      <c r="L602" s="42">
        <f t="shared" si="117"/>
        <v>0</v>
      </c>
      <c r="M602" s="42">
        <f t="shared" si="117"/>
        <v>20000</v>
      </c>
      <c r="N602" s="42">
        <f t="shared" si="112"/>
        <v>5636.4074639366827</v>
      </c>
      <c r="O602" s="36">
        <v>4.5816328286682237</v>
      </c>
      <c r="P602" s="42">
        <f t="shared" si="113"/>
        <v>8483.8732347263995</v>
      </c>
      <c r="Q602" s="42"/>
      <c r="R602">
        <v>0.40327158421582687</v>
      </c>
      <c r="S602">
        <v>0.48139896847437968</v>
      </c>
    </row>
    <row r="603" spans="1:19" x14ac:dyDescent="0.25">
      <c r="A603" s="40">
        <f t="shared" si="114"/>
        <v>0</v>
      </c>
      <c r="B603" s="40">
        <f t="shared" si="115"/>
        <v>50</v>
      </c>
      <c r="C603" s="41">
        <f t="shared" si="108"/>
        <v>1.0313000000000001</v>
      </c>
      <c r="D603" s="41">
        <f t="shared" si="109"/>
        <v>0.88000000000000012</v>
      </c>
      <c r="E603" s="39">
        <f>IF(_xlfn.NORM.INV(R603,C603,'Regressão Grupo 2'!$B$7)&lt;=0,0,IF(_xlfn.NORM.INV(R603,C603,'Regressão Grupo 2'!$B$7)&gt;100%,100%,_xlfn.NORM.INV(R603,C603,'Regressão Grupo 2'!$B$7)))</f>
        <v>0.97016646786291783</v>
      </c>
      <c r="F603" s="39">
        <f>IF(_xlfn.NORM.INV(S603,D603,'Regressão Grupo 2'!$B$7)&lt;=0,0,IF(_xlfn.NORM.INV(S603,D603,'Regressão Grupo 2'!$B$7)&gt;100%,100%,_xlfn.NORM.INV(S603,D603,'Regressão Grupo 2'!$B$7)))</f>
        <v>1</v>
      </c>
      <c r="G603" s="41">
        <v>2.2304152299157408E-2</v>
      </c>
      <c r="H603" s="41">
        <v>1.4336909539220899E-2</v>
      </c>
      <c r="I603" s="40">
        <f t="shared" si="110"/>
        <v>0</v>
      </c>
      <c r="J603" s="40">
        <f t="shared" si="111"/>
        <v>286.73819078441795</v>
      </c>
      <c r="K603" s="36">
        <v>0.42080680220944511</v>
      </c>
      <c r="L603" s="42">
        <f t="shared" si="117"/>
        <v>0</v>
      </c>
      <c r="M603" s="42">
        <f t="shared" si="117"/>
        <v>20000</v>
      </c>
      <c r="N603" s="42">
        <f t="shared" si="112"/>
        <v>8416.1360441889028</v>
      </c>
      <c r="O603" s="36">
        <v>6.4852993997249158</v>
      </c>
      <c r="P603" s="42">
        <f t="shared" si="113"/>
        <v>4061.1904784596009</v>
      </c>
      <c r="Q603" s="42"/>
      <c r="R603">
        <v>0.32920316171758174</v>
      </c>
      <c r="S603">
        <v>0.95083468123416848</v>
      </c>
    </row>
    <row r="604" spans="1:19" x14ac:dyDescent="0.25">
      <c r="A604" s="40">
        <f t="shared" si="114"/>
        <v>0</v>
      </c>
      <c r="B604" s="40">
        <f t="shared" si="115"/>
        <v>50</v>
      </c>
      <c r="C604" s="41">
        <f t="shared" si="108"/>
        <v>1.0313000000000001</v>
      </c>
      <c r="D604" s="41">
        <f t="shared" si="109"/>
        <v>0.88000000000000012</v>
      </c>
      <c r="E604" s="39">
        <f>IF(_xlfn.NORM.INV(R604,C604,'Regressão Grupo 2'!$B$7)&lt;=0,0,IF(_xlfn.NORM.INV(R604,C604,'Regressão Grupo 2'!$B$7)&gt;100%,100%,_xlfn.NORM.INV(R604,C604,'Regressão Grupo 2'!$B$7)))</f>
        <v>1</v>
      </c>
      <c r="F604" s="39">
        <f>IF(_xlfn.NORM.INV(S604,D604,'Regressão Grupo 2'!$B$7)&lt;=0,0,IF(_xlfn.NORM.INV(S604,D604,'Regressão Grupo 2'!$B$7)&gt;100%,100%,_xlfn.NORM.INV(S604,D604,'Regressão Grupo 2'!$B$7)))</f>
        <v>0.89210063578445431</v>
      </c>
      <c r="G604" s="41">
        <v>1.6443988447733211E-2</v>
      </c>
      <c r="H604" s="41">
        <v>1.4395311766624121E-2</v>
      </c>
      <c r="I604" s="40">
        <f t="shared" si="110"/>
        <v>0</v>
      </c>
      <c r="J604" s="40">
        <f t="shared" si="111"/>
        <v>256.84133558641628</v>
      </c>
      <c r="K604" s="36">
        <v>0.23729605722232663</v>
      </c>
      <c r="L604" s="42">
        <f t="shared" si="117"/>
        <v>0</v>
      </c>
      <c r="M604" s="42">
        <f t="shared" si="117"/>
        <v>20000</v>
      </c>
      <c r="N604" s="42">
        <f t="shared" si="112"/>
        <v>4745.9211444465327</v>
      </c>
      <c r="O604" s="36">
        <v>3.8857783941806274</v>
      </c>
      <c r="P604" s="42">
        <f t="shared" si="113"/>
        <v>7098.117122320089</v>
      </c>
      <c r="Q604" s="42"/>
      <c r="R604">
        <v>0.85604419080172123</v>
      </c>
      <c r="S604">
        <v>0.5348673970763268</v>
      </c>
    </row>
    <row r="605" spans="1:19" x14ac:dyDescent="0.25">
      <c r="A605" s="40">
        <f t="shared" si="114"/>
        <v>0</v>
      </c>
      <c r="B605" s="40">
        <f t="shared" si="115"/>
        <v>50</v>
      </c>
      <c r="C605" s="41">
        <f t="shared" si="108"/>
        <v>1.0313000000000001</v>
      </c>
      <c r="D605" s="41">
        <f t="shared" si="109"/>
        <v>0.88000000000000012</v>
      </c>
      <c r="E605" s="39">
        <f>IF(_xlfn.NORM.INV(R605,C605,'Regressão Grupo 2'!$B$7)&lt;=0,0,IF(_xlfn.NORM.INV(R605,C605,'Regressão Grupo 2'!$B$7)&gt;100%,100%,_xlfn.NORM.INV(R605,C605,'Regressão Grupo 2'!$B$7)))</f>
        <v>1</v>
      </c>
      <c r="F605" s="39">
        <f>IF(_xlfn.NORM.INV(S605,D605,'Regressão Grupo 2'!$B$7)&lt;=0,0,IF(_xlfn.NORM.INV(S605,D605,'Regressão Grupo 2'!$B$7)&gt;100%,100%,_xlfn.NORM.INV(S605,D605,'Regressão Grupo 2'!$B$7)))</f>
        <v>1</v>
      </c>
      <c r="G605" s="41">
        <v>1.9400836576534138E-2</v>
      </c>
      <c r="H605" s="41">
        <v>8.7381193702788205E-3</v>
      </c>
      <c r="I605" s="40">
        <f t="shared" si="110"/>
        <v>0</v>
      </c>
      <c r="J605" s="40">
        <f t="shared" si="111"/>
        <v>174.76238740557642</v>
      </c>
      <c r="K605" s="36">
        <v>0.17898383528075057</v>
      </c>
      <c r="L605" s="42">
        <f t="shared" si="117"/>
        <v>0</v>
      </c>
      <c r="M605" s="42">
        <f t="shared" si="117"/>
        <v>20000</v>
      </c>
      <c r="N605" s="42">
        <f t="shared" si="112"/>
        <v>3579.6767056150115</v>
      </c>
      <c r="O605" s="36">
        <v>5.9254367231727834</v>
      </c>
      <c r="P605" s="42">
        <f t="shared" si="113"/>
        <v>4122.8991965014575</v>
      </c>
      <c r="Q605" s="42"/>
      <c r="R605">
        <v>0.70122379222998754</v>
      </c>
      <c r="S605">
        <v>0.93487350077822196</v>
      </c>
    </row>
    <row r="606" spans="1:19" x14ac:dyDescent="0.25">
      <c r="A606" s="40">
        <f t="shared" si="114"/>
        <v>0</v>
      </c>
      <c r="B606" s="40">
        <f t="shared" si="115"/>
        <v>50</v>
      </c>
      <c r="C606" s="41">
        <f t="shared" si="108"/>
        <v>1.0313000000000001</v>
      </c>
      <c r="D606" s="41">
        <f t="shared" si="109"/>
        <v>0.88000000000000012</v>
      </c>
      <c r="E606" s="39">
        <f>IF(_xlfn.NORM.INV(R606,C606,'Regressão Grupo 2'!$B$7)&lt;=0,0,IF(_xlfn.NORM.INV(R606,C606,'Regressão Grupo 2'!$B$7)&gt;100%,100%,_xlfn.NORM.INV(R606,C606,'Regressão Grupo 2'!$B$7)))</f>
        <v>1</v>
      </c>
      <c r="F606" s="39">
        <f>IF(_xlfn.NORM.INV(S606,D606,'Regressão Grupo 2'!$B$7)&lt;=0,0,IF(_xlfn.NORM.INV(S606,D606,'Regressão Grupo 2'!$B$7)&gt;100%,100%,_xlfn.NORM.INV(S606,D606,'Regressão Grupo 2'!$B$7)))</f>
        <v>0.59368133309914251</v>
      </c>
      <c r="G606" s="41">
        <v>6.3490063918696339E-3</v>
      </c>
      <c r="H606" s="41">
        <v>2.4830145799851731E-3</v>
      </c>
      <c r="I606" s="40">
        <f t="shared" si="110"/>
        <v>0</v>
      </c>
      <c r="J606" s="40">
        <f t="shared" si="111"/>
        <v>29.482388119004099</v>
      </c>
      <c r="K606" s="36">
        <v>0.12744948515973784</v>
      </c>
      <c r="L606" s="42">
        <f t="shared" si="117"/>
        <v>0</v>
      </c>
      <c r="M606" s="42">
        <f t="shared" si="117"/>
        <v>20000</v>
      </c>
      <c r="N606" s="42">
        <f t="shared" si="112"/>
        <v>2548.9897031947567</v>
      </c>
      <c r="O606" s="36">
        <v>6.0927697207336839</v>
      </c>
      <c r="P606" s="42">
        <f t="shared" si="113"/>
        <v>-1254.4996988709383</v>
      </c>
      <c r="Q606" s="42"/>
      <c r="R606">
        <v>0.51182592242194891</v>
      </c>
      <c r="S606">
        <v>1.9196142460402233E-2</v>
      </c>
    </row>
    <row r="607" spans="1:19" x14ac:dyDescent="0.25">
      <c r="A607" s="40">
        <f t="shared" si="114"/>
        <v>0</v>
      </c>
      <c r="B607" s="40">
        <f t="shared" si="115"/>
        <v>50</v>
      </c>
      <c r="C607" s="41">
        <f t="shared" si="108"/>
        <v>1.0313000000000001</v>
      </c>
      <c r="D607" s="41">
        <f t="shared" si="109"/>
        <v>0.88000000000000012</v>
      </c>
      <c r="E607" s="39">
        <f>IF(_xlfn.NORM.INV(R607,C607,'Regressão Grupo 2'!$B$7)&lt;=0,0,IF(_xlfn.NORM.INV(R607,C607,'Regressão Grupo 2'!$B$7)&gt;100%,100%,_xlfn.NORM.INV(R607,C607,'Regressão Grupo 2'!$B$7)))</f>
        <v>0.82411247817699063</v>
      </c>
      <c r="F607" s="39">
        <f>IF(_xlfn.NORM.INV(S607,D607,'Regressão Grupo 2'!$B$7)&lt;=0,0,IF(_xlfn.NORM.INV(S607,D607,'Regressão Grupo 2'!$B$7)&gt;100%,100%,_xlfn.NORM.INV(S607,D607,'Regressão Grupo 2'!$B$7)))</f>
        <v>1</v>
      </c>
      <c r="G607" s="41">
        <v>1.050678687780453E-3</v>
      </c>
      <c r="H607" s="41">
        <v>2.4180268694306048E-2</v>
      </c>
      <c r="I607" s="40">
        <f t="shared" si="110"/>
        <v>0</v>
      </c>
      <c r="J607" s="40">
        <f t="shared" si="111"/>
        <v>483.60537388612096</v>
      </c>
      <c r="K607" s="36">
        <v>0.2615319689120108</v>
      </c>
      <c r="L607" s="42">
        <f t="shared" si="117"/>
        <v>0</v>
      </c>
      <c r="M607" s="42">
        <f t="shared" si="117"/>
        <v>20000</v>
      </c>
      <c r="N607" s="42">
        <f t="shared" si="112"/>
        <v>5230.6393782402165</v>
      </c>
      <c r="O607" s="36">
        <v>5.2124624059921798</v>
      </c>
      <c r="P607" s="42">
        <f t="shared" si="113"/>
        <v>16428.854485348635</v>
      </c>
      <c r="Q607" s="42"/>
      <c r="R607">
        <v>6.7018646809289831E-2</v>
      </c>
      <c r="S607">
        <v>0.8596453749198889</v>
      </c>
    </row>
    <row r="608" spans="1:19" x14ac:dyDescent="0.25">
      <c r="A608" s="40">
        <f t="shared" si="114"/>
        <v>0</v>
      </c>
      <c r="B608" s="40">
        <f t="shared" si="115"/>
        <v>50</v>
      </c>
      <c r="C608" s="41">
        <f t="shared" si="108"/>
        <v>1.0313000000000001</v>
      </c>
      <c r="D608" s="41">
        <f t="shared" si="109"/>
        <v>0.88000000000000012</v>
      </c>
      <c r="E608" s="39">
        <f>IF(_xlfn.NORM.INV(R608,C608,'Regressão Grupo 2'!$B$7)&lt;=0,0,IF(_xlfn.NORM.INV(R608,C608,'Regressão Grupo 2'!$B$7)&gt;100%,100%,_xlfn.NORM.INV(R608,C608,'Regressão Grupo 2'!$B$7)))</f>
        <v>0.93165635002503211</v>
      </c>
      <c r="F608" s="39">
        <f>IF(_xlfn.NORM.INV(S608,D608,'Regressão Grupo 2'!$B$7)&lt;=0,0,IF(_xlfn.NORM.INV(S608,D608,'Regressão Grupo 2'!$B$7)&gt;100%,100%,_xlfn.NORM.INV(S608,D608,'Regressão Grupo 2'!$B$7)))</f>
        <v>0.9371576502384471</v>
      </c>
      <c r="G608" s="41">
        <v>2.0819465513954097E-2</v>
      </c>
      <c r="H608" s="41">
        <v>1.4939794116842159E-2</v>
      </c>
      <c r="I608" s="40">
        <f t="shared" si="110"/>
        <v>0</v>
      </c>
      <c r="J608" s="40">
        <f t="shared" si="111"/>
        <v>280.0188469917195</v>
      </c>
      <c r="K608" s="36">
        <v>0.2871179120817956</v>
      </c>
      <c r="L608" s="42">
        <f t="shared" si="117"/>
        <v>0</v>
      </c>
      <c r="M608" s="42">
        <f t="shared" si="117"/>
        <v>20000</v>
      </c>
      <c r="N608" s="42">
        <f t="shared" si="112"/>
        <v>5742.3582416359122</v>
      </c>
      <c r="O608" s="36">
        <v>6.0636805364261086</v>
      </c>
      <c r="P608" s="42">
        <f t="shared" si="113"/>
        <v>6560.639275613893</v>
      </c>
      <c r="Q608" s="42"/>
      <c r="R608">
        <v>0.23557237464522232</v>
      </c>
      <c r="S608">
        <v>0.66032898953215124</v>
      </c>
    </row>
    <row r="609" spans="1:19" x14ac:dyDescent="0.25">
      <c r="A609" s="40">
        <f t="shared" si="114"/>
        <v>0</v>
      </c>
      <c r="B609" s="40">
        <f t="shared" si="115"/>
        <v>50</v>
      </c>
      <c r="C609" s="41">
        <f t="shared" si="108"/>
        <v>1.0313000000000001</v>
      </c>
      <c r="D609" s="41">
        <f t="shared" si="109"/>
        <v>0.88000000000000012</v>
      </c>
      <c r="E609" s="39">
        <f>IF(_xlfn.NORM.INV(R609,C609,'Regressão Grupo 2'!$B$7)&lt;=0,0,IF(_xlfn.NORM.INV(R609,C609,'Regressão Grupo 2'!$B$7)&gt;100%,100%,_xlfn.NORM.INV(R609,C609,'Regressão Grupo 2'!$B$7)))</f>
        <v>1</v>
      </c>
      <c r="F609" s="39">
        <f>IF(_xlfn.NORM.INV(S609,D609,'Regressão Grupo 2'!$B$7)&lt;=0,0,IF(_xlfn.NORM.INV(S609,D609,'Regressão Grupo 2'!$B$7)&gt;100%,100%,_xlfn.NORM.INV(S609,D609,'Regressão Grupo 2'!$B$7)))</f>
        <v>0.89138935697937727</v>
      </c>
      <c r="G609" s="41">
        <v>8.6333517190990295E-3</v>
      </c>
      <c r="H609" s="41">
        <v>6.2634989872509322E-3</v>
      </c>
      <c r="I609" s="40">
        <f t="shared" si="110"/>
        <v>0</v>
      </c>
      <c r="J609" s="40">
        <f t="shared" si="111"/>
        <v>111.66432669373179</v>
      </c>
      <c r="K609" s="36">
        <v>0.26828237662473964</v>
      </c>
      <c r="L609" s="42">
        <f t="shared" si="117"/>
        <v>0</v>
      </c>
      <c r="M609" s="42">
        <f t="shared" si="117"/>
        <v>20000</v>
      </c>
      <c r="N609" s="42">
        <f t="shared" si="112"/>
        <v>5365.6475324947924</v>
      </c>
      <c r="O609" s="36">
        <v>7.7894051727708717</v>
      </c>
      <c r="P609" s="42">
        <f t="shared" si="113"/>
        <v>-652.22988177033312</v>
      </c>
      <c r="Q609" s="42"/>
      <c r="R609">
        <v>0.78643147068697161</v>
      </c>
      <c r="S609">
        <v>0.53282265694143494</v>
      </c>
    </row>
    <row r="610" spans="1:19" x14ac:dyDescent="0.25">
      <c r="A610" s="40">
        <f t="shared" si="114"/>
        <v>0</v>
      </c>
      <c r="B610" s="40">
        <f t="shared" si="115"/>
        <v>50</v>
      </c>
      <c r="C610" s="41">
        <f t="shared" si="108"/>
        <v>1.0313000000000001</v>
      </c>
      <c r="D610" s="41">
        <f t="shared" si="109"/>
        <v>0.88000000000000012</v>
      </c>
      <c r="E610" s="39">
        <f>IF(_xlfn.NORM.INV(R610,C610,'Regressão Grupo 2'!$B$7)&lt;=0,0,IF(_xlfn.NORM.INV(R610,C610,'Regressão Grupo 2'!$B$7)&gt;100%,100%,_xlfn.NORM.INV(R610,C610,'Regressão Grupo 2'!$B$7)))</f>
        <v>1</v>
      </c>
      <c r="F610" s="39">
        <f>IF(_xlfn.NORM.INV(S610,D610,'Regressão Grupo 2'!$B$7)&lt;=0,0,IF(_xlfn.NORM.INV(S610,D610,'Regressão Grupo 2'!$B$7)&gt;100%,100%,_xlfn.NORM.INV(S610,D610,'Regressão Grupo 2'!$B$7)))</f>
        <v>0.76225621655676301</v>
      </c>
      <c r="G610" s="41">
        <v>1.7092765166036496E-2</v>
      </c>
      <c r="H610" s="41">
        <v>2.1485777104166937E-2</v>
      </c>
      <c r="I610" s="40">
        <f t="shared" si="110"/>
        <v>0</v>
      </c>
      <c r="J610" s="40">
        <f t="shared" si="111"/>
        <v>327.55334330408425</v>
      </c>
      <c r="K610" s="36">
        <v>0.22507114293222302</v>
      </c>
      <c r="L610" s="42">
        <f t="shared" si="117"/>
        <v>0</v>
      </c>
      <c r="M610" s="42">
        <f t="shared" si="117"/>
        <v>20000</v>
      </c>
      <c r="N610" s="42">
        <f t="shared" si="112"/>
        <v>4501.4228586444606</v>
      </c>
      <c r="O610" s="36">
        <v>3.1653126653546853</v>
      </c>
      <c r="P610" s="42">
        <f t="shared" si="113"/>
        <v>10839.435560420063</v>
      </c>
      <c r="Q610" s="42"/>
      <c r="R610">
        <v>0.4426099429303873</v>
      </c>
      <c r="S610">
        <v>0.19724112674336985</v>
      </c>
    </row>
    <row r="611" spans="1:19" x14ac:dyDescent="0.25">
      <c r="A611" s="40">
        <f t="shared" si="114"/>
        <v>0</v>
      </c>
      <c r="B611" s="40">
        <f t="shared" si="115"/>
        <v>50</v>
      </c>
      <c r="C611" s="41">
        <f t="shared" si="108"/>
        <v>1.0313000000000001</v>
      </c>
      <c r="D611" s="41">
        <f t="shared" si="109"/>
        <v>0.88000000000000012</v>
      </c>
      <c r="E611" s="39">
        <f>IF(_xlfn.NORM.INV(R611,C611,'Regressão Grupo 2'!$B$7)&lt;=0,0,IF(_xlfn.NORM.INV(R611,C611,'Regressão Grupo 2'!$B$7)&gt;100%,100%,_xlfn.NORM.INV(R611,C611,'Regressão Grupo 2'!$B$7)))</f>
        <v>0.90880482278427599</v>
      </c>
      <c r="F611" s="39">
        <f>IF(_xlfn.NORM.INV(S611,D611,'Regressão Grupo 2'!$B$7)&lt;=0,0,IF(_xlfn.NORM.INV(S611,D611,'Regressão Grupo 2'!$B$7)&gt;100%,100%,_xlfn.NORM.INV(S611,D611,'Regressão Grupo 2'!$B$7)))</f>
        <v>1</v>
      </c>
      <c r="G611" s="41">
        <v>7.0248816578627376E-3</v>
      </c>
      <c r="H611" s="41">
        <v>1.1749243164037134E-2</v>
      </c>
      <c r="I611" s="40">
        <f t="shared" si="110"/>
        <v>0</v>
      </c>
      <c r="J611" s="40">
        <f t="shared" si="111"/>
        <v>234.98486328074267</v>
      </c>
      <c r="K611" s="36">
        <v>0.44686548654805058</v>
      </c>
      <c r="L611" s="42">
        <f t="shared" si="117"/>
        <v>0</v>
      </c>
      <c r="M611" s="42">
        <f t="shared" si="117"/>
        <v>20000</v>
      </c>
      <c r="N611" s="42">
        <f t="shared" si="112"/>
        <v>8937.3097309610112</v>
      </c>
      <c r="O611" s="36">
        <v>9.0979682191200659</v>
      </c>
      <c r="P611" s="42">
        <f t="shared" si="113"/>
        <v>674.04861497365164</v>
      </c>
      <c r="Q611" s="42"/>
      <c r="R611">
        <v>0.18784142582476271</v>
      </c>
      <c r="S611">
        <v>0.83291116061891535</v>
      </c>
    </row>
    <row r="612" spans="1:19" x14ac:dyDescent="0.25">
      <c r="A612" s="40">
        <f t="shared" si="114"/>
        <v>0</v>
      </c>
      <c r="B612" s="40">
        <f t="shared" si="115"/>
        <v>50</v>
      </c>
      <c r="C612" s="41">
        <f t="shared" si="108"/>
        <v>1.0313000000000001</v>
      </c>
      <c r="D612" s="41">
        <f t="shared" si="109"/>
        <v>0.88000000000000012</v>
      </c>
      <c r="E612" s="39">
        <f>IF(_xlfn.NORM.INV(R612,C612,'Regressão Grupo 2'!$B$7)&lt;=0,0,IF(_xlfn.NORM.INV(R612,C612,'Regressão Grupo 2'!$B$7)&gt;100%,100%,_xlfn.NORM.INV(R612,C612,'Regressão Grupo 2'!$B$7)))</f>
        <v>0.99851610033126958</v>
      </c>
      <c r="F612" s="39">
        <f>IF(_xlfn.NORM.INV(S612,D612,'Regressão Grupo 2'!$B$7)&lt;=0,0,IF(_xlfn.NORM.INV(S612,D612,'Regressão Grupo 2'!$B$7)&gt;100%,100%,_xlfn.NORM.INV(S612,D612,'Regressão Grupo 2'!$B$7)))</f>
        <v>0.90926921090305379</v>
      </c>
      <c r="G612" s="41">
        <v>7.2362268108735056E-3</v>
      </c>
      <c r="H612" s="41">
        <v>6.8694222104839281E-3</v>
      </c>
      <c r="I612" s="40">
        <f t="shared" si="110"/>
        <v>0</v>
      </c>
      <c r="J612" s="40">
        <f t="shared" si="111"/>
        <v>124.92308225373266</v>
      </c>
      <c r="K612" s="36">
        <v>0.28042929742427797</v>
      </c>
      <c r="L612" s="42">
        <f t="shared" si="117"/>
        <v>0</v>
      </c>
      <c r="M612" s="42">
        <f t="shared" si="117"/>
        <v>20000</v>
      </c>
      <c r="N612" s="42">
        <f t="shared" si="112"/>
        <v>5608.5859484855591</v>
      </c>
      <c r="O612" s="36">
        <v>8.420705263033847</v>
      </c>
      <c r="P612" s="42">
        <f t="shared" si="113"/>
        <v>-414.37229200734328</v>
      </c>
      <c r="Q612" s="42"/>
      <c r="R612">
        <v>0.40629291665395062</v>
      </c>
      <c r="S612">
        <v>0.58381908627582624</v>
      </c>
    </row>
    <row r="613" spans="1:19" x14ac:dyDescent="0.25">
      <c r="A613" s="40">
        <f t="shared" si="114"/>
        <v>0</v>
      </c>
      <c r="B613" s="40">
        <f t="shared" si="115"/>
        <v>50</v>
      </c>
      <c r="C613" s="41">
        <f t="shared" si="108"/>
        <v>1.0313000000000001</v>
      </c>
      <c r="D613" s="41">
        <f t="shared" si="109"/>
        <v>0.88000000000000012</v>
      </c>
      <c r="E613" s="39">
        <f>IF(_xlfn.NORM.INV(R613,C613,'Regressão Grupo 2'!$B$7)&lt;=0,0,IF(_xlfn.NORM.INV(R613,C613,'Regressão Grupo 2'!$B$7)&gt;100%,100%,_xlfn.NORM.INV(R613,C613,'Regressão Grupo 2'!$B$7)))</f>
        <v>1</v>
      </c>
      <c r="F613" s="39">
        <f>IF(_xlfn.NORM.INV(S613,D613,'Regressão Grupo 2'!$B$7)&lt;=0,0,IF(_xlfn.NORM.INV(S613,D613,'Regressão Grupo 2'!$B$7)&gt;100%,100%,_xlfn.NORM.INV(S613,D613,'Regressão Grupo 2'!$B$7)))</f>
        <v>0.98447742163784202</v>
      </c>
      <c r="G613" s="41">
        <v>1.3177163145203062E-2</v>
      </c>
      <c r="H613" s="41">
        <v>1.3896329105498956E-2</v>
      </c>
      <c r="I613" s="40">
        <f t="shared" si="110"/>
        <v>0</v>
      </c>
      <c r="J613" s="40">
        <f t="shared" si="111"/>
        <v>273.61244496025023</v>
      </c>
      <c r="K613" s="36">
        <v>0.35627267435853627</v>
      </c>
      <c r="L613" s="42">
        <f t="shared" si="117"/>
        <v>0</v>
      </c>
      <c r="M613" s="42">
        <f t="shared" si="117"/>
        <v>20000</v>
      </c>
      <c r="N613" s="42">
        <f t="shared" si="112"/>
        <v>7125.4534871707256</v>
      </c>
      <c r="O613" s="36">
        <v>7.2792089277434027</v>
      </c>
      <c r="P613" s="42">
        <f t="shared" si="113"/>
        <v>4563.486608745432</v>
      </c>
      <c r="Q613" s="42"/>
      <c r="R613">
        <v>0.58803064058351395</v>
      </c>
      <c r="S613">
        <v>0.77504806665242465</v>
      </c>
    </row>
    <row r="614" spans="1:19" x14ac:dyDescent="0.25">
      <c r="A614" s="40">
        <f t="shared" si="114"/>
        <v>0</v>
      </c>
      <c r="B614" s="40">
        <f t="shared" si="115"/>
        <v>50</v>
      </c>
      <c r="C614" s="41">
        <f t="shared" si="108"/>
        <v>1.0313000000000001</v>
      </c>
      <c r="D614" s="41">
        <f t="shared" si="109"/>
        <v>0.88000000000000012</v>
      </c>
      <c r="E614" s="39">
        <f>IF(_xlfn.NORM.INV(R614,C614,'Regressão Grupo 2'!$B$7)&lt;=0,0,IF(_xlfn.NORM.INV(R614,C614,'Regressão Grupo 2'!$B$7)&gt;100%,100%,_xlfn.NORM.INV(R614,C614,'Regressão Grupo 2'!$B$7)))</f>
        <v>1</v>
      </c>
      <c r="F614" s="39">
        <f>IF(_xlfn.NORM.INV(S614,D614,'Regressão Grupo 2'!$B$7)&lt;=0,0,IF(_xlfn.NORM.INV(S614,D614,'Regressão Grupo 2'!$B$7)&gt;100%,100%,_xlfn.NORM.INV(S614,D614,'Regressão Grupo 2'!$B$7)))</f>
        <v>1</v>
      </c>
      <c r="G614" s="41">
        <v>1.7694970942352402E-2</v>
      </c>
      <c r="H614" s="41">
        <v>2.0360222505945082E-2</v>
      </c>
      <c r="I614" s="40">
        <f t="shared" si="110"/>
        <v>0</v>
      </c>
      <c r="J614" s="40">
        <f t="shared" si="111"/>
        <v>407.20445011890166</v>
      </c>
      <c r="K614" s="36">
        <v>0.31553646855382567</v>
      </c>
      <c r="L614" s="42">
        <f t="shared" si="117"/>
        <v>0</v>
      </c>
      <c r="M614" s="42">
        <f t="shared" si="117"/>
        <v>20000</v>
      </c>
      <c r="N614" s="42">
        <f t="shared" si="112"/>
        <v>6310.7293710765134</v>
      </c>
      <c r="O614" s="36">
        <v>4.9149031564286796</v>
      </c>
      <c r="P614" s="42">
        <f t="shared" si="113"/>
        <v>12048.122697667373</v>
      </c>
      <c r="Q614" s="42"/>
      <c r="R614">
        <v>0.68492690816980495</v>
      </c>
      <c r="S614">
        <v>0.83306375316629533</v>
      </c>
    </row>
    <row r="615" spans="1:19" x14ac:dyDescent="0.25">
      <c r="A615" s="40">
        <f t="shared" si="114"/>
        <v>0</v>
      </c>
      <c r="B615" s="40">
        <f t="shared" si="115"/>
        <v>50</v>
      </c>
      <c r="C615" s="41">
        <f t="shared" si="108"/>
        <v>1.0313000000000001</v>
      </c>
      <c r="D615" s="41">
        <f t="shared" si="109"/>
        <v>0.88000000000000012</v>
      </c>
      <c r="E615" s="39">
        <f>IF(_xlfn.NORM.INV(R615,C615,'Regressão Grupo 2'!$B$7)&lt;=0,0,IF(_xlfn.NORM.INV(R615,C615,'Regressão Grupo 2'!$B$7)&gt;100%,100%,_xlfn.NORM.INV(R615,C615,'Regressão Grupo 2'!$B$7)))</f>
        <v>0.99044880785094613</v>
      </c>
      <c r="F615" s="39">
        <f>IF(_xlfn.NORM.INV(S615,D615,'Regressão Grupo 2'!$B$7)&lt;=0,0,IF(_xlfn.NORM.INV(S615,D615,'Regressão Grupo 2'!$B$7)&gt;100%,100%,_xlfn.NORM.INV(S615,D615,'Regressão Grupo 2'!$B$7)))</f>
        <v>0.83064689664476632</v>
      </c>
      <c r="G615" s="41">
        <v>1.921284561640571E-2</v>
      </c>
      <c r="H615" s="41">
        <v>2.4094299341953472E-2</v>
      </c>
      <c r="I615" s="40">
        <f t="shared" si="110"/>
        <v>0</v>
      </c>
      <c r="J615" s="40">
        <f t="shared" si="111"/>
        <v>400.27709950447377</v>
      </c>
      <c r="K615" s="36">
        <v>0.27494440558058814</v>
      </c>
      <c r="L615" s="42">
        <f t="shared" ref="L615:M630" si="118">L614</f>
        <v>0</v>
      </c>
      <c r="M615" s="42">
        <f t="shared" si="118"/>
        <v>20000</v>
      </c>
      <c r="N615" s="42">
        <f t="shared" si="112"/>
        <v>5498.8881116117627</v>
      </c>
      <c r="O615" s="36">
        <v>8.7829034545714748</v>
      </c>
      <c r="P615" s="42">
        <f t="shared" si="113"/>
        <v>10999.371743588232</v>
      </c>
      <c r="Q615" s="42"/>
      <c r="R615">
        <v>0.38383129367961671</v>
      </c>
      <c r="S615">
        <v>0.36057618945890685</v>
      </c>
    </row>
    <row r="616" spans="1:19" x14ac:dyDescent="0.25">
      <c r="A616" s="40">
        <f t="shared" si="114"/>
        <v>0</v>
      </c>
      <c r="B616" s="40">
        <f t="shared" si="115"/>
        <v>50</v>
      </c>
      <c r="C616" s="41">
        <f t="shared" si="108"/>
        <v>1.0313000000000001</v>
      </c>
      <c r="D616" s="41">
        <f t="shared" si="109"/>
        <v>0.88000000000000012</v>
      </c>
      <c r="E616" s="39">
        <f>IF(_xlfn.NORM.INV(R616,C616,'Regressão Grupo 2'!$B$7)&lt;=0,0,IF(_xlfn.NORM.INV(R616,C616,'Regressão Grupo 2'!$B$7)&gt;100%,100%,_xlfn.NORM.INV(R616,C616,'Regressão Grupo 2'!$B$7)))</f>
        <v>0.9144354455031134</v>
      </c>
      <c r="F616" s="39">
        <f>IF(_xlfn.NORM.INV(S616,D616,'Regressão Grupo 2'!$B$7)&lt;=0,0,IF(_xlfn.NORM.INV(S616,D616,'Regressão Grupo 2'!$B$7)&gt;100%,100%,_xlfn.NORM.INV(S616,D616,'Regressão Grupo 2'!$B$7)))</f>
        <v>1</v>
      </c>
      <c r="G616" s="41">
        <v>1.9904928741442514E-2</v>
      </c>
      <c r="H616" s="41">
        <v>1.4798306823868838E-2</v>
      </c>
      <c r="I616" s="40">
        <f t="shared" si="110"/>
        <v>0</v>
      </c>
      <c r="J616" s="40">
        <f t="shared" si="111"/>
        <v>295.96613647737678</v>
      </c>
      <c r="K616" s="36">
        <v>0.37722259479347164</v>
      </c>
      <c r="L616" s="42">
        <f t="shared" si="118"/>
        <v>0</v>
      </c>
      <c r="M616" s="42">
        <f t="shared" si="118"/>
        <v>20000</v>
      </c>
      <c r="N616" s="42">
        <f t="shared" si="112"/>
        <v>7544.4518958694325</v>
      </c>
      <c r="O616" s="36">
        <v>5.8359997474624672</v>
      </c>
      <c r="P616" s="42">
        <f t="shared" si="113"/>
        <v>5526.5966302599945</v>
      </c>
      <c r="Q616" s="42"/>
      <c r="R616">
        <v>0.1990112002929777</v>
      </c>
      <c r="S616">
        <v>0.91045869319742423</v>
      </c>
    </row>
    <row r="617" spans="1:19" x14ac:dyDescent="0.25">
      <c r="A617" s="40">
        <f t="shared" si="114"/>
        <v>0</v>
      </c>
      <c r="B617" s="40">
        <f t="shared" si="115"/>
        <v>50</v>
      </c>
      <c r="C617" s="41">
        <f t="shared" si="108"/>
        <v>1.0313000000000001</v>
      </c>
      <c r="D617" s="41">
        <f t="shared" si="109"/>
        <v>0.88000000000000012</v>
      </c>
      <c r="E617" s="39">
        <f>IF(_xlfn.NORM.INV(R617,C617,'Regressão Grupo 2'!$B$7)&lt;=0,0,IF(_xlfn.NORM.INV(R617,C617,'Regressão Grupo 2'!$B$7)&gt;100%,100%,_xlfn.NORM.INV(R617,C617,'Regressão Grupo 2'!$B$7)))</f>
        <v>1</v>
      </c>
      <c r="F617" s="39">
        <f>IF(_xlfn.NORM.INV(S617,D617,'Regressão Grupo 2'!$B$7)&lt;=0,0,IF(_xlfn.NORM.INV(S617,D617,'Regressão Grupo 2'!$B$7)&gt;100%,100%,_xlfn.NORM.INV(S617,D617,'Regressão Grupo 2'!$B$7)))</f>
        <v>1</v>
      </c>
      <c r="G617" s="41">
        <v>1.2414529896046222E-2</v>
      </c>
      <c r="H617" s="41">
        <v>2.4315177814275106E-2</v>
      </c>
      <c r="I617" s="40">
        <f t="shared" si="110"/>
        <v>0</v>
      </c>
      <c r="J617" s="40">
        <f t="shared" si="111"/>
        <v>486.30355628550211</v>
      </c>
      <c r="K617" s="36">
        <v>0.29985135037880023</v>
      </c>
      <c r="L617" s="42">
        <f t="shared" si="118"/>
        <v>0</v>
      </c>
      <c r="M617" s="42">
        <f t="shared" si="118"/>
        <v>20000</v>
      </c>
      <c r="N617" s="42">
        <f t="shared" si="112"/>
        <v>5997.0270075760045</v>
      </c>
      <c r="O617" s="36">
        <v>4.3937993012174443</v>
      </c>
      <c r="P617" s="42">
        <f t="shared" si="113"/>
        <v>16181.430580912303</v>
      </c>
      <c r="Q617" s="42"/>
      <c r="R617">
        <v>0.99777214880825216</v>
      </c>
      <c r="S617">
        <v>0.86544389172032843</v>
      </c>
    </row>
    <row r="618" spans="1:19" x14ac:dyDescent="0.25">
      <c r="A618" s="40">
        <f t="shared" si="114"/>
        <v>0</v>
      </c>
      <c r="B618" s="40">
        <f t="shared" si="115"/>
        <v>50</v>
      </c>
      <c r="C618" s="41">
        <f t="shared" si="108"/>
        <v>1.0313000000000001</v>
      </c>
      <c r="D618" s="41">
        <f t="shared" si="109"/>
        <v>0.88000000000000012</v>
      </c>
      <c r="E618" s="39">
        <f>IF(_xlfn.NORM.INV(R618,C618,'Regressão Grupo 2'!$B$7)&lt;=0,0,IF(_xlfn.NORM.INV(R618,C618,'Regressão Grupo 2'!$B$7)&gt;100%,100%,_xlfn.NORM.INV(R618,C618,'Regressão Grupo 2'!$B$7)))</f>
        <v>1</v>
      </c>
      <c r="F618" s="39">
        <f>IF(_xlfn.NORM.INV(S618,D618,'Regressão Grupo 2'!$B$7)&lt;=0,0,IF(_xlfn.NORM.INV(S618,D618,'Regressão Grupo 2'!$B$7)&gt;100%,100%,_xlfn.NORM.INV(S618,D618,'Regressão Grupo 2'!$B$7)))</f>
        <v>0.90865290152818012</v>
      </c>
      <c r="G618" s="41">
        <v>1.3890978968501054E-2</v>
      </c>
      <c r="H618" s="41">
        <v>2.8554807100862809E-2</v>
      </c>
      <c r="I618" s="40">
        <f t="shared" si="110"/>
        <v>0</v>
      </c>
      <c r="J618" s="40">
        <f t="shared" si="111"/>
        <v>518.92816649552947</v>
      </c>
      <c r="K618" s="36">
        <v>0.38507160010795588</v>
      </c>
      <c r="L618" s="42">
        <f t="shared" si="118"/>
        <v>0</v>
      </c>
      <c r="M618" s="42">
        <f t="shared" si="118"/>
        <v>20000</v>
      </c>
      <c r="N618" s="42">
        <f t="shared" si="112"/>
        <v>7701.4320021591175</v>
      </c>
      <c r="O618" s="36">
        <v>7.6501678451908868</v>
      </c>
      <c r="P618" s="42">
        <f t="shared" si="113"/>
        <v>14275.088749329394</v>
      </c>
      <c r="Q618" s="42"/>
      <c r="R618">
        <v>0.99026459547715695</v>
      </c>
      <c r="S618">
        <v>0.58207953123569445</v>
      </c>
    </row>
    <row r="619" spans="1:19" x14ac:dyDescent="0.25">
      <c r="A619" s="40">
        <f t="shared" si="114"/>
        <v>0</v>
      </c>
      <c r="B619" s="40">
        <f t="shared" si="115"/>
        <v>50</v>
      </c>
      <c r="C619" s="41">
        <f t="shared" si="108"/>
        <v>1.0313000000000001</v>
      </c>
      <c r="D619" s="41">
        <f t="shared" si="109"/>
        <v>0.88000000000000012</v>
      </c>
      <c r="E619" s="39">
        <f>IF(_xlfn.NORM.INV(R619,C619,'Regressão Grupo 2'!$B$7)&lt;=0,0,IF(_xlfn.NORM.INV(R619,C619,'Regressão Grupo 2'!$B$7)&gt;100%,100%,_xlfn.NORM.INV(R619,C619,'Regressão Grupo 2'!$B$7)))</f>
        <v>1</v>
      </c>
      <c r="F619" s="39">
        <f>IF(_xlfn.NORM.INV(S619,D619,'Regressão Grupo 2'!$B$7)&lt;=0,0,IF(_xlfn.NORM.INV(S619,D619,'Regressão Grupo 2'!$B$7)&gt;100%,100%,_xlfn.NORM.INV(S619,D619,'Regressão Grupo 2'!$B$7)))</f>
        <v>0.96255337411723463</v>
      </c>
      <c r="G619" s="41">
        <v>1.8771737849225239E-2</v>
      </c>
      <c r="H619" s="41">
        <v>2.2034430296989926E-2</v>
      </c>
      <c r="I619" s="40">
        <f t="shared" si="110"/>
        <v>0</v>
      </c>
      <c r="J619" s="40">
        <f t="shared" si="111"/>
        <v>424.18630458237351</v>
      </c>
      <c r="K619" s="36">
        <v>0.1840155681079958</v>
      </c>
      <c r="L619" s="42">
        <f t="shared" si="118"/>
        <v>0</v>
      </c>
      <c r="M619" s="42">
        <f t="shared" si="118"/>
        <v>20000</v>
      </c>
      <c r="N619" s="42">
        <f t="shared" si="112"/>
        <v>3680.3113621599159</v>
      </c>
      <c r="O619" s="36">
        <v>9.5763934272486964</v>
      </c>
      <c r="P619" s="42">
        <f t="shared" si="113"/>
        <v>13466.828927827202</v>
      </c>
      <c r="Q619" s="42"/>
      <c r="R619">
        <v>0.95809808648945582</v>
      </c>
      <c r="S619">
        <v>0.72475356303598137</v>
      </c>
    </row>
    <row r="620" spans="1:19" x14ac:dyDescent="0.25">
      <c r="A620" s="40">
        <f t="shared" si="114"/>
        <v>0</v>
      </c>
      <c r="B620" s="40">
        <f t="shared" si="115"/>
        <v>50</v>
      </c>
      <c r="C620" s="41">
        <f t="shared" si="108"/>
        <v>1.0313000000000001</v>
      </c>
      <c r="D620" s="41">
        <f t="shared" si="109"/>
        <v>0.88000000000000012</v>
      </c>
      <c r="E620" s="39">
        <f>IF(_xlfn.NORM.INV(R620,C620,'Regressão Grupo 2'!$B$7)&lt;=0,0,IF(_xlfn.NORM.INV(R620,C620,'Regressão Grupo 2'!$B$7)&gt;100%,100%,_xlfn.NORM.INV(R620,C620,'Regressão Grupo 2'!$B$7)))</f>
        <v>0.91155262013503235</v>
      </c>
      <c r="F620" s="39">
        <f>IF(_xlfn.NORM.INV(S620,D620,'Regressão Grupo 2'!$B$7)&lt;=0,0,IF(_xlfn.NORM.INV(S620,D620,'Regressão Grupo 2'!$B$7)&gt;100%,100%,_xlfn.NORM.INV(S620,D620,'Regressão Grupo 2'!$B$7)))</f>
        <v>0.92382215065170292</v>
      </c>
      <c r="G620" s="41">
        <v>1.6491287011699423E-2</v>
      </c>
      <c r="H620" s="41">
        <v>1.8360789467723938E-2</v>
      </c>
      <c r="I620" s="40">
        <f t="shared" si="110"/>
        <v>0</v>
      </c>
      <c r="J620" s="40">
        <f t="shared" si="111"/>
        <v>339.2420802747173</v>
      </c>
      <c r="K620" s="36">
        <v>0.26042833987613473</v>
      </c>
      <c r="L620" s="42">
        <f t="shared" si="118"/>
        <v>0</v>
      </c>
      <c r="M620" s="42">
        <f t="shared" si="118"/>
        <v>20000</v>
      </c>
      <c r="N620" s="42">
        <f t="shared" si="112"/>
        <v>5208.5667975226943</v>
      </c>
      <c r="O620" s="36">
        <v>5.2349170846607338</v>
      </c>
      <c r="P620" s="42">
        <f t="shared" si="113"/>
        <v>9977.6330543472068</v>
      </c>
      <c r="Q620" s="42"/>
      <c r="R620">
        <v>0.19324320200201422</v>
      </c>
      <c r="S620">
        <v>0.62434766685995058</v>
      </c>
    </row>
    <row r="621" spans="1:19" x14ac:dyDescent="0.25">
      <c r="A621" s="40">
        <f t="shared" si="114"/>
        <v>0</v>
      </c>
      <c r="B621" s="40">
        <f t="shared" si="115"/>
        <v>50</v>
      </c>
      <c r="C621" s="41">
        <f t="shared" si="108"/>
        <v>1.0313000000000001</v>
      </c>
      <c r="D621" s="41">
        <f t="shared" si="109"/>
        <v>0.88000000000000012</v>
      </c>
      <c r="E621" s="39">
        <f>IF(_xlfn.NORM.INV(R621,C621,'Regressão Grupo 2'!$B$7)&lt;=0,0,IF(_xlfn.NORM.INV(R621,C621,'Regressão Grupo 2'!$B$7)&gt;100%,100%,_xlfn.NORM.INV(R621,C621,'Regressão Grupo 2'!$B$7)))</f>
        <v>1</v>
      </c>
      <c r="F621" s="39">
        <f>IF(_xlfn.NORM.INV(S621,D621,'Regressão Grupo 2'!$B$7)&lt;=0,0,IF(_xlfn.NORM.INV(S621,D621,'Regressão Grupo 2'!$B$7)&gt;100%,100%,_xlfn.NORM.INV(S621,D621,'Regressão Grupo 2'!$B$7)))</f>
        <v>0.94050431432184944</v>
      </c>
      <c r="G621" s="41">
        <v>1.874655501189066E-2</v>
      </c>
      <c r="H621" s="41">
        <v>3.7912059895331487E-3</v>
      </c>
      <c r="I621" s="40">
        <f t="shared" si="110"/>
        <v>0</v>
      </c>
      <c r="J621" s="40">
        <f t="shared" si="111"/>
        <v>71.312911792775253</v>
      </c>
      <c r="K621" s="36">
        <v>0.27996991064986071</v>
      </c>
      <c r="L621" s="42">
        <f t="shared" si="118"/>
        <v>0</v>
      </c>
      <c r="M621" s="42">
        <f t="shared" si="118"/>
        <v>20000</v>
      </c>
      <c r="N621" s="42">
        <f t="shared" si="112"/>
        <v>5599.3982129972146</v>
      </c>
      <c r="O621" s="36">
        <v>3.9224249355359855</v>
      </c>
      <c r="P621" s="42">
        <f t="shared" si="113"/>
        <v>-2313.4721668001121</v>
      </c>
      <c r="Q621" s="42"/>
      <c r="R621">
        <v>0.89516891994994963</v>
      </c>
      <c r="S621">
        <v>0.6691488387707144</v>
      </c>
    </row>
    <row r="622" spans="1:19" x14ac:dyDescent="0.25">
      <c r="A622" s="40">
        <f t="shared" si="114"/>
        <v>0</v>
      </c>
      <c r="B622" s="40">
        <f t="shared" si="115"/>
        <v>50</v>
      </c>
      <c r="C622" s="41">
        <f t="shared" si="108"/>
        <v>1.0313000000000001</v>
      </c>
      <c r="D622" s="41">
        <f t="shared" si="109"/>
        <v>0.88000000000000012</v>
      </c>
      <c r="E622" s="39">
        <f>IF(_xlfn.NORM.INV(R622,C622,'Regressão Grupo 2'!$B$7)&lt;=0,0,IF(_xlfn.NORM.INV(R622,C622,'Regressão Grupo 2'!$B$7)&gt;100%,100%,_xlfn.NORM.INV(R622,C622,'Regressão Grupo 2'!$B$7)))</f>
        <v>0.93866121649622836</v>
      </c>
      <c r="F622" s="39">
        <f>IF(_xlfn.NORM.INV(S622,D622,'Regressão Grupo 2'!$B$7)&lt;=0,0,IF(_xlfn.NORM.INV(S622,D622,'Regressão Grupo 2'!$B$7)&gt;100%,100%,_xlfn.NORM.INV(S622,D622,'Regressão Grupo 2'!$B$7)))</f>
        <v>0.80791159139782198</v>
      </c>
      <c r="G622" s="41">
        <v>2.3127483469683564E-2</v>
      </c>
      <c r="H622" s="41">
        <v>1.9711699372398798E-2</v>
      </c>
      <c r="I622" s="40">
        <f t="shared" si="110"/>
        <v>0</v>
      </c>
      <c r="J622" s="40">
        <f t="shared" si="111"/>
        <v>318.50620818220318</v>
      </c>
      <c r="K622" s="36">
        <v>0.33554312014845544</v>
      </c>
      <c r="L622" s="42">
        <f t="shared" si="118"/>
        <v>0</v>
      </c>
      <c r="M622" s="42">
        <f t="shared" si="118"/>
        <v>20000</v>
      </c>
      <c r="N622" s="42">
        <f t="shared" si="112"/>
        <v>6710.8624029691091</v>
      </c>
      <c r="O622" s="36">
        <v>7.0847492765272992</v>
      </c>
      <c r="P622" s="42">
        <f t="shared" si="113"/>
        <v>6957.911378152734</v>
      </c>
      <c r="Q622" s="42"/>
      <c r="R622">
        <v>0.25144199957274088</v>
      </c>
      <c r="S622">
        <v>0.30106509598071229</v>
      </c>
    </row>
    <row r="623" spans="1:19" x14ac:dyDescent="0.25">
      <c r="A623" s="40">
        <f t="shared" si="114"/>
        <v>0</v>
      </c>
      <c r="B623" s="40">
        <f t="shared" si="115"/>
        <v>50</v>
      </c>
      <c r="C623" s="41">
        <f t="shared" si="108"/>
        <v>1.0313000000000001</v>
      </c>
      <c r="D623" s="41">
        <f t="shared" si="109"/>
        <v>0.88000000000000012</v>
      </c>
      <c r="E623" s="39">
        <f>IF(_xlfn.NORM.INV(R623,C623,'Regressão Grupo 2'!$B$7)&lt;=0,0,IF(_xlfn.NORM.INV(R623,C623,'Regressão Grupo 2'!$B$7)&gt;100%,100%,_xlfn.NORM.INV(R623,C623,'Regressão Grupo 2'!$B$7)))</f>
        <v>1</v>
      </c>
      <c r="F623" s="39">
        <f>IF(_xlfn.NORM.INV(S623,D623,'Regressão Grupo 2'!$B$7)&lt;=0,0,IF(_xlfn.NORM.INV(S623,D623,'Regressão Grupo 2'!$B$7)&gt;100%,100%,_xlfn.NORM.INV(S623,D623,'Regressão Grupo 2'!$B$7)))</f>
        <v>0.79492985661795046</v>
      </c>
      <c r="G623" s="41">
        <v>2.4687625101103883E-2</v>
      </c>
      <c r="H623" s="41">
        <v>2.7752789318982497E-2</v>
      </c>
      <c r="I623" s="40">
        <f t="shared" si="110"/>
        <v>0</v>
      </c>
      <c r="J623" s="40">
        <f t="shared" si="111"/>
        <v>441.23041668173886</v>
      </c>
      <c r="K623" s="36">
        <v>0.36420804503819593</v>
      </c>
      <c r="L623" s="42">
        <f t="shared" si="118"/>
        <v>0</v>
      </c>
      <c r="M623" s="42">
        <f t="shared" si="118"/>
        <v>20000</v>
      </c>
      <c r="N623" s="42">
        <f t="shared" si="112"/>
        <v>7284.1609007639181</v>
      </c>
      <c r="O623" s="36">
        <v>7.3084062896371238</v>
      </c>
      <c r="P623" s="42">
        <f t="shared" si="113"/>
        <v>11552.668780866998</v>
      </c>
      <c r="Q623" s="42"/>
      <c r="R623">
        <v>0.73482467116306038</v>
      </c>
      <c r="S623">
        <v>0.26920377208777124</v>
      </c>
    </row>
    <row r="624" spans="1:19" x14ac:dyDescent="0.25">
      <c r="A624" s="40">
        <f t="shared" si="114"/>
        <v>0</v>
      </c>
      <c r="B624" s="40">
        <f t="shared" si="115"/>
        <v>50</v>
      </c>
      <c r="C624" s="41">
        <f t="shared" si="108"/>
        <v>1.0313000000000001</v>
      </c>
      <c r="D624" s="41">
        <f t="shared" si="109"/>
        <v>0.88000000000000012</v>
      </c>
      <c r="E624" s="39">
        <f>IF(_xlfn.NORM.INV(R624,C624,'Regressão Grupo 2'!$B$7)&lt;=0,0,IF(_xlfn.NORM.INV(R624,C624,'Regressão Grupo 2'!$B$7)&gt;100%,100%,_xlfn.NORM.INV(R624,C624,'Regressão Grupo 2'!$B$7)))</f>
        <v>1</v>
      </c>
      <c r="F624" s="39">
        <f>IF(_xlfn.NORM.INV(S624,D624,'Regressão Grupo 2'!$B$7)&lt;=0,0,IF(_xlfn.NORM.INV(S624,D624,'Regressão Grupo 2'!$B$7)&gt;100%,100%,_xlfn.NORM.INV(S624,D624,'Regressão Grupo 2'!$B$7)))</f>
        <v>0.88502029877809585</v>
      </c>
      <c r="G624" s="41">
        <v>2.4729396309910945E-2</v>
      </c>
      <c r="H624" s="41">
        <v>1.5932388607984328E-2</v>
      </c>
      <c r="I624" s="40">
        <f t="shared" si="110"/>
        <v>0</v>
      </c>
      <c r="J624" s="40">
        <f t="shared" si="111"/>
        <v>282.0097465217404</v>
      </c>
      <c r="K624" s="36">
        <v>0.34584946244216297</v>
      </c>
      <c r="L624" s="42">
        <f t="shared" si="118"/>
        <v>0</v>
      </c>
      <c r="M624" s="42">
        <f t="shared" si="118"/>
        <v>20000</v>
      </c>
      <c r="N624" s="42">
        <f t="shared" si="112"/>
        <v>6916.9892488432597</v>
      </c>
      <c r="O624" s="36">
        <v>5.6610662179442297</v>
      </c>
      <c r="P624" s="42">
        <f t="shared" si="113"/>
        <v>5587.0222280785201</v>
      </c>
      <c r="Q624" s="42"/>
      <c r="R624">
        <v>0.90856654560991246</v>
      </c>
      <c r="S624">
        <v>0.5144810327463607</v>
      </c>
    </row>
    <row r="625" spans="1:19" x14ac:dyDescent="0.25">
      <c r="A625" s="40">
        <f t="shared" si="114"/>
        <v>0</v>
      </c>
      <c r="B625" s="40">
        <f t="shared" si="115"/>
        <v>50</v>
      </c>
      <c r="C625" s="41">
        <f t="shared" si="108"/>
        <v>1.0313000000000001</v>
      </c>
      <c r="D625" s="41">
        <f t="shared" si="109"/>
        <v>0.88000000000000012</v>
      </c>
      <c r="E625" s="39">
        <f>IF(_xlfn.NORM.INV(R625,C625,'Regressão Grupo 2'!$B$7)&lt;=0,0,IF(_xlfn.NORM.INV(R625,C625,'Regressão Grupo 2'!$B$7)&gt;100%,100%,_xlfn.NORM.INV(R625,C625,'Regressão Grupo 2'!$B$7)))</f>
        <v>1</v>
      </c>
      <c r="F625" s="39">
        <f>IF(_xlfn.NORM.INV(S625,D625,'Regressão Grupo 2'!$B$7)&lt;=0,0,IF(_xlfn.NORM.INV(S625,D625,'Regressão Grupo 2'!$B$7)&gt;100%,100%,_xlfn.NORM.INV(S625,D625,'Regressão Grupo 2'!$B$7)))</f>
        <v>0.89550254012626063</v>
      </c>
      <c r="G625" s="41">
        <v>1.5375726915248666E-2</v>
      </c>
      <c r="H625" s="41">
        <v>1.5134442558192926E-2</v>
      </c>
      <c r="I625" s="40">
        <f t="shared" si="110"/>
        <v>0</v>
      </c>
      <c r="J625" s="40">
        <f t="shared" si="111"/>
        <v>271.05863508513494</v>
      </c>
      <c r="K625" s="36">
        <v>0.27083349770638848</v>
      </c>
      <c r="L625" s="42">
        <f t="shared" si="118"/>
        <v>0</v>
      </c>
      <c r="M625" s="42">
        <f t="shared" si="118"/>
        <v>20000</v>
      </c>
      <c r="N625" s="42">
        <f t="shared" si="112"/>
        <v>5416.6699541277694</v>
      </c>
      <c r="O625" s="36">
        <v>6.3155969932329645</v>
      </c>
      <c r="P625" s="42">
        <f t="shared" si="113"/>
        <v>6424.364699395469</v>
      </c>
      <c r="Q625" s="42"/>
      <c r="R625">
        <v>0.87041840876491594</v>
      </c>
      <c r="S625">
        <v>0.54463332010864585</v>
      </c>
    </row>
    <row r="626" spans="1:19" x14ac:dyDescent="0.25">
      <c r="A626" s="40">
        <f t="shared" si="114"/>
        <v>0</v>
      </c>
      <c r="B626" s="40">
        <f t="shared" si="115"/>
        <v>50</v>
      </c>
      <c r="C626" s="41">
        <f t="shared" si="108"/>
        <v>1.0313000000000001</v>
      </c>
      <c r="D626" s="41">
        <f t="shared" si="109"/>
        <v>0.88000000000000012</v>
      </c>
      <c r="E626" s="39">
        <f>IF(_xlfn.NORM.INV(R626,C626,'Regressão Grupo 2'!$B$7)&lt;=0,0,IF(_xlfn.NORM.INV(R626,C626,'Regressão Grupo 2'!$B$7)&gt;100%,100%,_xlfn.NORM.INV(R626,C626,'Regressão Grupo 2'!$B$7)))</f>
        <v>0.68716140127653702</v>
      </c>
      <c r="F626" s="39">
        <f>IF(_xlfn.NORM.INV(S626,D626,'Regressão Grupo 2'!$B$7)&lt;=0,0,IF(_xlfn.NORM.INV(S626,D626,'Regressão Grupo 2'!$B$7)&gt;100%,100%,_xlfn.NORM.INV(S626,D626,'Regressão Grupo 2'!$B$7)))</f>
        <v>0.89262102647819197</v>
      </c>
      <c r="G626" s="41">
        <v>2.0485637804962278E-2</v>
      </c>
      <c r="H626" s="41">
        <v>1.8941128298214222E-2</v>
      </c>
      <c r="I626" s="40">
        <f t="shared" si="110"/>
        <v>0</v>
      </c>
      <c r="J626" s="40">
        <f t="shared" si="111"/>
        <v>338.14498768414222</v>
      </c>
      <c r="K626" s="36">
        <v>0.2983948068423643</v>
      </c>
      <c r="L626" s="42">
        <f t="shared" si="118"/>
        <v>0</v>
      </c>
      <c r="M626" s="42">
        <f t="shared" si="118"/>
        <v>20000</v>
      </c>
      <c r="N626" s="42">
        <f t="shared" si="112"/>
        <v>5967.8961368472865</v>
      </c>
      <c r="O626" s="36">
        <v>6.7952931484297743</v>
      </c>
      <c r="P626" s="42">
        <f t="shared" si="113"/>
        <v>8641.5589293739049</v>
      </c>
      <c r="Q626" s="42"/>
      <c r="R626">
        <v>6.4088869899594104E-3</v>
      </c>
      <c r="S626">
        <v>0.53636280404065062</v>
      </c>
    </row>
    <row r="627" spans="1:19" x14ac:dyDescent="0.25">
      <c r="A627" s="40">
        <f t="shared" si="114"/>
        <v>0</v>
      </c>
      <c r="B627" s="40">
        <f t="shared" si="115"/>
        <v>50</v>
      </c>
      <c r="C627" s="41">
        <f t="shared" si="108"/>
        <v>1.0313000000000001</v>
      </c>
      <c r="D627" s="41">
        <f t="shared" si="109"/>
        <v>0.88000000000000012</v>
      </c>
      <c r="E627" s="39">
        <f>IF(_xlfn.NORM.INV(R627,C627,'Regressão Grupo 2'!$B$7)&lt;=0,0,IF(_xlfn.NORM.INV(R627,C627,'Regressão Grupo 2'!$B$7)&gt;100%,100%,_xlfn.NORM.INV(R627,C627,'Regressão Grupo 2'!$B$7)))</f>
        <v>1</v>
      </c>
      <c r="F627" s="39">
        <f>IF(_xlfn.NORM.INV(S627,D627,'Regressão Grupo 2'!$B$7)&lt;=0,0,IF(_xlfn.NORM.INV(S627,D627,'Regressão Grupo 2'!$B$7)&gt;100%,100%,_xlfn.NORM.INV(S627,D627,'Regressão Grupo 2'!$B$7)))</f>
        <v>0.99336419183233016</v>
      </c>
      <c r="G627" s="41">
        <v>1.3808045113332921E-2</v>
      </c>
      <c r="H627" s="41">
        <v>1.1628978971203328E-2</v>
      </c>
      <c r="I627" s="40">
        <f t="shared" si="110"/>
        <v>0</v>
      </c>
      <c r="J627" s="40">
        <f t="shared" si="111"/>
        <v>231.0362259512911</v>
      </c>
      <c r="K627" s="36">
        <v>0.13415470627265427</v>
      </c>
      <c r="L627" s="42">
        <f t="shared" si="118"/>
        <v>0</v>
      </c>
      <c r="M627" s="42">
        <f t="shared" si="118"/>
        <v>20000</v>
      </c>
      <c r="N627" s="42">
        <f t="shared" si="112"/>
        <v>2683.0941254530853</v>
      </c>
      <c r="O627" s="36">
        <v>3.2605252836522047</v>
      </c>
      <c r="P627" s="42">
        <f t="shared" si="113"/>
        <v>8115.4177159577002</v>
      </c>
      <c r="Q627" s="42"/>
      <c r="R627">
        <v>0.59456160161137728</v>
      </c>
      <c r="S627">
        <v>0.79384746848963894</v>
      </c>
    </row>
    <row r="628" spans="1:19" x14ac:dyDescent="0.25">
      <c r="A628" s="40">
        <f t="shared" si="114"/>
        <v>0</v>
      </c>
      <c r="B628" s="40">
        <f t="shared" si="115"/>
        <v>50</v>
      </c>
      <c r="C628" s="41">
        <f t="shared" si="108"/>
        <v>1.0313000000000001</v>
      </c>
      <c r="D628" s="41">
        <f t="shared" si="109"/>
        <v>0.88000000000000012</v>
      </c>
      <c r="E628" s="39">
        <f>IF(_xlfn.NORM.INV(R628,C628,'Regressão Grupo 2'!$B$7)&lt;=0,0,IF(_xlfn.NORM.INV(R628,C628,'Regressão Grupo 2'!$B$7)&gt;100%,100%,_xlfn.NORM.INV(R628,C628,'Regressão Grupo 2'!$B$7)))</f>
        <v>1</v>
      </c>
      <c r="F628" s="39">
        <f>IF(_xlfn.NORM.INV(S628,D628,'Regressão Grupo 2'!$B$7)&lt;=0,0,IF(_xlfn.NORM.INV(S628,D628,'Regressão Grupo 2'!$B$7)&gt;100%,100%,_xlfn.NORM.INV(S628,D628,'Regressão Grupo 2'!$B$7)))</f>
        <v>0.96283165326228914</v>
      </c>
      <c r="G628" s="41">
        <v>9.517562293171215E-3</v>
      </c>
      <c r="H628" s="41">
        <v>2.4581693322916005E-2</v>
      </c>
      <c r="I628" s="40">
        <f t="shared" si="110"/>
        <v>0</v>
      </c>
      <c r="J628" s="40">
        <f t="shared" si="111"/>
        <v>473.36064844179583</v>
      </c>
      <c r="K628" s="36">
        <v>0.34479444536140524</v>
      </c>
      <c r="L628" s="42">
        <f t="shared" si="118"/>
        <v>0</v>
      </c>
      <c r="M628" s="42">
        <f t="shared" si="118"/>
        <v>20000</v>
      </c>
      <c r="N628" s="42">
        <f t="shared" si="112"/>
        <v>6895.8889072281045</v>
      </c>
      <c r="O628" s="36">
        <v>6.1972618521898717</v>
      </c>
      <c r="P628" s="42">
        <f t="shared" si="113"/>
        <v>13838.603625945485</v>
      </c>
      <c r="Q628" s="42"/>
      <c r="R628">
        <v>0.62099063081759087</v>
      </c>
      <c r="S628">
        <v>0.72542497024445329</v>
      </c>
    </row>
    <row r="629" spans="1:19" x14ac:dyDescent="0.25">
      <c r="A629" s="40">
        <f t="shared" si="114"/>
        <v>0</v>
      </c>
      <c r="B629" s="40">
        <f t="shared" si="115"/>
        <v>50</v>
      </c>
      <c r="C629" s="41">
        <f t="shared" si="108"/>
        <v>1.0313000000000001</v>
      </c>
      <c r="D629" s="41">
        <f t="shared" si="109"/>
        <v>0.88000000000000012</v>
      </c>
      <c r="E629" s="39">
        <f>IF(_xlfn.NORM.INV(R629,C629,'Regressão Grupo 2'!$B$7)&lt;=0,0,IF(_xlfn.NORM.INV(R629,C629,'Regressão Grupo 2'!$B$7)&gt;100%,100%,_xlfn.NORM.INV(R629,C629,'Regressão Grupo 2'!$B$7)))</f>
        <v>1</v>
      </c>
      <c r="F629" s="39">
        <f>IF(_xlfn.NORM.INV(S629,D629,'Regressão Grupo 2'!$B$7)&lt;=0,0,IF(_xlfn.NORM.INV(S629,D629,'Regressão Grupo 2'!$B$7)&gt;100%,100%,_xlfn.NORM.INV(S629,D629,'Regressão Grupo 2'!$B$7)))</f>
        <v>0.80774189033741295</v>
      </c>
      <c r="G629" s="41">
        <v>1.5581714947278499E-2</v>
      </c>
      <c r="H629" s="41">
        <v>1.5277872051564665E-2</v>
      </c>
      <c r="I629" s="40">
        <f t="shared" si="110"/>
        <v>0</v>
      </c>
      <c r="J629" s="40">
        <f t="shared" si="111"/>
        <v>246.81154502527943</v>
      </c>
      <c r="K629" s="36">
        <v>0.24928882810744035</v>
      </c>
      <c r="L629" s="42">
        <f t="shared" si="118"/>
        <v>0</v>
      </c>
      <c r="M629" s="42">
        <f t="shared" si="118"/>
        <v>20000</v>
      </c>
      <c r="N629" s="42">
        <f t="shared" si="112"/>
        <v>4985.776562148807</v>
      </c>
      <c r="O629" s="36">
        <v>6.7171728714055385</v>
      </c>
      <c r="P629" s="42">
        <f t="shared" si="113"/>
        <v>5696.9248745216701</v>
      </c>
      <c r="Q629" s="42"/>
      <c r="R629">
        <v>0.57188634907071134</v>
      </c>
      <c r="S629">
        <v>0.30063783684804835</v>
      </c>
    </row>
    <row r="630" spans="1:19" x14ac:dyDescent="0.25">
      <c r="A630" s="40">
        <f t="shared" si="114"/>
        <v>0</v>
      </c>
      <c r="B630" s="40">
        <f t="shared" si="115"/>
        <v>50</v>
      </c>
      <c r="C630" s="41">
        <f t="shared" si="108"/>
        <v>1.0313000000000001</v>
      </c>
      <c r="D630" s="41">
        <f t="shared" si="109"/>
        <v>0.88000000000000012</v>
      </c>
      <c r="E630" s="39">
        <f>IF(_xlfn.NORM.INV(R630,C630,'Regressão Grupo 2'!$B$7)&lt;=0,0,IF(_xlfn.NORM.INV(R630,C630,'Regressão Grupo 2'!$B$7)&gt;100%,100%,_xlfn.NORM.INV(R630,C630,'Regressão Grupo 2'!$B$7)))</f>
        <v>1</v>
      </c>
      <c r="F630" s="39">
        <f>IF(_xlfn.NORM.INV(S630,D630,'Regressão Grupo 2'!$B$7)&lt;=0,0,IF(_xlfn.NORM.INV(S630,D630,'Regressão Grupo 2'!$B$7)&gt;100%,100%,_xlfn.NORM.INV(S630,D630,'Regressão Grupo 2'!$B$7)))</f>
        <v>0.72887408723067515</v>
      </c>
      <c r="G630" s="41">
        <v>2.2538739356203364E-2</v>
      </c>
      <c r="H630" s="41">
        <v>1.98858532332278E-2</v>
      </c>
      <c r="I630" s="40">
        <f t="shared" si="110"/>
        <v>0</v>
      </c>
      <c r="J630" s="40">
        <f t="shared" si="111"/>
        <v>289.88566248344165</v>
      </c>
      <c r="K630" s="36">
        <v>0.34768949431236773</v>
      </c>
      <c r="L630" s="42">
        <f t="shared" si="118"/>
        <v>0</v>
      </c>
      <c r="M630" s="42">
        <f t="shared" si="118"/>
        <v>20000</v>
      </c>
      <c r="N630" s="42">
        <f t="shared" si="112"/>
        <v>6953.7898862473548</v>
      </c>
      <c r="O630" s="36">
        <v>3.333185070953939</v>
      </c>
      <c r="P630" s="42">
        <f t="shared" si="113"/>
        <v>6574.2506754513279</v>
      </c>
      <c r="Q630" s="42"/>
      <c r="R630">
        <v>0.5671864986114078</v>
      </c>
      <c r="S630">
        <v>0.13721121860408339</v>
      </c>
    </row>
    <row r="631" spans="1:19" x14ac:dyDescent="0.25">
      <c r="A631" s="40">
        <f t="shared" si="114"/>
        <v>0</v>
      </c>
      <c r="B631" s="40">
        <f t="shared" si="115"/>
        <v>50</v>
      </c>
      <c r="C631" s="41">
        <f t="shared" si="108"/>
        <v>1.0313000000000001</v>
      </c>
      <c r="D631" s="41">
        <f t="shared" si="109"/>
        <v>0.88000000000000012</v>
      </c>
      <c r="E631" s="39">
        <f>IF(_xlfn.NORM.INV(R631,C631,'Regressão Grupo 2'!$B$7)&lt;=0,0,IF(_xlfn.NORM.INV(R631,C631,'Regressão Grupo 2'!$B$7)&gt;100%,100%,_xlfn.NORM.INV(R631,C631,'Regressão Grupo 2'!$B$7)))</f>
        <v>1</v>
      </c>
      <c r="F631" s="39">
        <f>IF(_xlfn.NORM.INV(S631,D631,'Regressão Grupo 2'!$B$7)&lt;=0,0,IF(_xlfn.NORM.INV(S631,D631,'Regressão Grupo 2'!$B$7)&gt;100%,100%,_xlfn.NORM.INV(S631,D631,'Regressão Grupo 2'!$B$7)))</f>
        <v>0.68018434817255113</v>
      </c>
      <c r="G631" s="41">
        <v>1.2272793078486948E-2</v>
      </c>
      <c r="H631" s="41">
        <v>9.0414684525897005E-3</v>
      </c>
      <c r="I631" s="40">
        <f t="shared" si="110"/>
        <v>0</v>
      </c>
      <c r="J631" s="40">
        <f t="shared" si="111"/>
        <v>122.99730651894819</v>
      </c>
      <c r="K631" s="36">
        <v>0.28787575264359283</v>
      </c>
      <c r="L631" s="42">
        <f t="shared" ref="L631:M646" si="119">L630</f>
        <v>0</v>
      </c>
      <c r="M631" s="42">
        <f t="shared" si="119"/>
        <v>20000</v>
      </c>
      <c r="N631" s="42">
        <f t="shared" si="112"/>
        <v>5757.5150528718568</v>
      </c>
      <c r="O631" s="36">
        <v>9.1704485662871438</v>
      </c>
      <c r="P631" s="42">
        <f t="shared" si="113"/>
        <v>-735.5902001483164</v>
      </c>
      <c r="Q631" s="42"/>
      <c r="R631">
        <v>0.63420514542069761</v>
      </c>
      <c r="S631">
        <v>7.4221015045625172E-2</v>
      </c>
    </row>
    <row r="632" spans="1:19" x14ac:dyDescent="0.25">
      <c r="A632" s="40">
        <f t="shared" si="114"/>
        <v>0</v>
      </c>
      <c r="B632" s="40">
        <f t="shared" si="115"/>
        <v>50</v>
      </c>
      <c r="C632" s="41">
        <f t="shared" si="108"/>
        <v>1.0313000000000001</v>
      </c>
      <c r="D632" s="41">
        <f t="shared" si="109"/>
        <v>0.88000000000000012</v>
      </c>
      <c r="E632" s="39">
        <f>IF(_xlfn.NORM.INV(R632,C632,'Regressão Grupo 2'!$B$7)&lt;=0,0,IF(_xlfn.NORM.INV(R632,C632,'Regressão Grupo 2'!$B$7)&gt;100%,100%,_xlfn.NORM.INV(R632,C632,'Regressão Grupo 2'!$B$7)))</f>
        <v>1</v>
      </c>
      <c r="F632" s="39">
        <f>IF(_xlfn.NORM.INV(S632,D632,'Regressão Grupo 2'!$B$7)&lt;=0,0,IF(_xlfn.NORM.INV(S632,D632,'Regressão Grupo 2'!$B$7)&gt;100%,100%,_xlfn.NORM.INV(S632,D632,'Regressão Grupo 2'!$B$7)))</f>
        <v>0.85668748639172843</v>
      </c>
      <c r="G632" s="41">
        <v>1.53204391295293E-2</v>
      </c>
      <c r="H632" s="41">
        <v>2.0250434041514439E-2</v>
      </c>
      <c r="I632" s="40">
        <f t="shared" si="110"/>
        <v>0</v>
      </c>
      <c r="J632" s="40">
        <f t="shared" si="111"/>
        <v>346.96586874732986</v>
      </c>
      <c r="K632" s="36">
        <v>0.38717697742114809</v>
      </c>
      <c r="L632" s="42">
        <f t="shared" si="119"/>
        <v>0</v>
      </c>
      <c r="M632" s="42">
        <f t="shared" si="119"/>
        <v>20000</v>
      </c>
      <c r="N632" s="42">
        <f t="shared" si="112"/>
        <v>7743.5395484229621</v>
      </c>
      <c r="O632" s="36">
        <v>8.7897874113206491</v>
      </c>
      <c r="P632" s="42">
        <f t="shared" si="113"/>
        <v>6554.9976636703186</v>
      </c>
      <c r="Q632" s="42"/>
      <c r="R632">
        <v>0.80443739127781</v>
      </c>
      <c r="S632">
        <v>0.43305764946440017</v>
      </c>
    </row>
    <row r="633" spans="1:19" x14ac:dyDescent="0.25">
      <c r="A633" s="40">
        <f t="shared" si="114"/>
        <v>0</v>
      </c>
      <c r="B633" s="40">
        <f t="shared" si="115"/>
        <v>50</v>
      </c>
      <c r="C633" s="41">
        <f t="shared" si="108"/>
        <v>1.0313000000000001</v>
      </c>
      <c r="D633" s="41">
        <f t="shared" si="109"/>
        <v>0.88000000000000012</v>
      </c>
      <c r="E633" s="39">
        <f>IF(_xlfn.NORM.INV(R633,C633,'Regressão Grupo 2'!$B$7)&lt;=0,0,IF(_xlfn.NORM.INV(R633,C633,'Regressão Grupo 2'!$B$7)&gt;100%,100%,_xlfn.NORM.INV(R633,C633,'Regressão Grupo 2'!$B$7)))</f>
        <v>1</v>
      </c>
      <c r="F633" s="39">
        <f>IF(_xlfn.NORM.INV(S633,D633,'Regressão Grupo 2'!$B$7)&lt;=0,0,IF(_xlfn.NORM.INV(S633,D633,'Regressão Grupo 2'!$B$7)&gt;100%,100%,_xlfn.NORM.INV(S633,D633,'Regressão Grupo 2'!$B$7)))</f>
        <v>0.79871992367717026</v>
      </c>
      <c r="G633" s="41">
        <v>5.2065734433088375E-3</v>
      </c>
      <c r="H633" s="41">
        <v>8.6751323458995177E-3</v>
      </c>
      <c r="I633" s="40">
        <f t="shared" si="110"/>
        <v>0</v>
      </c>
      <c r="J633" s="40">
        <f t="shared" si="111"/>
        <v>138.58002090412427</v>
      </c>
      <c r="K633" s="36">
        <v>0.29002667942456772</v>
      </c>
      <c r="L633" s="42">
        <f t="shared" si="119"/>
        <v>0</v>
      </c>
      <c r="M633" s="42">
        <f t="shared" si="119"/>
        <v>20000</v>
      </c>
      <c r="N633" s="42">
        <f t="shared" si="112"/>
        <v>5800.5335884913547</v>
      </c>
      <c r="O633" s="36">
        <v>5.0620030360147714</v>
      </c>
      <c r="P633" s="42">
        <f t="shared" si="113"/>
        <v>426.9749701671908</v>
      </c>
      <c r="Q633" s="42"/>
      <c r="R633">
        <v>0.67885372478408157</v>
      </c>
      <c r="S633">
        <v>0.27832880642109442</v>
      </c>
    </row>
    <row r="634" spans="1:19" x14ac:dyDescent="0.25">
      <c r="A634" s="40">
        <f t="shared" si="114"/>
        <v>0</v>
      </c>
      <c r="B634" s="40">
        <f t="shared" si="115"/>
        <v>50</v>
      </c>
      <c r="C634" s="41">
        <f t="shared" si="108"/>
        <v>1.0313000000000001</v>
      </c>
      <c r="D634" s="41">
        <f t="shared" si="109"/>
        <v>0.88000000000000012</v>
      </c>
      <c r="E634" s="39">
        <f>IF(_xlfn.NORM.INV(R634,C634,'Regressão Grupo 2'!$B$7)&lt;=0,0,IF(_xlfn.NORM.INV(R634,C634,'Regressão Grupo 2'!$B$7)&gt;100%,100%,_xlfn.NORM.INV(R634,C634,'Regressão Grupo 2'!$B$7)))</f>
        <v>1</v>
      </c>
      <c r="F634" s="39">
        <f>IF(_xlfn.NORM.INV(S634,D634,'Regressão Grupo 2'!$B$7)&lt;=0,0,IF(_xlfn.NORM.INV(S634,D634,'Regressão Grupo 2'!$B$7)&gt;100%,100%,_xlfn.NORM.INV(S634,D634,'Regressão Grupo 2'!$B$7)))</f>
        <v>1</v>
      </c>
      <c r="G634" s="41">
        <v>1.9619226602657396E-2</v>
      </c>
      <c r="H634" s="41">
        <v>1.7434625450204778E-2</v>
      </c>
      <c r="I634" s="40">
        <f t="shared" si="110"/>
        <v>0</v>
      </c>
      <c r="J634" s="40">
        <f t="shared" si="111"/>
        <v>348.69250900409554</v>
      </c>
      <c r="K634" s="36">
        <v>0.33170296037345726</v>
      </c>
      <c r="L634" s="42">
        <f t="shared" si="119"/>
        <v>0</v>
      </c>
      <c r="M634" s="42">
        <f t="shared" si="119"/>
        <v>20000</v>
      </c>
      <c r="N634" s="42">
        <f t="shared" si="112"/>
        <v>6634.0592074691449</v>
      </c>
      <c r="O634" s="36">
        <v>6.3919674387458025</v>
      </c>
      <c r="P634" s="42">
        <f t="shared" si="113"/>
        <v>8571.7350790468772</v>
      </c>
      <c r="Q634" s="42"/>
      <c r="R634">
        <v>0.77364421521652882</v>
      </c>
      <c r="S634">
        <v>0.99392681661427651</v>
      </c>
    </row>
    <row r="635" spans="1:19" x14ac:dyDescent="0.25">
      <c r="A635" s="40">
        <f t="shared" si="114"/>
        <v>0</v>
      </c>
      <c r="B635" s="40">
        <f t="shared" si="115"/>
        <v>50</v>
      </c>
      <c r="C635" s="41">
        <f t="shared" si="108"/>
        <v>1.0313000000000001</v>
      </c>
      <c r="D635" s="41">
        <f t="shared" si="109"/>
        <v>0.88000000000000012</v>
      </c>
      <c r="E635" s="39">
        <f>IF(_xlfn.NORM.INV(R635,C635,'Regressão Grupo 2'!$B$7)&lt;=0,0,IF(_xlfn.NORM.INV(R635,C635,'Regressão Grupo 2'!$B$7)&gt;100%,100%,_xlfn.NORM.INV(R635,C635,'Regressão Grupo 2'!$B$7)))</f>
        <v>1</v>
      </c>
      <c r="F635" s="39">
        <f>IF(_xlfn.NORM.INV(S635,D635,'Regressão Grupo 2'!$B$7)&lt;=0,0,IF(_xlfn.NORM.INV(S635,D635,'Regressão Grupo 2'!$B$7)&gt;100%,100%,_xlfn.NORM.INV(S635,D635,'Regressão Grupo 2'!$B$7)))</f>
        <v>0.88218441959650562</v>
      </c>
      <c r="G635" s="41">
        <v>4.8844687132530897E-3</v>
      </c>
      <c r="H635" s="41">
        <v>1.2401163360413022E-2</v>
      </c>
      <c r="I635" s="40">
        <f t="shared" si="110"/>
        <v>0</v>
      </c>
      <c r="J635" s="40">
        <f t="shared" si="111"/>
        <v>218.80226202854826</v>
      </c>
      <c r="K635" s="36">
        <v>0.35642898756194619</v>
      </c>
      <c r="L635" s="42">
        <f t="shared" si="119"/>
        <v>0</v>
      </c>
      <c r="M635" s="42">
        <f t="shared" si="119"/>
        <v>20000</v>
      </c>
      <c r="N635" s="42">
        <f t="shared" si="112"/>
        <v>7128.5797512389236</v>
      </c>
      <c r="O635" s="36">
        <v>5.542322436017769</v>
      </c>
      <c r="P635" s="42">
        <f t="shared" si="113"/>
        <v>2598.8606642962277</v>
      </c>
      <c r="Q635" s="42"/>
      <c r="R635">
        <v>0.95226905117954042</v>
      </c>
      <c r="S635">
        <v>0.50630207220679346</v>
      </c>
    </row>
    <row r="636" spans="1:19" x14ac:dyDescent="0.25">
      <c r="A636" s="40">
        <f t="shared" si="114"/>
        <v>0</v>
      </c>
      <c r="B636" s="40">
        <f t="shared" si="115"/>
        <v>50</v>
      </c>
      <c r="C636" s="41">
        <f t="shared" si="108"/>
        <v>1.0313000000000001</v>
      </c>
      <c r="D636" s="41">
        <f t="shared" si="109"/>
        <v>0.88000000000000012</v>
      </c>
      <c r="E636" s="39">
        <f>IF(_xlfn.NORM.INV(R636,C636,'Regressão Grupo 2'!$B$7)&lt;=0,0,IF(_xlfn.NORM.INV(R636,C636,'Regressão Grupo 2'!$B$7)&gt;100%,100%,_xlfn.NORM.INV(R636,C636,'Regressão Grupo 2'!$B$7)))</f>
        <v>0.91348019811161207</v>
      </c>
      <c r="F636" s="39">
        <f>IF(_xlfn.NORM.INV(S636,D636,'Regressão Grupo 2'!$B$7)&lt;=0,0,IF(_xlfn.NORM.INV(S636,D636,'Regressão Grupo 2'!$B$7)&gt;100%,100%,_xlfn.NORM.INV(S636,D636,'Regressão Grupo 2'!$B$7)))</f>
        <v>0.93160315958214424</v>
      </c>
      <c r="G636" s="41">
        <v>1.6443391447605763E-2</v>
      </c>
      <c r="H636" s="41">
        <v>2.0265483202061212E-2</v>
      </c>
      <c r="I636" s="40">
        <f t="shared" si="110"/>
        <v>0</v>
      </c>
      <c r="J636" s="40">
        <f t="shared" si="111"/>
        <v>377.58776362998191</v>
      </c>
      <c r="K636" s="36">
        <v>0.1986103296622056</v>
      </c>
      <c r="L636" s="42">
        <f t="shared" si="119"/>
        <v>0</v>
      </c>
      <c r="M636" s="42">
        <f t="shared" si="119"/>
        <v>20000</v>
      </c>
      <c r="N636" s="42">
        <f t="shared" si="112"/>
        <v>3972.2065932441119</v>
      </c>
      <c r="O636" s="36">
        <v>7.9832953967412639</v>
      </c>
      <c r="P636" s="42">
        <f t="shared" si="113"/>
        <v>11892.78693300192</v>
      </c>
      <c r="Q636" s="42"/>
      <c r="R636">
        <v>0.19708853419598987</v>
      </c>
      <c r="S636">
        <v>0.64549699392681659</v>
      </c>
    </row>
    <row r="637" spans="1:19" x14ac:dyDescent="0.25">
      <c r="A637" s="40">
        <f t="shared" si="114"/>
        <v>0</v>
      </c>
      <c r="B637" s="40">
        <f t="shared" si="115"/>
        <v>50</v>
      </c>
      <c r="C637" s="41">
        <f t="shared" si="108"/>
        <v>1.0313000000000001</v>
      </c>
      <c r="D637" s="41">
        <f t="shared" si="109"/>
        <v>0.88000000000000012</v>
      </c>
      <c r="E637" s="39">
        <f>IF(_xlfn.NORM.INV(R637,C637,'Regressão Grupo 2'!$B$7)&lt;=0,0,IF(_xlfn.NORM.INV(R637,C637,'Regressão Grupo 2'!$B$7)&gt;100%,100%,_xlfn.NORM.INV(R637,C637,'Regressão Grupo 2'!$B$7)))</f>
        <v>1</v>
      </c>
      <c r="F637" s="39">
        <f>IF(_xlfn.NORM.INV(S637,D637,'Regressão Grupo 2'!$B$7)&lt;=0,0,IF(_xlfn.NORM.INV(S637,D637,'Regressão Grupo 2'!$B$7)&gt;100%,100%,_xlfn.NORM.INV(S637,D637,'Regressão Grupo 2'!$B$7)))</f>
        <v>0.90022803458825718</v>
      </c>
      <c r="G637" s="41">
        <v>1.5074767692635879E-2</v>
      </c>
      <c r="H637" s="41">
        <v>2.5407202838924097E-2</v>
      </c>
      <c r="I637" s="40">
        <f t="shared" si="110"/>
        <v>0</v>
      </c>
      <c r="J637" s="40">
        <f t="shared" si="111"/>
        <v>457.44552552139652</v>
      </c>
      <c r="K637" s="36">
        <v>0.25259149214499682</v>
      </c>
      <c r="L637" s="42">
        <f t="shared" si="119"/>
        <v>0</v>
      </c>
      <c r="M637" s="42">
        <f t="shared" si="119"/>
        <v>20000</v>
      </c>
      <c r="N637" s="42">
        <f t="shared" si="112"/>
        <v>5051.829842899936</v>
      </c>
      <c r="O637" s="36">
        <v>8.7972414849107867</v>
      </c>
      <c r="P637" s="42">
        <f t="shared" si="113"/>
        <v>13796.187678966242</v>
      </c>
      <c r="Q637" s="42"/>
      <c r="R637">
        <v>0.49909970397045811</v>
      </c>
      <c r="S637">
        <v>0.55815301980651266</v>
      </c>
    </row>
    <row r="638" spans="1:19" x14ac:dyDescent="0.25">
      <c r="A638" s="40">
        <f t="shared" si="114"/>
        <v>0</v>
      </c>
      <c r="B638" s="40">
        <f t="shared" si="115"/>
        <v>50</v>
      </c>
      <c r="C638" s="41">
        <f t="shared" si="108"/>
        <v>1.0313000000000001</v>
      </c>
      <c r="D638" s="41">
        <f t="shared" si="109"/>
        <v>0.88000000000000012</v>
      </c>
      <c r="E638" s="39">
        <f>IF(_xlfn.NORM.INV(R638,C638,'Regressão Grupo 2'!$B$7)&lt;=0,0,IF(_xlfn.NORM.INV(R638,C638,'Regressão Grupo 2'!$B$7)&gt;100%,100%,_xlfn.NORM.INV(R638,C638,'Regressão Grupo 2'!$B$7)))</f>
        <v>0.98636415343746253</v>
      </c>
      <c r="F638" s="39">
        <f>IF(_xlfn.NORM.INV(S638,D638,'Regressão Grupo 2'!$B$7)&lt;=0,0,IF(_xlfn.NORM.INV(S638,D638,'Regressão Grupo 2'!$B$7)&gt;100%,100%,_xlfn.NORM.INV(S638,D638,'Regressão Grupo 2'!$B$7)))</f>
        <v>1</v>
      </c>
      <c r="G638" s="41">
        <v>2.29570079937143E-2</v>
      </c>
      <c r="H638" s="41">
        <v>1.4332007095428848E-2</v>
      </c>
      <c r="I638" s="40">
        <f t="shared" si="110"/>
        <v>0</v>
      </c>
      <c r="J638" s="40">
        <f t="shared" si="111"/>
        <v>286.64014190857694</v>
      </c>
      <c r="K638" s="36">
        <v>0.43365003390510692</v>
      </c>
      <c r="L638" s="42">
        <f t="shared" si="119"/>
        <v>0</v>
      </c>
      <c r="M638" s="42">
        <f t="shared" si="119"/>
        <v>20000</v>
      </c>
      <c r="N638" s="42">
        <f t="shared" si="112"/>
        <v>8673.0006781021384</v>
      </c>
      <c r="O638" s="36">
        <v>4.60451865424149</v>
      </c>
      <c r="P638" s="42">
        <f t="shared" si="113"/>
        <v>4339.1665368542381</v>
      </c>
      <c r="Q638" s="42"/>
      <c r="R638">
        <v>0.37260048219244973</v>
      </c>
      <c r="S638">
        <v>0.90124210333567312</v>
      </c>
    </row>
    <row r="639" spans="1:19" x14ac:dyDescent="0.25">
      <c r="A639" s="40">
        <f t="shared" si="114"/>
        <v>0</v>
      </c>
      <c r="B639" s="40">
        <f t="shared" si="115"/>
        <v>50</v>
      </c>
      <c r="C639" s="41">
        <f t="shared" si="108"/>
        <v>1.0313000000000001</v>
      </c>
      <c r="D639" s="41">
        <f t="shared" si="109"/>
        <v>0.88000000000000012</v>
      </c>
      <c r="E639" s="39">
        <f>IF(_xlfn.NORM.INV(R639,C639,'Regressão Grupo 2'!$B$7)&lt;=0,0,IF(_xlfn.NORM.INV(R639,C639,'Regressão Grupo 2'!$B$7)&gt;100%,100%,_xlfn.NORM.INV(R639,C639,'Regressão Grupo 2'!$B$7)))</f>
        <v>0.81513565867062721</v>
      </c>
      <c r="F639" s="39">
        <f>IF(_xlfn.NORM.INV(S639,D639,'Regressão Grupo 2'!$B$7)&lt;=0,0,IF(_xlfn.NORM.INV(S639,D639,'Regressão Grupo 2'!$B$7)&gt;100%,100%,_xlfn.NORM.INV(S639,D639,'Regressão Grupo 2'!$B$7)))</f>
        <v>1</v>
      </c>
      <c r="G639" s="41">
        <v>1.7209959787657603E-2</v>
      </c>
      <c r="H639" s="41">
        <v>8.9698548118298093E-3</v>
      </c>
      <c r="I639" s="40">
        <f t="shared" si="110"/>
        <v>0</v>
      </c>
      <c r="J639" s="40">
        <f t="shared" si="111"/>
        <v>179.39709623659618</v>
      </c>
      <c r="K639" s="36">
        <v>0.11415813563169352</v>
      </c>
      <c r="L639" s="42">
        <f t="shared" si="119"/>
        <v>0</v>
      </c>
      <c r="M639" s="42">
        <f t="shared" si="119"/>
        <v>20000</v>
      </c>
      <c r="N639" s="42">
        <f t="shared" si="112"/>
        <v>2283.1627126338703</v>
      </c>
      <c r="O639" s="36">
        <v>10.713910727835446</v>
      </c>
      <c r="P639" s="42">
        <f t="shared" si="113"/>
        <v>4764.6476252841439</v>
      </c>
      <c r="Q639" s="42"/>
      <c r="R639">
        <v>5.8992278817102575E-2</v>
      </c>
      <c r="S639">
        <v>0.87566759239478742</v>
      </c>
    </row>
    <row r="640" spans="1:19" x14ac:dyDescent="0.25">
      <c r="A640" s="40">
        <f t="shared" si="114"/>
        <v>0</v>
      </c>
      <c r="B640" s="40">
        <f t="shared" si="115"/>
        <v>50</v>
      </c>
      <c r="C640" s="41">
        <f t="shared" si="108"/>
        <v>1.0313000000000001</v>
      </c>
      <c r="D640" s="41">
        <f t="shared" si="109"/>
        <v>0.88000000000000012</v>
      </c>
      <c r="E640" s="39">
        <f>IF(_xlfn.NORM.INV(R640,C640,'Regressão Grupo 2'!$B$7)&lt;=0,0,IF(_xlfn.NORM.INV(R640,C640,'Regressão Grupo 2'!$B$7)&gt;100%,100%,_xlfn.NORM.INV(R640,C640,'Regressão Grupo 2'!$B$7)))</f>
        <v>1</v>
      </c>
      <c r="F640" s="39">
        <f>IF(_xlfn.NORM.INV(S640,D640,'Regressão Grupo 2'!$B$7)&lt;=0,0,IF(_xlfn.NORM.INV(S640,D640,'Regressão Grupo 2'!$B$7)&gt;100%,100%,_xlfn.NORM.INV(S640,D640,'Regressão Grupo 2'!$B$7)))</f>
        <v>0.72341301986491524</v>
      </c>
      <c r="G640" s="41">
        <v>2.2450199954678618E-2</v>
      </c>
      <c r="H640" s="41">
        <v>1.0581574050979481E-3</v>
      </c>
      <c r="I640" s="40">
        <f t="shared" si="110"/>
        <v>0</v>
      </c>
      <c r="J640" s="40">
        <f t="shared" si="111"/>
        <v>15.309696878286582</v>
      </c>
      <c r="K640" s="36">
        <v>0.28621646246326876</v>
      </c>
      <c r="L640" s="42">
        <f t="shared" si="119"/>
        <v>0</v>
      </c>
      <c r="M640" s="42">
        <f t="shared" si="119"/>
        <v>20000</v>
      </c>
      <c r="N640" s="42">
        <f t="shared" si="112"/>
        <v>5724.3292492653754</v>
      </c>
      <c r="O640" s="36">
        <v>4.3364976447363128</v>
      </c>
      <c r="P640" s="42">
        <f t="shared" si="113"/>
        <v>-5025.2348698053629</v>
      </c>
      <c r="Q640" s="42"/>
      <c r="R640">
        <v>0.49287392803735464</v>
      </c>
      <c r="S640">
        <v>0.12872707296975616</v>
      </c>
    </row>
    <row r="641" spans="1:19" x14ac:dyDescent="0.25">
      <c r="A641" s="40">
        <f t="shared" si="114"/>
        <v>0</v>
      </c>
      <c r="B641" s="40">
        <f t="shared" si="115"/>
        <v>50</v>
      </c>
      <c r="C641" s="41">
        <f t="shared" si="108"/>
        <v>1.0313000000000001</v>
      </c>
      <c r="D641" s="41">
        <f t="shared" si="109"/>
        <v>0.88000000000000012</v>
      </c>
      <c r="E641" s="39">
        <f>IF(_xlfn.NORM.INV(R641,C641,'Regressão Grupo 2'!$B$7)&lt;=0,0,IF(_xlfn.NORM.INV(R641,C641,'Regressão Grupo 2'!$B$7)&gt;100%,100%,_xlfn.NORM.INV(R641,C641,'Regressão Grupo 2'!$B$7)))</f>
        <v>0.91073483070247274</v>
      </c>
      <c r="F641" s="39">
        <f>IF(_xlfn.NORM.INV(S641,D641,'Regressão Grupo 2'!$B$7)&lt;=0,0,IF(_xlfn.NORM.INV(S641,D641,'Regressão Grupo 2'!$B$7)&gt;100%,100%,_xlfn.NORM.INV(S641,D641,'Regressão Grupo 2'!$B$7)))</f>
        <v>0.80428760048728165</v>
      </c>
      <c r="G641" s="41">
        <v>1.5762646729333158E-2</v>
      </c>
      <c r="H641" s="41">
        <v>1.7560918906506042E-2</v>
      </c>
      <c r="I641" s="40">
        <f t="shared" si="110"/>
        <v>0</v>
      </c>
      <c r="J641" s="40">
        <f t="shared" si="111"/>
        <v>282.48058659330962</v>
      </c>
      <c r="K641" s="36">
        <v>0.17661386440690974</v>
      </c>
      <c r="L641" s="42">
        <f t="shared" si="119"/>
        <v>0</v>
      </c>
      <c r="M641" s="42">
        <f t="shared" si="119"/>
        <v>20000</v>
      </c>
      <c r="N641" s="42">
        <f t="shared" si="112"/>
        <v>3532.2772881381948</v>
      </c>
      <c r="O641" s="36">
        <v>4.5434036937678703</v>
      </c>
      <c r="P641" s="42">
        <f t="shared" si="113"/>
        <v>9308.3287009815285</v>
      </c>
      <c r="Q641" s="42"/>
      <c r="R641">
        <v>0.19162572099978636</v>
      </c>
      <c r="S641">
        <v>0.29200109866634116</v>
      </c>
    </row>
    <row r="642" spans="1:19" x14ac:dyDescent="0.25">
      <c r="A642" s="40">
        <f t="shared" si="114"/>
        <v>0</v>
      </c>
      <c r="B642" s="40">
        <f t="shared" si="115"/>
        <v>50</v>
      </c>
      <c r="C642" s="41">
        <f t="shared" si="108"/>
        <v>1.0313000000000001</v>
      </c>
      <c r="D642" s="41">
        <f t="shared" si="109"/>
        <v>0.88000000000000012</v>
      </c>
      <c r="E642" s="39">
        <f>IF(_xlfn.NORM.INV(R642,C642,'Regressão Grupo 2'!$B$7)&lt;=0,0,IF(_xlfn.NORM.INV(R642,C642,'Regressão Grupo 2'!$B$7)&gt;100%,100%,_xlfn.NORM.INV(R642,C642,'Regressão Grupo 2'!$B$7)))</f>
        <v>0.75183952996342795</v>
      </c>
      <c r="F642" s="39">
        <f>IF(_xlfn.NORM.INV(S642,D642,'Regressão Grupo 2'!$B$7)&lt;=0,0,IF(_xlfn.NORM.INV(S642,D642,'Regressão Grupo 2'!$B$7)&gt;100%,100%,_xlfn.NORM.INV(S642,D642,'Regressão Grupo 2'!$B$7)))</f>
        <v>0.89620528371480179</v>
      </c>
      <c r="G642" s="41">
        <v>2.1143131630894419E-2</v>
      </c>
      <c r="H642" s="41">
        <v>6.8990304763326491E-3</v>
      </c>
      <c r="I642" s="40">
        <f t="shared" si="110"/>
        <v>0</v>
      </c>
      <c r="J642" s="40">
        <f t="shared" si="111"/>
        <v>123.65895130797533</v>
      </c>
      <c r="K642" s="36">
        <v>0.26889908880391128</v>
      </c>
      <c r="L642" s="42">
        <f t="shared" si="119"/>
        <v>0</v>
      </c>
      <c r="M642" s="42">
        <f t="shared" si="119"/>
        <v>20000</v>
      </c>
      <c r="N642" s="42">
        <f t="shared" si="112"/>
        <v>5377.9817760782253</v>
      </c>
      <c r="O642" s="36">
        <v>8.9739542800172423</v>
      </c>
      <c r="P642" s="42">
        <f t="shared" si="113"/>
        <v>-304.74398603210739</v>
      </c>
      <c r="Q642" s="42"/>
      <c r="R642">
        <v>2.1637623218482008E-2</v>
      </c>
      <c r="S642">
        <v>0.54664754173406171</v>
      </c>
    </row>
    <row r="643" spans="1:19" x14ac:dyDescent="0.25">
      <c r="A643" s="40">
        <f t="shared" si="114"/>
        <v>0</v>
      </c>
      <c r="B643" s="40">
        <f t="shared" si="115"/>
        <v>50</v>
      </c>
      <c r="C643" s="41">
        <f t="shared" si="108"/>
        <v>1.0313000000000001</v>
      </c>
      <c r="D643" s="41">
        <f t="shared" si="109"/>
        <v>0.88000000000000012</v>
      </c>
      <c r="E643" s="39">
        <f>IF(_xlfn.NORM.INV(R643,C643,'Regressão Grupo 2'!$B$7)&lt;=0,0,IF(_xlfn.NORM.INV(R643,C643,'Regressão Grupo 2'!$B$7)&gt;100%,100%,_xlfn.NORM.INV(R643,C643,'Regressão Grupo 2'!$B$7)))</f>
        <v>1</v>
      </c>
      <c r="F643" s="39">
        <f>IF(_xlfn.NORM.INV(S643,D643,'Regressão Grupo 2'!$B$7)&lt;=0,0,IF(_xlfn.NORM.INV(S643,D643,'Regressão Grupo 2'!$B$7)&gt;100%,100%,_xlfn.NORM.INV(S643,D643,'Regressão Grupo 2'!$B$7)))</f>
        <v>0.78769193295351969</v>
      </c>
      <c r="G643" s="41">
        <v>1.9410894123868143E-2</v>
      </c>
      <c r="H643" s="41">
        <v>1.4519221341795152E-2</v>
      </c>
      <c r="I643" s="40">
        <f t="shared" si="110"/>
        <v>0</v>
      </c>
      <c r="J643" s="40">
        <f t="shared" si="111"/>
        <v>228.73347047397237</v>
      </c>
      <c r="K643" s="36">
        <v>0.26660303649608058</v>
      </c>
      <c r="L643" s="42">
        <f t="shared" si="119"/>
        <v>0</v>
      </c>
      <c r="M643" s="42">
        <f t="shared" si="119"/>
        <v>20000</v>
      </c>
      <c r="N643" s="42">
        <f t="shared" si="112"/>
        <v>5332.0607299216117</v>
      </c>
      <c r="O643" s="36">
        <v>7.6367061495601618</v>
      </c>
      <c r="P643" s="42">
        <f t="shared" si="113"/>
        <v>4357.8424931981845</v>
      </c>
      <c r="Q643" s="42"/>
      <c r="R643">
        <v>0.91161839655751209</v>
      </c>
      <c r="S643">
        <v>0.25220496230964079</v>
      </c>
    </row>
    <row r="644" spans="1:19" x14ac:dyDescent="0.25">
      <c r="A644" s="40">
        <f t="shared" si="114"/>
        <v>0</v>
      </c>
      <c r="B644" s="40">
        <f t="shared" si="115"/>
        <v>50</v>
      </c>
      <c r="C644" s="41">
        <f t="shared" si="108"/>
        <v>1.0313000000000001</v>
      </c>
      <c r="D644" s="41">
        <f t="shared" si="109"/>
        <v>0.88000000000000012</v>
      </c>
      <c r="E644" s="39">
        <f>IF(_xlfn.NORM.INV(R644,C644,'Regressão Grupo 2'!$B$7)&lt;=0,0,IF(_xlfn.NORM.INV(R644,C644,'Regressão Grupo 2'!$B$7)&gt;100%,100%,_xlfn.NORM.INV(R644,C644,'Regressão Grupo 2'!$B$7)))</f>
        <v>1</v>
      </c>
      <c r="F644" s="39">
        <f>IF(_xlfn.NORM.INV(S644,D644,'Regressão Grupo 2'!$B$7)&lt;=0,0,IF(_xlfn.NORM.INV(S644,D644,'Regressão Grupo 2'!$B$7)&gt;100%,100%,_xlfn.NORM.INV(S644,D644,'Regressão Grupo 2'!$B$7)))</f>
        <v>0.86524235709047659</v>
      </c>
      <c r="G644" s="41">
        <v>2.1975545916007755E-2</v>
      </c>
      <c r="H644" s="41">
        <v>3.1849433519005755E-3</v>
      </c>
      <c r="I644" s="40">
        <f t="shared" si="110"/>
        <v>0</v>
      </c>
      <c r="J644" s="40">
        <f t="shared" si="111"/>
        <v>55.11495785996194</v>
      </c>
      <c r="K644" s="36">
        <v>0.24890759366400916</v>
      </c>
      <c r="L644" s="42">
        <f t="shared" si="119"/>
        <v>0</v>
      </c>
      <c r="M644" s="42">
        <f t="shared" si="119"/>
        <v>20000</v>
      </c>
      <c r="N644" s="42">
        <f t="shared" si="112"/>
        <v>4978.1518732801833</v>
      </c>
      <c r="O644" s="36">
        <v>5.4769197441930144</v>
      </c>
      <c r="P644" s="42">
        <f t="shared" si="113"/>
        <v>-2524.2641811856779</v>
      </c>
      <c r="Q644" s="42"/>
      <c r="R644">
        <v>0.65770439771721545</v>
      </c>
      <c r="S644">
        <v>0.4575029755546739</v>
      </c>
    </row>
    <row r="645" spans="1:19" x14ac:dyDescent="0.25">
      <c r="A645" s="40">
        <f t="shared" si="114"/>
        <v>0</v>
      </c>
      <c r="B645" s="40">
        <f t="shared" si="115"/>
        <v>50</v>
      </c>
      <c r="C645" s="41">
        <f t="shared" si="108"/>
        <v>1.0313000000000001</v>
      </c>
      <c r="D645" s="41">
        <f t="shared" si="109"/>
        <v>0.88000000000000012</v>
      </c>
      <c r="E645" s="39">
        <f>IF(_xlfn.NORM.INV(R645,C645,'Regressão Grupo 2'!$B$7)&lt;=0,0,IF(_xlfn.NORM.INV(R645,C645,'Regressão Grupo 2'!$B$7)&gt;100%,100%,_xlfn.NORM.INV(R645,C645,'Regressão Grupo 2'!$B$7)))</f>
        <v>1</v>
      </c>
      <c r="F645" s="39">
        <f>IF(_xlfn.NORM.INV(S645,D645,'Regressão Grupo 2'!$B$7)&lt;=0,0,IF(_xlfn.NORM.INV(S645,D645,'Regressão Grupo 2'!$B$7)&gt;100%,100%,_xlfn.NORM.INV(S645,D645,'Regressão Grupo 2'!$B$7)))</f>
        <v>0.74265186964694041</v>
      </c>
      <c r="G645" s="41">
        <v>4.1678172748072385E-3</v>
      </c>
      <c r="H645" s="41">
        <v>1.8884304645816963E-2</v>
      </c>
      <c r="I645" s="40">
        <f t="shared" si="110"/>
        <v>0</v>
      </c>
      <c r="J645" s="40">
        <f t="shared" si="111"/>
        <v>280.48928304396742</v>
      </c>
      <c r="K645" s="36">
        <v>0.46128474655114116</v>
      </c>
      <c r="L645" s="42">
        <f t="shared" si="119"/>
        <v>0</v>
      </c>
      <c r="M645" s="42">
        <f t="shared" si="119"/>
        <v>20000</v>
      </c>
      <c r="N645" s="42">
        <f t="shared" si="112"/>
        <v>9225.6949310228229</v>
      </c>
      <c r="O645" s="36">
        <v>6.3508143922797666</v>
      </c>
      <c r="P645" s="42">
        <f t="shared" si="113"/>
        <v>3017.4338455396864</v>
      </c>
      <c r="Q645" s="42"/>
      <c r="R645">
        <v>0.61433759575182345</v>
      </c>
      <c r="S645">
        <v>0.16028321176793725</v>
      </c>
    </row>
    <row r="646" spans="1:19" x14ac:dyDescent="0.25">
      <c r="A646" s="40">
        <f t="shared" si="114"/>
        <v>0</v>
      </c>
      <c r="B646" s="40">
        <f t="shared" si="115"/>
        <v>50</v>
      </c>
      <c r="C646" s="41">
        <f t="shared" ref="C646:C709" si="120">-0.0071*A646 + 1.0313</f>
        <v>1.0313000000000001</v>
      </c>
      <c r="D646" s="41">
        <f t="shared" ref="D646:D709" si="121">-0.0059*B646+1.175</f>
        <v>0.88000000000000012</v>
      </c>
      <c r="E646" s="39">
        <f>IF(_xlfn.NORM.INV(R646,C646,'Regressão Grupo 2'!$B$7)&lt;=0,0,IF(_xlfn.NORM.INV(R646,C646,'Regressão Grupo 2'!$B$7)&gt;100%,100%,_xlfn.NORM.INV(R646,C646,'Regressão Grupo 2'!$B$7)))</f>
        <v>1</v>
      </c>
      <c r="F646" s="39">
        <f>IF(_xlfn.NORM.INV(S646,D646,'Regressão Grupo 2'!$B$7)&lt;=0,0,IF(_xlfn.NORM.INV(S646,D646,'Regressão Grupo 2'!$B$7)&gt;100%,100%,_xlfn.NORM.INV(S646,D646,'Regressão Grupo 2'!$B$7)))</f>
        <v>0.92353305766666338</v>
      </c>
      <c r="G646" s="41">
        <v>1.0099855991318869E-2</v>
      </c>
      <c r="H646" s="41">
        <v>9.1714193565617767E-3</v>
      </c>
      <c r="I646" s="40">
        <f t="shared" ref="I646:I709" si="122">IF(E646*G646*L646&gt;0,E646*G646*L646,0)</f>
        <v>0</v>
      </c>
      <c r="J646" s="40">
        <f t="shared" ref="J646:J709" si="123">IF(F646*H646*M646&gt;0,F646*H646*M646,0)</f>
        <v>169.4021792301744</v>
      </c>
      <c r="K646" s="36">
        <v>0.35425726480415665</v>
      </c>
      <c r="L646" s="42">
        <f t="shared" si="119"/>
        <v>0</v>
      </c>
      <c r="M646" s="42">
        <f t="shared" si="119"/>
        <v>20000</v>
      </c>
      <c r="N646" s="42">
        <f t="shared" ref="N646:N709" si="124">(L646+M646)*K646</f>
        <v>7085.145296083133</v>
      </c>
      <c r="O646" s="36">
        <v>9.8011571622168407</v>
      </c>
      <c r="P646" s="42">
        <f t="shared" ref="P646:P709" si="125">SUMPRODUCT(A646:B646,I646:J646)-SUM(I646:J646)*O646-N646</f>
        <v>-275.37371683137735</v>
      </c>
      <c r="Q646" s="42"/>
      <c r="R646">
        <v>0.91799676503799554</v>
      </c>
      <c r="S646">
        <v>0.62355418561357467</v>
      </c>
    </row>
    <row r="647" spans="1:19" x14ac:dyDescent="0.25">
      <c r="A647" s="40">
        <f t="shared" ref="A647:A710" si="126">A646</f>
        <v>0</v>
      </c>
      <c r="B647" s="40">
        <f t="shared" ref="B647:B710" si="127">B646</f>
        <v>50</v>
      </c>
      <c r="C647" s="41">
        <f t="shared" si="120"/>
        <v>1.0313000000000001</v>
      </c>
      <c r="D647" s="41">
        <f t="shared" si="121"/>
        <v>0.88000000000000012</v>
      </c>
      <c r="E647" s="39">
        <f>IF(_xlfn.NORM.INV(R647,C647,'Regressão Grupo 2'!$B$7)&lt;=0,0,IF(_xlfn.NORM.INV(R647,C647,'Regressão Grupo 2'!$B$7)&gt;100%,100%,_xlfn.NORM.INV(R647,C647,'Regressão Grupo 2'!$B$7)))</f>
        <v>1</v>
      </c>
      <c r="F647" s="39">
        <f>IF(_xlfn.NORM.INV(S647,D647,'Regressão Grupo 2'!$B$7)&lt;=0,0,IF(_xlfn.NORM.INV(S647,D647,'Regressão Grupo 2'!$B$7)&gt;100%,100%,_xlfn.NORM.INV(S647,D647,'Regressão Grupo 2'!$B$7)))</f>
        <v>0.55709646859304462</v>
      </c>
      <c r="G647" s="41">
        <v>1.7707459783512448E-2</v>
      </c>
      <c r="H647" s="41">
        <v>2.1826923363888431E-2</v>
      </c>
      <c r="I647" s="40">
        <f t="shared" si="122"/>
        <v>0</v>
      </c>
      <c r="J647" s="40">
        <f t="shared" si="123"/>
        <v>243.19403852546526</v>
      </c>
      <c r="K647" s="36">
        <v>0.21956371788924117</v>
      </c>
      <c r="L647" s="42">
        <f t="shared" ref="L647:M662" si="128">L646</f>
        <v>0</v>
      </c>
      <c r="M647" s="42">
        <f t="shared" si="128"/>
        <v>20000</v>
      </c>
      <c r="N647" s="42">
        <f t="shared" si="124"/>
        <v>4391.2743577848232</v>
      </c>
      <c r="O647" s="36">
        <v>6.6903152947790687</v>
      </c>
      <c r="P647" s="42">
        <f t="shared" si="125"/>
        <v>6141.3827729424302</v>
      </c>
      <c r="Q647" s="42"/>
      <c r="R647">
        <v>0.57426679280983917</v>
      </c>
      <c r="S647">
        <v>9.7659230323191015E-3</v>
      </c>
    </row>
    <row r="648" spans="1:19" x14ac:dyDescent="0.25">
      <c r="A648" s="40">
        <f t="shared" si="126"/>
        <v>0</v>
      </c>
      <c r="B648" s="40">
        <f t="shared" si="127"/>
        <v>50</v>
      </c>
      <c r="C648" s="41">
        <f t="shared" si="120"/>
        <v>1.0313000000000001</v>
      </c>
      <c r="D648" s="41">
        <f t="shared" si="121"/>
        <v>0.88000000000000012</v>
      </c>
      <c r="E648" s="39">
        <f>IF(_xlfn.NORM.INV(R648,C648,'Regressão Grupo 2'!$B$7)&lt;=0,0,IF(_xlfn.NORM.INV(R648,C648,'Regressão Grupo 2'!$B$7)&gt;100%,100%,_xlfn.NORM.INV(R648,C648,'Regressão Grupo 2'!$B$7)))</f>
        <v>1</v>
      </c>
      <c r="F648" s="39">
        <f>IF(_xlfn.NORM.INV(S648,D648,'Regressão Grupo 2'!$B$7)&lt;=0,0,IF(_xlfn.NORM.INV(S648,D648,'Regressão Grupo 2'!$B$7)&gt;100%,100%,_xlfn.NORM.INV(S648,D648,'Regressão Grupo 2'!$B$7)))</f>
        <v>0.75912513321194908</v>
      </c>
      <c r="G648" s="41">
        <v>1.5440010191044384E-2</v>
      </c>
      <c r="H648" s="41">
        <v>1.9402636537134137E-2</v>
      </c>
      <c r="I648" s="40">
        <f t="shared" si="122"/>
        <v>0</v>
      </c>
      <c r="J648" s="40">
        <f t="shared" si="123"/>
        <v>294.58058091829963</v>
      </c>
      <c r="K648" s="36">
        <v>0.28277837972854286</v>
      </c>
      <c r="L648" s="42">
        <f t="shared" si="128"/>
        <v>0</v>
      </c>
      <c r="M648" s="42">
        <f t="shared" si="128"/>
        <v>20000</v>
      </c>
      <c r="N648" s="42">
        <f t="shared" si="124"/>
        <v>5655.5675945708572</v>
      </c>
      <c r="O648" s="36">
        <v>7.8913430511080573</v>
      </c>
      <c r="P648" s="42">
        <f t="shared" si="125"/>
        <v>6748.8250311231259</v>
      </c>
      <c r="Q648" s="42"/>
      <c r="R648">
        <v>0.87112033448286386</v>
      </c>
      <c r="S648">
        <v>0.19101535081026644</v>
      </c>
    </row>
    <row r="649" spans="1:19" x14ac:dyDescent="0.25">
      <c r="A649" s="40">
        <f t="shared" si="126"/>
        <v>0</v>
      </c>
      <c r="B649" s="40">
        <f t="shared" si="127"/>
        <v>50</v>
      </c>
      <c r="C649" s="41">
        <f t="shared" si="120"/>
        <v>1.0313000000000001</v>
      </c>
      <c r="D649" s="41">
        <f t="shared" si="121"/>
        <v>0.88000000000000012</v>
      </c>
      <c r="E649" s="39">
        <f>IF(_xlfn.NORM.INV(R649,C649,'Regressão Grupo 2'!$B$7)&lt;=0,0,IF(_xlfn.NORM.INV(R649,C649,'Regressão Grupo 2'!$B$7)&gt;100%,100%,_xlfn.NORM.INV(R649,C649,'Regressão Grupo 2'!$B$7)))</f>
        <v>1</v>
      </c>
      <c r="F649" s="39">
        <f>IF(_xlfn.NORM.INV(S649,D649,'Regressão Grupo 2'!$B$7)&lt;=0,0,IF(_xlfn.NORM.INV(S649,D649,'Regressão Grupo 2'!$B$7)&gt;100%,100%,_xlfn.NORM.INV(S649,D649,'Regressão Grupo 2'!$B$7)))</f>
        <v>1</v>
      </c>
      <c r="G649" s="41">
        <v>2.329924842865062E-2</v>
      </c>
      <c r="H649" s="41">
        <v>9.7526696291646148E-3</v>
      </c>
      <c r="I649" s="40">
        <f t="shared" si="122"/>
        <v>0</v>
      </c>
      <c r="J649" s="40">
        <f t="shared" si="123"/>
        <v>195.05339258329229</v>
      </c>
      <c r="K649" s="36">
        <v>0.28229127575060392</v>
      </c>
      <c r="L649" s="42">
        <f t="shared" si="128"/>
        <v>0</v>
      </c>
      <c r="M649" s="42">
        <f t="shared" si="128"/>
        <v>20000</v>
      </c>
      <c r="N649" s="42">
        <f t="shared" si="124"/>
        <v>5645.8255150120785</v>
      </c>
      <c r="O649" s="36">
        <v>6.3248803169352321</v>
      </c>
      <c r="P649" s="42">
        <f t="shared" si="125"/>
        <v>2873.1547506510306</v>
      </c>
      <c r="Q649" s="42"/>
      <c r="R649">
        <v>0.79653309732352673</v>
      </c>
      <c r="S649">
        <v>0.95379497665334023</v>
      </c>
    </row>
    <row r="650" spans="1:19" x14ac:dyDescent="0.25">
      <c r="A650" s="40">
        <f t="shared" si="126"/>
        <v>0</v>
      </c>
      <c r="B650" s="40">
        <f t="shared" si="127"/>
        <v>50</v>
      </c>
      <c r="C650" s="41">
        <f t="shared" si="120"/>
        <v>1.0313000000000001</v>
      </c>
      <c r="D650" s="41">
        <f t="shared" si="121"/>
        <v>0.88000000000000012</v>
      </c>
      <c r="E650" s="39">
        <f>IF(_xlfn.NORM.INV(R650,C650,'Regressão Grupo 2'!$B$7)&lt;=0,0,IF(_xlfn.NORM.INV(R650,C650,'Regressão Grupo 2'!$B$7)&gt;100%,100%,_xlfn.NORM.INV(R650,C650,'Regressão Grupo 2'!$B$7)))</f>
        <v>0.80709442147878885</v>
      </c>
      <c r="F650" s="39">
        <f>IF(_xlfn.NORM.INV(S650,D650,'Regressão Grupo 2'!$B$7)&lt;=0,0,IF(_xlfn.NORM.INV(S650,D650,'Regressão Grupo 2'!$B$7)&gt;100%,100%,_xlfn.NORM.INV(S650,D650,'Regressão Grupo 2'!$B$7)))</f>
        <v>0.67562946748147978</v>
      </c>
      <c r="G650" s="41">
        <v>4.9121215092109071E-3</v>
      </c>
      <c r="H650" s="41">
        <v>1.1292108567002756E-2</v>
      </c>
      <c r="I650" s="40">
        <f t="shared" si="122"/>
        <v>0</v>
      </c>
      <c r="J650" s="40">
        <f t="shared" si="123"/>
        <v>152.58562595734256</v>
      </c>
      <c r="K650" s="36">
        <v>0.34407713995110389</v>
      </c>
      <c r="L650" s="42">
        <f t="shared" si="128"/>
        <v>0</v>
      </c>
      <c r="M650" s="42">
        <f t="shared" si="128"/>
        <v>20000</v>
      </c>
      <c r="N650" s="42">
        <f t="shared" si="124"/>
        <v>6881.5427990220778</v>
      </c>
      <c r="O650" s="36">
        <v>3.7509771582139164</v>
      </c>
      <c r="P650" s="42">
        <f t="shared" si="125"/>
        <v>175.39330120728573</v>
      </c>
      <c r="Q650" s="42"/>
      <c r="R650">
        <v>5.2461317789239174E-2</v>
      </c>
      <c r="S650">
        <v>6.9704275643177591E-2</v>
      </c>
    </row>
    <row r="651" spans="1:19" x14ac:dyDescent="0.25">
      <c r="A651" s="40">
        <f t="shared" si="126"/>
        <v>0</v>
      </c>
      <c r="B651" s="40">
        <f t="shared" si="127"/>
        <v>50</v>
      </c>
      <c r="C651" s="41">
        <f t="shared" si="120"/>
        <v>1.0313000000000001</v>
      </c>
      <c r="D651" s="41">
        <f t="shared" si="121"/>
        <v>0.88000000000000012</v>
      </c>
      <c r="E651" s="39">
        <f>IF(_xlfn.NORM.INV(R651,C651,'Regressão Grupo 2'!$B$7)&lt;=0,0,IF(_xlfn.NORM.INV(R651,C651,'Regressão Grupo 2'!$B$7)&gt;100%,100%,_xlfn.NORM.INV(R651,C651,'Regressão Grupo 2'!$B$7)))</f>
        <v>1</v>
      </c>
      <c r="F651" s="39">
        <f>IF(_xlfn.NORM.INV(S651,D651,'Regressão Grupo 2'!$B$7)&lt;=0,0,IF(_xlfn.NORM.INV(S651,D651,'Regressão Grupo 2'!$B$7)&gt;100%,100%,_xlfn.NORM.INV(S651,D651,'Regressão Grupo 2'!$B$7)))</f>
        <v>1</v>
      </c>
      <c r="G651" s="41">
        <v>1.7805245578618078E-2</v>
      </c>
      <c r="H651" s="41">
        <v>1.4553891662364277E-2</v>
      </c>
      <c r="I651" s="40">
        <f t="shared" si="122"/>
        <v>0</v>
      </c>
      <c r="J651" s="40">
        <f t="shared" si="123"/>
        <v>291.07783324728553</v>
      </c>
      <c r="K651" s="36">
        <v>0.24409478345081342</v>
      </c>
      <c r="L651" s="42">
        <f t="shared" si="128"/>
        <v>0</v>
      </c>
      <c r="M651" s="42">
        <f t="shared" si="128"/>
        <v>20000</v>
      </c>
      <c r="N651" s="42">
        <f t="shared" si="124"/>
        <v>4881.8956690162686</v>
      </c>
      <c r="O651" s="36">
        <v>5.0547782012599658</v>
      </c>
      <c r="P651" s="42">
        <f t="shared" si="125"/>
        <v>8200.6621069796456</v>
      </c>
      <c r="Q651" s="42"/>
      <c r="R651">
        <v>0.5033722952970977</v>
      </c>
      <c r="S651">
        <v>0.97048860133671067</v>
      </c>
    </row>
    <row r="652" spans="1:19" x14ac:dyDescent="0.25">
      <c r="A652" s="40">
        <f t="shared" si="126"/>
        <v>0</v>
      </c>
      <c r="B652" s="40">
        <f t="shared" si="127"/>
        <v>50</v>
      </c>
      <c r="C652" s="41">
        <f t="shared" si="120"/>
        <v>1.0313000000000001</v>
      </c>
      <c r="D652" s="41">
        <f t="shared" si="121"/>
        <v>0.88000000000000012</v>
      </c>
      <c r="E652" s="39">
        <f>IF(_xlfn.NORM.INV(R652,C652,'Regressão Grupo 2'!$B$7)&lt;=0,0,IF(_xlfn.NORM.INV(R652,C652,'Regressão Grupo 2'!$B$7)&gt;100%,100%,_xlfn.NORM.INV(R652,C652,'Regressão Grupo 2'!$B$7)))</f>
        <v>0.84796421265933275</v>
      </c>
      <c r="F652" s="39">
        <f>IF(_xlfn.NORM.INV(S652,D652,'Regressão Grupo 2'!$B$7)&lt;=0,0,IF(_xlfn.NORM.INV(S652,D652,'Regressão Grupo 2'!$B$7)&gt;100%,100%,_xlfn.NORM.INV(S652,D652,'Regressão Grupo 2'!$B$7)))</f>
        <v>0.75012582123129601</v>
      </c>
      <c r="G652" s="41">
        <v>2.1447075803449709E-2</v>
      </c>
      <c r="H652" s="41">
        <v>2.2875946860738107E-2</v>
      </c>
      <c r="I652" s="40">
        <f t="shared" si="122"/>
        <v>0</v>
      </c>
      <c r="J652" s="40">
        <f t="shared" si="123"/>
        <v>343.19676850709322</v>
      </c>
      <c r="K652" s="36">
        <v>0.37432976166044207</v>
      </c>
      <c r="L652" s="42">
        <f t="shared" si="128"/>
        <v>0</v>
      </c>
      <c r="M652" s="42">
        <f t="shared" si="128"/>
        <v>20000</v>
      </c>
      <c r="N652" s="42">
        <f t="shared" si="124"/>
        <v>7486.5952332088418</v>
      </c>
      <c r="O652" s="36">
        <v>5.6609260539109743</v>
      </c>
      <c r="P652" s="42">
        <f t="shared" si="125"/>
        <v>7730.4316636859621</v>
      </c>
      <c r="Q652" s="42"/>
      <c r="R652">
        <v>9.2440565202795491E-2</v>
      </c>
      <c r="S652">
        <v>0.17380291146580401</v>
      </c>
    </row>
    <row r="653" spans="1:19" x14ac:dyDescent="0.25">
      <c r="A653" s="40">
        <f t="shared" si="126"/>
        <v>0</v>
      </c>
      <c r="B653" s="40">
        <f t="shared" si="127"/>
        <v>50</v>
      </c>
      <c r="C653" s="41">
        <f t="shared" si="120"/>
        <v>1.0313000000000001</v>
      </c>
      <c r="D653" s="41">
        <f t="shared" si="121"/>
        <v>0.88000000000000012</v>
      </c>
      <c r="E653" s="39">
        <f>IF(_xlfn.NORM.INV(R653,C653,'Regressão Grupo 2'!$B$7)&lt;=0,0,IF(_xlfn.NORM.INV(R653,C653,'Regressão Grupo 2'!$B$7)&gt;100%,100%,_xlfn.NORM.INV(R653,C653,'Regressão Grupo 2'!$B$7)))</f>
        <v>0.78376447480024669</v>
      </c>
      <c r="F653" s="39">
        <f>IF(_xlfn.NORM.INV(S653,D653,'Regressão Grupo 2'!$B$7)&lt;=0,0,IF(_xlfn.NORM.INV(S653,D653,'Regressão Grupo 2'!$B$7)&gt;100%,100%,_xlfn.NORM.INV(S653,D653,'Regressão Grupo 2'!$B$7)))</f>
        <v>0.79974863978544286</v>
      </c>
      <c r="G653" s="41">
        <v>2.0290708133499688E-2</v>
      </c>
      <c r="H653" s="41">
        <v>2.556969718564453E-2</v>
      </c>
      <c r="I653" s="40">
        <f t="shared" si="122"/>
        <v>0</v>
      </c>
      <c r="J653" s="40">
        <f t="shared" si="123"/>
        <v>408.98661087889764</v>
      </c>
      <c r="K653" s="36">
        <v>0.25850281762828686</v>
      </c>
      <c r="L653" s="42">
        <f t="shared" si="128"/>
        <v>0</v>
      </c>
      <c r="M653" s="42">
        <f t="shared" si="128"/>
        <v>20000</v>
      </c>
      <c r="N653" s="42">
        <f t="shared" si="124"/>
        <v>5170.0563525657371</v>
      </c>
      <c r="O653" s="36">
        <v>3.3111711996236197</v>
      </c>
      <c r="P653" s="42">
        <f t="shared" si="125"/>
        <v>13925.049504405266</v>
      </c>
      <c r="Q653" s="42"/>
      <c r="R653">
        <v>3.671376689962462E-2</v>
      </c>
      <c r="S653">
        <v>0.28083132419812618</v>
      </c>
    </row>
    <row r="654" spans="1:19" x14ac:dyDescent="0.25">
      <c r="A654" s="40">
        <f t="shared" si="126"/>
        <v>0</v>
      </c>
      <c r="B654" s="40">
        <f t="shared" si="127"/>
        <v>50</v>
      </c>
      <c r="C654" s="41">
        <f t="shared" si="120"/>
        <v>1.0313000000000001</v>
      </c>
      <c r="D654" s="41">
        <f t="shared" si="121"/>
        <v>0.88000000000000012</v>
      </c>
      <c r="E654" s="39">
        <f>IF(_xlfn.NORM.INV(R654,C654,'Regressão Grupo 2'!$B$7)&lt;=0,0,IF(_xlfn.NORM.INV(R654,C654,'Regressão Grupo 2'!$B$7)&gt;100%,100%,_xlfn.NORM.INV(R654,C654,'Regressão Grupo 2'!$B$7)))</f>
        <v>0.84454562210404038</v>
      </c>
      <c r="F654" s="39">
        <f>IF(_xlfn.NORM.INV(S654,D654,'Regressão Grupo 2'!$B$7)&lt;=0,0,IF(_xlfn.NORM.INV(S654,D654,'Regressão Grupo 2'!$B$7)&gt;100%,100%,_xlfn.NORM.INV(S654,D654,'Regressão Grupo 2'!$B$7)))</f>
        <v>0.85572127529401021</v>
      </c>
      <c r="G654" s="41">
        <v>1.6458420773366438E-2</v>
      </c>
      <c r="H654" s="41">
        <v>1.8248312205823475E-2</v>
      </c>
      <c r="I654" s="40">
        <f t="shared" si="122"/>
        <v>0</v>
      </c>
      <c r="J654" s="40">
        <f t="shared" si="123"/>
        <v>312.30937985461031</v>
      </c>
      <c r="K654" s="36">
        <v>0.46579346757333129</v>
      </c>
      <c r="L654" s="42">
        <f t="shared" si="128"/>
        <v>0</v>
      </c>
      <c r="M654" s="42">
        <f t="shared" si="128"/>
        <v>20000</v>
      </c>
      <c r="N654" s="42">
        <f t="shared" si="124"/>
        <v>9315.8693514666265</v>
      </c>
      <c r="O654" s="36">
        <v>4.0012221178713201</v>
      </c>
      <c r="P654" s="42">
        <f t="shared" si="125"/>
        <v>5049.9804429709457</v>
      </c>
      <c r="Q654" s="42"/>
      <c r="R654">
        <v>8.8412121951963865E-2</v>
      </c>
      <c r="S654">
        <v>0.43031098361156039</v>
      </c>
    </row>
    <row r="655" spans="1:19" x14ac:dyDescent="0.25">
      <c r="A655" s="40">
        <f t="shared" si="126"/>
        <v>0</v>
      </c>
      <c r="B655" s="40">
        <f t="shared" si="127"/>
        <v>50</v>
      </c>
      <c r="C655" s="41">
        <f t="shared" si="120"/>
        <v>1.0313000000000001</v>
      </c>
      <c r="D655" s="41">
        <f t="shared" si="121"/>
        <v>0.88000000000000012</v>
      </c>
      <c r="E655" s="39">
        <f>IF(_xlfn.NORM.INV(R655,C655,'Regressão Grupo 2'!$B$7)&lt;=0,0,IF(_xlfn.NORM.INV(R655,C655,'Regressão Grupo 2'!$B$7)&gt;100%,100%,_xlfn.NORM.INV(R655,C655,'Regressão Grupo 2'!$B$7)))</f>
        <v>1</v>
      </c>
      <c r="F655" s="39">
        <f>IF(_xlfn.NORM.INV(S655,D655,'Regressão Grupo 2'!$B$7)&lt;=0,0,IF(_xlfn.NORM.INV(S655,D655,'Regressão Grupo 2'!$B$7)&gt;100%,100%,_xlfn.NORM.INV(S655,D655,'Regressão Grupo 2'!$B$7)))</f>
        <v>0.94248949792031556</v>
      </c>
      <c r="G655" s="41">
        <v>1.3196007881339114E-2</v>
      </c>
      <c r="H655" s="41">
        <v>1.5592797856130478E-2</v>
      </c>
      <c r="I655" s="40">
        <f t="shared" si="122"/>
        <v>0</v>
      </c>
      <c r="J655" s="40">
        <f t="shared" si="123"/>
        <v>293.92096445194773</v>
      </c>
      <c r="K655" s="36">
        <v>0.24396137784543892</v>
      </c>
      <c r="L655" s="42">
        <f t="shared" si="128"/>
        <v>0</v>
      </c>
      <c r="M655" s="42">
        <f t="shared" si="128"/>
        <v>20000</v>
      </c>
      <c r="N655" s="42">
        <f t="shared" si="124"/>
        <v>4879.2275569087788</v>
      </c>
      <c r="O655" s="36">
        <v>2.9541927985120879</v>
      </c>
      <c r="P655" s="42">
        <f t="shared" si="125"/>
        <v>8948.5214691729379</v>
      </c>
      <c r="Q655" s="42"/>
      <c r="R655">
        <v>0.45777764213995786</v>
      </c>
      <c r="S655">
        <v>0.674336985381634</v>
      </c>
    </row>
    <row r="656" spans="1:19" x14ac:dyDescent="0.25">
      <c r="A656" s="40">
        <f t="shared" si="126"/>
        <v>0</v>
      </c>
      <c r="B656" s="40">
        <f t="shared" si="127"/>
        <v>50</v>
      </c>
      <c r="C656" s="41">
        <f t="shared" si="120"/>
        <v>1.0313000000000001</v>
      </c>
      <c r="D656" s="41">
        <f t="shared" si="121"/>
        <v>0.88000000000000012</v>
      </c>
      <c r="E656" s="39">
        <f>IF(_xlfn.NORM.INV(R656,C656,'Regressão Grupo 2'!$B$7)&lt;=0,0,IF(_xlfn.NORM.INV(R656,C656,'Regressão Grupo 2'!$B$7)&gt;100%,100%,_xlfn.NORM.INV(R656,C656,'Regressão Grupo 2'!$B$7)))</f>
        <v>0.9390844389351265</v>
      </c>
      <c r="F656" s="39">
        <f>IF(_xlfn.NORM.INV(S656,D656,'Regressão Grupo 2'!$B$7)&lt;=0,0,IF(_xlfn.NORM.INV(S656,D656,'Regressão Grupo 2'!$B$7)&gt;100%,100%,_xlfn.NORM.INV(S656,D656,'Regressão Grupo 2'!$B$7)))</f>
        <v>1</v>
      </c>
      <c r="G656" s="41">
        <v>1.7960115431348792E-2</v>
      </c>
      <c r="H656" s="41">
        <v>8.5407069682805464E-3</v>
      </c>
      <c r="I656" s="40">
        <f t="shared" si="122"/>
        <v>0</v>
      </c>
      <c r="J656" s="40">
        <f t="shared" si="123"/>
        <v>170.81413936561091</v>
      </c>
      <c r="K656" s="36">
        <v>0.24840363768774362</v>
      </c>
      <c r="L656" s="42">
        <f t="shared" si="128"/>
        <v>0</v>
      </c>
      <c r="M656" s="42">
        <f t="shared" si="128"/>
        <v>20000</v>
      </c>
      <c r="N656" s="42">
        <f t="shared" si="124"/>
        <v>4968.0727537548728</v>
      </c>
      <c r="O656" s="36">
        <v>4.314118875438874</v>
      </c>
      <c r="P656" s="42">
        <f t="shared" si="125"/>
        <v>2835.721711696644</v>
      </c>
      <c r="Q656" s="42"/>
      <c r="R656">
        <v>0.25241859187597276</v>
      </c>
      <c r="S656">
        <v>0.96139408551286354</v>
      </c>
    </row>
    <row r="657" spans="1:19" x14ac:dyDescent="0.25">
      <c r="A657" s="40">
        <f t="shared" si="126"/>
        <v>0</v>
      </c>
      <c r="B657" s="40">
        <f t="shared" si="127"/>
        <v>50</v>
      </c>
      <c r="C657" s="41">
        <f t="shared" si="120"/>
        <v>1.0313000000000001</v>
      </c>
      <c r="D657" s="41">
        <f t="shared" si="121"/>
        <v>0.88000000000000012</v>
      </c>
      <c r="E657" s="39">
        <f>IF(_xlfn.NORM.INV(R657,C657,'Regressão Grupo 2'!$B$7)&lt;=0,0,IF(_xlfn.NORM.INV(R657,C657,'Regressão Grupo 2'!$B$7)&gt;100%,100%,_xlfn.NORM.INV(R657,C657,'Regressão Grupo 2'!$B$7)))</f>
        <v>1</v>
      </c>
      <c r="F657" s="39">
        <f>IF(_xlfn.NORM.INV(S657,D657,'Regressão Grupo 2'!$B$7)&lt;=0,0,IF(_xlfn.NORM.INV(S657,D657,'Regressão Grupo 2'!$B$7)&gt;100%,100%,_xlfn.NORM.INV(S657,D657,'Regressão Grupo 2'!$B$7)))</f>
        <v>0.84470832108991445</v>
      </c>
      <c r="G657" s="41">
        <v>1.4469228485302868E-2</v>
      </c>
      <c r="H657" s="41">
        <v>1.5285295337148503E-2</v>
      </c>
      <c r="I657" s="40">
        <f t="shared" si="122"/>
        <v>0</v>
      </c>
      <c r="J657" s="40">
        <f t="shared" si="123"/>
        <v>258.2323232321242</v>
      </c>
      <c r="K657" s="36">
        <v>0.30855778000610368</v>
      </c>
      <c r="L657" s="42">
        <f t="shared" si="128"/>
        <v>0</v>
      </c>
      <c r="M657" s="42">
        <f t="shared" si="128"/>
        <v>20000</v>
      </c>
      <c r="N657" s="42">
        <f t="shared" si="124"/>
        <v>6171.1556001220733</v>
      </c>
      <c r="O657" s="36">
        <v>7.1138166019948041</v>
      </c>
      <c r="P657" s="42">
        <f t="shared" si="125"/>
        <v>4903.4431733037645</v>
      </c>
      <c r="Q657" s="42"/>
      <c r="R657">
        <v>0.62532425916318246</v>
      </c>
      <c r="S657">
        <v>0.39927365947447124</v>
      </c>
    </row>
    <row r="658" spans="1:19" x14ac:dyDescent="0.25">
      <c r="A658" s="40">
        <f t="shared" si="126"/>
        <v>0</v>
      </c>
      <c r="B658" s="40">
        <f t="shared" si="127"/>
        <v>50</v>
      </c>
      <c r="C658" s="41">
        <f t="shared" si="120"/>
        <v>1.0313000000000001</v>
      </c>
      <c r="D658" s="41">
        <f t="shared" si="121"/>
        <v>0.88000000000000012</v>
      </c>
      <c r="E658" s="39">
        <f>IF(_xlfn.NORM.INV(R658,C658,'Regressão Grupo 2'!$B$7)&lt;=0,0,IF(_xlfn.NORM.INV(R658,C658,'Regressão Grupo 2'!$B$7)&gt;100%,100%,_xlfn.NORM.INV(R658,C658,'Regressão Grupo 2'!$B$7)))</f>
        <v>1</v>
      </c>
      <c r="F658" s="39">
        <f>IF(_xlfn.NORM.INV(S658,D658,'Regressão Grupo 2'!$B$7)&lt;=0,0,IF(_xlfn.NORM.INV(S658,D658,'Regressão Grupo 2'!$B$7)&gt;100%,100%,_xlfn.NORM.INV(S658,D658,'Regressão Grupo 2'!$B$7)))</f>
        <v>0.825401928325462</v>
      </c>
      <c r="G658" s="41">
        <v>1.6347824697412843E-2</v>
      </c>
      <c r="H658" s="41">
        <v>2.048343914856867E-2</v>
      </c>
      <c r="I658" s="40">
        <f t="shared" si="122"/>
        <v>0</v>
      </c>
      <c r="J658" s="40">
        <f t="shared" si="123"/>
        <v>338.14140343931683</v>
      </c>
      <c r="K658" s="36">
        <v>0.27932821427924959</v>
      </c>
      <c r="L658" s="42">
        <f t="shared" si="128"/>
        <v>0</v>
      </c>
      <c r="M658" s="42">
        <f t="shared" si="128"/>
        <v>20000</v>
      </c>
      <c r="N658" s="42">
        <f t="shared" si="124"/>
        <v>5586.5642855849919</v>
      </c>
      <c r="O658" s="36">
        <v>3.9571084104391456</v>
      </c>
      <c r="P658" s="42">
        <f t="shared" si="125"/>
        <v>9982.4436949134324</v>
      </c>
      <c r="Q658" s="42"/>
      <c r="R658">
        <v>0.86547441022980443</v>
      </c>
      <c r="S658">
        <v>0.3464766380809961</v>
      </c>
    </row>
    <row r="659" spans="1:19" x14ac:dyDescent="0.25">
      <c r="A659" s="40">
        <f t="shared" si="126"/>
        <v>0</v>
      </c>
      <c r="B659" s="40">
        <f t="shared" si="127"/>
        <v>50</v>
      </c>
      <c r="C659" s="41">
        <f t="shared" si="120"/>
        <v>1.0313000000000001</v>
      </c>
      <c r="D659" s="41">
        <f t="shared" si="121"/>
        <v>0.88000000000000012</v>
      </c>
      <c r="E659" s="39">
        <f>IF(_xlfn.NORM.INV(R659,C659,'Regressão Grupo 2'!$B$7)&lt;=0,0,IF(_xlfn.NORM.INV(R659,C659,'Regressão Grupo 2'!$B$7)&gt;100%,100%,_xlfn.NORM.INV(R659,C659,'Regressão Grupo 2'!$B$7)))</f>
        <v>0.77849343669441606</v>
      </c>
      <c r="F659" s="39">
        <f>IF(_xlfn.NORM.INV(S659,D659,'Regressão Grupo 2'!$B$7)&lt;=0,0,IF(_xlfn.NORM.INV(S659,D659,'Regressão Grupo 2'!$B$7)&gt;100%,100%,_xlfn.NORM.INV(S659,D659,'Regressão Grupo 2'!$B$7)))</f>
        <v>0.98388733434640829</v>
      </c>
      <c r="G659" s="41">
        <v>1.3530657131959185E-2</v>
      </c>
      <c r="H659" s="41">
        <v>1.9537746722224945E-2</v>
      </c>
      <c r="I659" s="40">
        <f t="shared" si="122"/>
        <v>0</v>
      </c>
      <c r="J659" s="40">
        <f t="shared" si="123"/>
        <v>384.45883083330358</v>
      </c>
      <c r="K659" s="36">
        <v>0.39741488664292995</v>
      </c>
      <c r="L659" s="42">
        <f t="shared" si="128"/>
        <v>0</v>
      </c>
      <c r="M659" s="42">
        <f t="shared" si="128"/>
        <v>20000</v>
      </c>
      <c r="N659" s="42">
        <f t="shared" si="124"/>
        <v>7948.2977328585994</v>
      </c>
      <c r="O659" s="36">
        <v>6.256063315706311</v>
      </c>
      <c r="P659" s="42">
        <f t="shared" si="125"/>
        <v>8869.4450208310118</v>
      </c>
      <c r="Q659" s="42"/>
      <c r="R659">
        <v>3.3753471480452893E-2</v>
      </c>
      <c r="S659">
        <v>0.7737662892544328</v>
      </c>
    </row>
    <row r="660" spans="1:19" x14ac:dyDescent="0.25">
      <c r="A660" s="40">
        <f t="shared" si="126"/>
        <v>0</v>
      </c>
      <c r="B660" s="40">
        <f t="shared" si="127"/>
        <v>50</v>
      </c>
      <c r="C660" s="41">
        <f t="shared" si="120"/>
        <v>1.0313000000000001</v>
      </c>
      <c r="D660" s="41">
        <f t="shared" si="121"/>
        <v>0.88000000000000012</v>
      </c>
      <c r="E660" s="39">
        <f>IF(_xlfn.NORM.INV(R660,C660,'Regressão Grupo 2'!$B$7)&lt;=0,0,IF(_xlfn.NORM.INV(R660,C660,'Regressão Grupo 2'!$B$7)&gt;100%,100%,_xlfn.NORM.INV(R660,C660,'Regressão Grupo 2'!$B$7)))</f>
        <v>0.82667687108688248</v>
      </c>
      <c r="F660" s="39">
        <f>IF(_xlfn.NORM.INV(S660,D660,'Regressão Grupo 2'!$B$7)&lt;=0,0,IF(_xlfn.NORM.INV(S660,D660,'Regressão Grupo 2'!$B$7)&gt;100%,100%,_xlfn.NORM.INV(S660,D660,'Regressão Grupo 2'!$B$7)))</f>
        <v>0.83453971208890942</v>
      </c>
      <c r="G660" s="41">
        <v>1.1734067442986737E-2</v>
      </c>
      <c r="H660" s="41">
        <v>1.5957686038456039E-2</v>
      </c>
      <c r="I660" s="40">
        <f t="shared" si="122"/>
        <v>0</v>
      </c>
      <c r="J660" s="40">
        <f t="shared" si="123"/>
        <v>266.34645424276624</v>
      </c>
      <c r="K660" s="36">
        <v>0.28571900424622143</v>
      </c>
      <c r="L660" s="42">
        <f t="shared" si="128"/>
        <v>0</v>
      </c>
      <c r="M660" s="42">
        <f t="shared" si="128"/>
        <v>20000</v>
      </c>
      <c r="N660" s="42">
        <f t="shared" si="124"/>
        <v>5714.380084924429</v>
      </c>
      <c r="O660" s="36">
        <v>6.3138115619664488</v>
      </c>
      <c r="P660" s="42">
        <f t="shared" si="125"/>
        <v>5921.2813049271372</v>
      </c>
      <c r="Q660" s="42"/>
      <c r="R660">
        <v>6.9460127567369606E-2</v>
      </c>
      <c r="S660">
        <v>0.37116611224707785</v>
      </c>
    </row>
    <row r="661" spans="1:19" x14ac:dyDescent="0.25">
      <c r="A661" s="40">
        <f t="shared" si="126"/>
        <v>0</v>
      </c>
      <c r="B661" s="40">
        <f t="shared" si="127"/>
        <v>50</v>
      </c>
      <c r="C661" s="41">
        <f t="shared" si="120"/>
        <v>1.0313000000000001</v>
      </c>
      <c r="D661" s="41">
        <f t="shared" si="121"/>
        <v>0.88000000000000012</v>
      </c>
      <c r="E661" s="39">
        <f>IF(_xlfn.NORM.INV(R661,C661,'Regressão Grupo 2'!$B$7)&lt;=0,0,IF(_xlfn.NORM.INV(R661,C661,'Regressão Grupo 2'!$B$7)&gt;100%,100%,_xlfn.NORM.INV(R661,C661,'Regressão Grupo 2'!$B$7)))</f>
        <v>0.91098215390380177</v>
      </c>
      <c r="F661" s="39">
        <f>IF(_xlfn.NORM.INV(S661,D661,'Regressão Grupo 2'!$B$7)&lt;=0,0,IF(_xlfn.NORM.INV(S661,D661,'Regressão Grupo 2'!$B$7)&gt;100%,100%,_xlfn.NORM.INV(S661,D661,'Regressão Grupo 2'!$B$7)))</f>
        <v>0.74999422464776544</v>
      </c>
      <c r="G661" s="41">
        <v>2.7187957800930841E-2</v>
      </c>
      <c r="H661" s="41">
        <v>1.242543871160706E-2</v>
      </c>
      <c r="I661" s="40">
        <f t="shared" si="122"/>
        <v>0</v>
      </c>
      <c r="J661" s="40">
        <f t="shared" si="123"/>
        <v>186.38014544840132</v>
      </c>
      <c r="K661" s="36">
        <v>0.34950424103993555</v>
      </c>
      <c r="L661" s="42">
        <f t="shared" si="128"/>
        <v>0</v>
      </c>
      <c r="M661" s="42">
        <f t="shared" si="128"/>
        <v>20000</v>
      </c>
      <c r="N661" s="42">
        <f t="shared" si="124"/>
        <v>6990.084820798711</v>
      </c>
      <c r="O661" s="36">
        <v>5.1719720045701898</v>
      </c>
      <c r="P661" s="42">
        <f t="shared" si="125"/>
        <v>1364.9695571545035</v>
      </c>
      <c r="Q661" s="42"/>
      <c r="R661">
        <v>0.19211401715140233</v>
      </c>
      <c r="S661">
        <v>0.17355876338999604</v>
      </c>
    </row>
    <row r="662" spans="1:19" x14ac:dyDescent="0.25">
      <c r="A662" s="40">
        <f t="shared" si="126"/>
        <v>0</v>
      </c>
      <c r="B662" s="40">
        <f t="shared" si="127"/>
        <v>50</v>
      </c>
      <c r="C662" s="41">
        <f t="shared" si="120"/>
        <v>1.0313000000000001</v>
      </c>
      <c r="D662" s="41">
        <f t="shared" si="121"/>
        <v>0.88000000000000012</v>
      </c>
      <c r="E662" s="39">
        <f>IF(_xlfn.NORM.INV(R662,C662,'Regressão Grupo 2'!$B$7)&lt;=0,0,IF(_xlfn.NORM.INV(R662,C662,'Regressão Grupo 2'!$B$7)&gt;100%,100%,_xlfn.NORM.INV(R662,C662,'Regressão Grupo 2'!$B$7)))</f>
        <v>1</v>
      </c>
      <c r="F662" s="39">
        <f>IF(_xlfn.NORM.INV(S662,D662,'Regressão Grupo 2'!$B$7)&lt;=0,0,IF(_xlfn.NORM.INV(S662,D662,'Regressão Grupo 2'!$B$7)&gt;100%,100%,_xlfn.NORM.INV(S662,D662,'Regressão Grupo 2'!$B$7)))</f>
        <v>0.74715261623967244</v>
      </c>
      <c r="G662" s="41">
        <v>1.2161338310003404E-2</v>
      </c>
      <c r="H662" s="41">
        <v>1.9489990599832082E-2</v>
      </c>
      <c r="I662" s="40">
        <f t="shared" si="122"/>
        <v>0</v>
      </c>
      <c r="J662" s="40">
        <f t="shared" si="123"/>
        <v>291.23994934302328</v>
      </c>
      <c r="K662" s="36">
        <v>0.1354202193927917</v>
      </c>
      <c r="L662" s="42">
        <f t="shared" si="128"/>
        <v>0</v>
      </c>
      <c r="M662" s="42">
        <f t="shared" si="128"/>
        <v>20000</v>
      </c>
      <c r="N662" s="42">
        <f t="shared" si="124"/>
        <v>2708.4043878558341</v>
      </c>
      <c r="O662" s="36">
        <v>6.7813995387831056</v>
      </c>
      <c r="P662" s="42">
        <f t="shared" si="125"/>
        <v>9878.5786211453378</v>
      </c>
      <c r="Q662" s="42"/>
      <c r="R662">
        <v>0.52864162114322333</v>
      </c>
      <c r="S662">
        <v>0.1683400982696005</v>
      </c>
    </row>
    <row r="663" spans="1:19" x14ac:dyDescent="0.25">
      <c r="A663" s="40">
        <f t="shared" si="126"/>
        <v>0</v>
      </c>
      <c r="B663" s="40">
        <f t="shared" si="127"/>
        <v>50</v>
      </c>
      <c r="C663" s="41">
        <f t="shared" si="120"/>
        <v>1.0313000000000001</v>
      </c>
      <c r="D663" s="41">
        <f t="shared" si="121"/>
        <v>0.88000000000000012</v>
      </c>
      <c r="E663" s="39">
        <f>IF(_xlfn.NORM.INV(R663,C663,'Regressão Grupo 2'!$B$7)&lt;=0,0,IF(_xlfn.NORM.INV(R663,C663,'Regressão Grupo 2'!$B$7)&gt;100%,100%,_xlfn.NORM.INV(R663,C663,'Regressão Grupo 2'!$B$7)))</f>
        <v>1</v>
      </c>
      <c r="F663" s="39">
        <f>IF(_xlfn.NORM.INV(S663,D663,'Regressão Grupo 2'!$B$7)&lt;=0,0,IF(_xlfn.NORM.INV(S663,D663,'Regressão Grupo 2'!$B$7)&gt;100%,100%,_xlfn.NORM.INV(S663,D663,'Regressão Grupo 2'!$B$7)))</f>
        <v>0.89850819928227765</v>
      </c>
      <c r="G663" s="41">
        <v>2.782446043853504E-2</v>
      </c>
      <c r="H663" s="41">
        <v>2.3526379414798845E-2</v>
      </c>
      <c r="I663" s="40">
        <f t="shared" si="122"/>
        <v>0</v>
      </c>
      <c r="J663" s="40">
        <f t="shared" si="123"/>
        <v>422.77289607245109</v>
      </c>
      <c r="K663" s="36">
        <v>0.26255480502350725</v>
      </c>
      <c r="L663" s="42">
        <f t="shared" ref="L663:M678" si="129">L662</f>
        <v>0</v>
      </c>
      <c r="M663" s="42">
        <f t="shared" si="129"/>
        <v>20000</v>
      </c>
      <c r="N663" s="42">
        <f t="shared" si="124"/>
        <v>5251.0961004701448</v>
      </c>
      <c r="O663" s="36">
        <v>8.0352912300288217</v>
      </c>
      <c r="P663" s="42">
        <f t="shared" si="125"/>
        <v>12490.445359047557</v>
      </c>
      <c r="Q663" s="42"/>
      <c r="R663">
        <v>0.82537308877834403</v>
      </c>
      <c r="S663">
        <v>0.55323953978087714</v>
      </c>
    </row>
    <row r="664" spans="1:19" x14ac:dyDescent="0.25">
      <c r="A664" s="40">
        <f t="shared" si="126"/>
        <v>0</v>
      </c>
      <c r="B664" s="40">
        <f t="shared" si="127"/>
        <v>50</v>
      </c>
      <c r="C664" s="41">
        <f t="shared" si="120"/>
        <v>1.0313000000000001</v>
      </c>
      <c r="D664" s="41">
        <f t="shared" si="121"/>
        <v>0.88000000000000012</v>
      </c>
      <c r="E664" s="39">
        <f>IF(_xlfn.NORM.INV(R664,C664,'Regressão Grupo 2'!$B$7)&lt;=0,0,IF(_xlfn.NORM.INV(R664,C664,'Regressão Grupo 2'!$B$7)&gt;100%,100%,_xlfn.NORM.INV(R664,C664,'Regressão Grupo 2'!$B$7)))</f>
        <v>1</v>
      </c>
      <c r="F664" s="39">
        <f>IF(_xlfn.NORM.INV(S664,D664,'Regressão Grupo 2'!$B$7)&lt;=0,0,IF(_xlfn.NORM.INV(S664,D664,'Regressão Grupo 2'!$B$7)&gt;100%,100%,_xlfn.NORM.INV(S664,D664,'Regressão Grupo 2'!$B$7)))</f>
        <v>0.74146882508786027</v>
      </c>
      <c r="G664" s="41">
        <v>1.8008349032073774E-2</v>
      </c>
      <c r="H664" s="41">
        <v>1.7854934140257243E-2</v>
      </c>
      <c r="I664" s="40">
        <f t="shared" si="122"/>
        <v>0</v>
      </c>
      <c r="J664" s="40">
        <f t="shared" si="123"/>
        <v>264.77754077995326</v>
      </c>
      <c r="K664" s="36">
        <v>0.34848180415582097</v>
      </c>
      <c r="L664" s="42">
        <f t="shared" si="129"/>
        <v>0</v>
      </c>
      <c r="M664" s="42">
        <f t="shared" si="129"/>
        <v>20000</v>
      </c>
      <c r="N664" s="42">
        <f t="shared" si="124"/>
        <v>6969.6360831164193</v>
      </c>
      <c r="O664" s="36">
        <v>4.6948233450811969</v>
      </c>
      <c r="P664" s="42">
        <f t="shared" si="125"/>
        <v>5026.1571761743317</v>
      </c>
      <c r="Q664" s="42"/>
      <c r="R664">
        <v>0.49110385448774679</v>
      </c>
      <c r="S664">
        <v>0.15820795312356944</v>
      </c>
    </row>
    <row r="665" spans="1:19" x14ac:dyDescent="0.25">
      <c r="A665" s="40">
        <f t="shared" si="126"/>
        <v>0</v>
      </c>
      <c r="B665" s="40">
        <f t="shared" si="127"/>
        <v>50</v>
      </c>
      <c r="C665" s="41">
        <f t="shared" si="120"/>
        <v>1.0313000000000001</v>
      </c>
      <c r="D665" s="41">
        <f t="shared" si="121"/>
        <v>0.88000000000000012</v>
      </c>
      <c r="E665" s="39">
        <f>IF(_xlfn.NORM.INV(R665,C665,'Regressão Grupo 2'!$B$7)&lt;=0,0,IF(_xlfn.NORM.INV(R665,C665,'Regressão Grupo 2'!$B$7)&gt;100%,100%,_xlfn.NORM.INV(R665,C665,'Regressão Grupo 2'!$B$7)))</f>
        <v>1</v>
      </c>
      <c r="F665" s="39">
        <f>IF(_xlfn.NORM.INV(S665,D665,'Regressão Grupo 2'!$B$7)&lt;=0,0,IF(_xlfn.NORM.INV(S665,D665,'Regressão Grupo 2'!$B$7)&gt;100%,100%,_xlfn.NORM.INV(S665,D665,'Regressão Grupo 2'!$B$7)))</f>
        <v>0.74061001163515316</v>
      </c>
      <c r="G665" s="41">
        <v>9.7928831007703752E-3</v>
      </c>
      <c r="H665" s="41">
        <v>2.2054624619634308E-2</v>
      </c>
      <c r="I665" s="40">
        <f t="shared" si="122"/>
        <v>0</v>
      </c>
      <c r="J665" s="40">
        <f t="shared" si="123"/>
        <v>326.67751592312595</v>
      </c>
      <c r="K665" s="36">
        <v>0.18632616411976904</v>
      </c>
      <c r="L665" s="42">
        <f t="shared" si="129"/>
        <v>0</v>
      </c>
      <c r="M665" s="42">
        <f t="shared" si="129"/>
        <v>20000</v>
      </c>
      <c r="N665" s="42">
        <f t="shared" si="124"/>
        <v>3726.5232823953811</v>
      </c>
      <c r="O665" s="36">
        <v>10.430132477745993</v>
      </c>
      <c r="P665" s="42">
        <f t="shared" si="125"/>
        <v>9200.0627451817363</v>
      </c>
      <c r="Q665" s="42"/>
      <c r="R665">
        <v>0.67912839136936554</v>
      </c>
      <c r="S665">
        <v>0.15671254615924557</v>
      </c>
    </row>
    <row r="666" spans="1:19" x14ac:dyDescent="0.25">
      <c r="A666" s="40">
        <f t="shared" si="126"/>
        <v>0</v>
      </c>
      <c r="B666" s="40">
        <f t="shared" si="127"/>
        <v>50</v>
      </c>
      <c r="C666" s="41">
        <f t="shared" si="120"/>
        <v>1.0313000000000001</v>
      </c>
      <c r="D666" s="41">
        <f t="shared" si="121"/>
        <v>0.88000000000000012</v>
      </c>
      <c r="E666" s="39">
        <f>IF(_xlfn.NORM.INV(R666,C666,'Regressão Grupo 2'!$B$7)&lt;=0,0,IF(_xlfn.NORM.INV(R666,C666,'Regressão Grupo 2'!$B$7)&gt;100%,100%,_xlfn.NORM.INV(R666,C666,'Regressão Grupo 2'!$B$7)))</f>
        <v>0.95158631478783207</v>
      </c>
      <c r="F666" s="39">
        <f>IF(_xlfn.NORM.INV(S666,D666,'Regressão Grupo 2'!$B$7)&lt;=0,0,IF(_xlfn.NORM.INV(S666,D666,'Regressão Grupo 2'!$B$7)&gt;100%,100%,_xlfn.NORM.INV(S666,D666,'Regressão Grupo 2'!$B$7)))</f>
        <v>0.94994010840315113</v>
      </c>
      <c r="G666" s="41">
        <v>1.8445226375858638E-2</v>
      </c>
      <c r="H666" s="41">
        <v>2.2920461530534401E-2</v>
      </c>
      <c r="I666" s="40">
        <f t="shared" si="122"/>
        <v>0</v>
      </c>
      <c r="J666" s="40">
        <f t="shared" si="123"/>
        <v>435.46131421932205</v>
      </c>
      <c r="K666" s="36">
        <v>0.32901956487225748</v>
      </c>
      <c r="L666" s="42">
        <f t="shared" si="129"/>
        <v>0</v>
      </c>
      <c r="M666" s="42">
        <f t="shared" si="129"/>
        <v>20000</v>
      </c>
      <c r="N666" s="42">
        <f t="shared" si="124"/>
        <v>6580.3912974451496</v>
      </c>
      <c r="O666" s="36">
        <v>4.7511152043613425</v>
      </c>
      <c r="P666" s="42">
        <f t="shared" si="125"/>
        <v>13123.747542622365</v>
      </c>
      <c r="Q666" s="42"/>
      <c r="R666">
        <v>0.28214362010559402</v>
      </c>
      <c r="S666">
        <v>0.69350260933256025</v>
      </c>
    </row>
    <row r="667" spans="1:19" x14ac:dyDescent="0.25">
      <c r="A667" s="40">
        <f t="shared" si="126"/>
        <v>0</v>
      </c>
      <c r="B667" s="40">
        <f t="shared" si="127"/>
        <v>50</v>
      </c>
      <c r="C667" s="41">
        <f t="shared" si="120"/>
        <v>1.0313000000000001</v>
      </c>
      <c r="D667" s="41">
        <f t="shared" si="121"/>
        <v>0.88000000000000012</v>
      </c>
      <c r="E667" s="39">
        <f>IF(_xlfn.NORM.INV(R667,C667,'Regressão Grupo 2'!$B$7)&lt;=0,0,IF(_xlfn.NORM.INV(R667,C667,'Regressão Grupo 2'!$B$7)&gt;100%,100%,_xlfn.NORM.INV(R667,C667,'Regressão Grupo 2'!$B$7)))</f>
        <v>0.91948304575834849</v>
      </c>
      <c r="F667" s="39">
        <f>IF(_xlfn.NORM.INV(S667,D667,'Regressão Grupo 2'!$B$7)&lt;=0,0,IF(_xlfn.NORM.INV(S667,D667,'Regressão Grupo 2'!$B$7)&gt;100%,100%,_xlfn.NORM.INV(S667,D667,'Regressão Grupo 2'!$B$7)))</f>
        <v>0.90566570980220729</v>
      </c>
      <c r="G667" s="41">
        <v>1.620033193000954E-2</v>
      </c>
      <c r="H667" s="41">
        <v>1.3156640198781391E-2</v>
      </c>
      <c r="I667" s="40">
        <f t="shared" si="122"/>
        <v>0</v>
      </c>
      <c r="J667" s="40">
        <f t="shared" si="123"/>
        <v>238.31035768483204</v>
      </c>
      <c r="K667" s="36">
        <v>0.30346856197415306</v>
      </c>
      <c r="L667" s="42">
        <f t="shared" si="129"/>
        <v>0</v>
      </c>
      <c r="M667" s="42">
        <f t="shared" si="129"/>
        <v>20000</v>
      </c>
      <c r="N667" s="42">
        <f t="shared" si="124"/>
        <v>6069.3712394830609</v>
      </c>
      <c r="O667" s="36">
        <v>6.0428671339994775</v>
      </c>
      <c r="P667" s="42">
        <f t="shared" si="125"/>
        <v>4406.0688166132104</v>
      </c>
      <c r="Q667" s="42"/>
      <c r="R667">
        <v>0.20935697500534073</v>
      </c>
      <c r="S667">
        <v>0.57362590411084324</v>
      </c>
    </row>
    <row r="668" spans="1:19" x14ac:dyDescent="0.25">
      <c r="A668" s="40">
        <f t="shared" si="126"/>
        <v>0</v>
      </c>
      <c r="B668" s="40">
        <f t="shared" si="127"/>
        <v>50</v>
      </c>
      <c r="C668" s="41">
        <f t="shared" si="120"/>
        <v>1.0313000000000001</v>
      </c>
      <c r="D668" s="41">
        <f t="shared" si="121"/>
        <v>0.88000000000000012</v>
      </c>
      <c r="E668" s="39">
        <f>IF(_xlfn.NORM.INV(R668,C668,'Regressão Grupo 2'!$B$7)&lt;=0,0,IF(_xlfn.NORM.INV(R668,C668,'Regressão Grupo 2'!$B$7)&gt;100%,100%,_xlfn.NORM.INV(R668,C668,'Regressão Grupo 2'!$B$7)))</f>
        <v>1</v>
      </c>
      <c r="F668" s="39">
        <f>IF(_xlfn.NORM.INV(S668,D668,'Regressão Grupo 2'!$B$7)&lt;=0,0,IF(_xlfn.NORM.INV(S668,D668,'Regressão Grupo 2'!$B$7)&gt;100%,100%,_xlfn.NORM.INV(S668,D668,'Regressão Grupo 2'!$B$7)))</f>
        <v>1</v>
      </c>
      <c r="G668" s="41">
        <v>9.4957189701743265E-3</v>
      </c>
      <c r="H668" s="41">
        <v>1.2519468881627265E-2</v>
      </c>
      <c r="I668" s="40">
        <f t="shared" si="122"/>
        <v>0</v>
      </c>
      <c r="J668" s="40">
        <f t="shared" si="123"/>
        <v>250.38937763254529</v>
      </c>
      <c r="K668" s="36">
        <v>0.18417102034485239</v>
      </c>
      <c r="L668" s="42">
        <f t="shared" si="129"/>
        <v>0</v>
      </c>
      <c r="M668" s="42">
        <f t="shared" si="129"/>
        <v>20000</v>
      </c>
      <c r="N668" s="42">
        <f t="shared" si="124"/>
        <v>3683.4204068970475</v>
      </c>
      <c r="O668" s="36">
        <v>4.6913098676501264</v>
      </c>
      <c r="P668" s="42">
        <f t="shared" si="125"/>
        <v>7661.3943166878844</v>
      </c>
      <c r="Q668" s="42"/>
      <c r="R668">
        <v>0.76042970061342208</v>
      </c>
      <c r="S668">
        <v>0.81591235084078495</v>
      </c>
    </row>
    <row r="669" spans="1:19" x14ac:dyDescent="0.25">
      <c r="A669" s="40">
        <f t="shared" si="126"/>
        <v>0</v>
      </c>
      <c r="B669" s="40">
        <f t="shared" si="127"/>
        <v>50</v>
      </c>
      <c r="C669" s="41">
        <f t="shared" si="120"/>
        <v>1.0313000000000001</v>
      </c>
      <c r="D669" s="41">
        <f t="shared" si="121"/>
        <v>0.88000000000000012</v>
      </c>
      <c r="E669" s="39">
        <f>IF(_xlfn.NORM.INV(R669,C669,'Regressão Grupo 2'!$B$7)&lt;=0,0,IF(_xlfn.NORM.INV(R669,C669,'Regressão Grupo 2'!$B$7)&gt;100%,100%,_xlfn.NORM.INV(R669,C669,'Regressão Grupo 2'!$B$7)))</f>
        <v>1</v>
      </c>
      <c r="F669" s="39">
        <f>IF(_xlfn.NORM.INV(S669,D669,'Regressão Grupo 2'!$B$7)&lt;=0,0,IF(_xlfn.NORM.INV(S669,D669,'Regressão Grupo 2'!$B$7)&gt;100%,100%,_xlfn.NORM.INV(S669,D669,'Regressão Grupo 2'!$B$7)))</f>
        <v>0.99510515274172728</v>
      </c>
      <c r="G669" s="41">
        <v>1.808894418725682E-2</v>
      </c>
      <c r="H669" s="41">
        <v>1.9146231628138187E-2</v>
      </c>
      <c r="I669" s="40">
        <f t="shared" si="122"/>
        <v>0</v>
      </c>
      <c r="J669" s="40">
        <f t="shared" si="123"/>
        <v>381.05027497493882</v>
      </c>
      <c r="K669" s="36">
        <v>0.1484996274166937</v>
      </c>
      <c r="L669" s="42">
        <f t="shared" si="129"/>
        <v>0</v>
      </c>
      <c r="M669" s="42">
        <f t="shared" si="129"/>
        <v>20000</v>
      </c>
      <c r="N669" s="42">
        <f t="shared" si="124"/>
        <v>2969.9925483338739</v>
      </c>
      <c r="O669" s="36">
        <v>6.201171875</v>
      </c>
      <c r="P669" s="42">
        <f t="shared" si="125"/>
        <v>13719.562952277458</v>
      </c>
      <c r="Q669" s="42"/>
      <c r="R669">
        <v>0.93801690725424969</v>
      </c>
      <c r="S669">
        <v>0.79741813409833062</v>
      </c>
    </row>
    <row r="670" spans="1:19" x14ac:dyDescent="0.25">
      <c r="A670" s="40">
        <f t="shared" si="126"/>
        <v>0</v>
      </c>
      <c r="B670" s="40">
        <f t="shared" si="127"/>
        <v>50</v>
      </c>
      <c r="C670" s="41">
        <f t="shared" si="120"/>
        <v>1.0313000000000001</v>
      </c>
      <c r="D670" s="41">
        <f t="shared" si="121"/>
        <v>0.88000000000000012</v>
      </c>
      <c r="E670" s="39">
        <f>IF(_xlfn.NORM.INV(R670,C670,'Regressão Grupo 2'!$B$7)&lt;=0,0,IF(_xlfn.NORM.INV(R670,C670,'Regressão Grupo 2'!$B$7)&gt;100%,100%,_xlfn.NORM.INV(R670,C670,'Regressão Grupo 2'!$B$7)))</f>
        <v>1</v>
      </c>
      <c r="F670" s="39">
        <f>IF(_xlfn.NORM.INV(S670,D670,'Regressão Grupo 2'!$B$7)&lt;=0,0,IF(_xlfn.NORM.INV(S670,D670,'Regressão Grupo 2'!$B$7)&gt;100%,100%,_xlfn.NORM.INV(S670,D670,'Regressão Grupo 2'!$B$7)))</f>
        <v>0.62024148077261465</v>
      </c>
      <c r="G670" s="41">
        <v>2.6742171363047216E-2</v>
      </c>
      <c r="H670" s="41">
        <v>2.0499448340521923E-2</v>
      </c>
      <c r="I670" s="40">
        <f t="shared" si="122"/>
        <v>0</v>
      </c>
      <c r="J670" s="40">
        <f t="shared" si="123"/>
        <v>254.29216387494071</v>
      </c>
      <c r="K670" s="36">
        <v>0.35745370044299635</v>
      </c>
      <c r="L670" s="42">
        <f t="shared" si="129"/>
        <v>0</v>
      </c>
      <c r="M670" s="42">
        <f t="shared" si="129"/>
        <v>20000</v>
      </c>
      <c r="N670" s="42">
        <f t="shared" si="124"/>
        <v>7149.0740088599268</v>
      </c>
      <c r="O670" s="36">
        <v>5.4454573638104717</v>
      </c>
      <c r="P670" s="42">
        <f t="shared" si="125"/>
        <v>4180.797048555014</v>
      </c>
      <c r="Q670" s="42"/>
      <c r="R670">
        <v>0.76827295754875335</v>
      </c>
      <c r="S670">
        <v>3.0152287362285226E-2</v>
      </c>
    </row>
    <row r="671" spans="1:19" x14ac:dyDescent="0.25">
      <c r="A671" s="40">
        <f t="shared" si="126"/>
        <v>0</v>
      </c>
      <c r="B671" s="40">
        <f t="shared" si="127"/>
        <v>50</v>
      </c>
      <c r="C671" s="41">
        <f t="shared" si="120"/>
        <v>1.0313000000000001</v>
      </c>
      <c r="D671" s="41">
        <f t="shared" si="121"/>
        <v>0.88000000000000012</v>
      </c>
      <c r="E671" s="39">
        <f>IF(_xlfn.NORM.INV(R671,C671,'Regressão Grupo 2'!$B$7)&lt;=0,0,IF(_xlfn.NORM.INV(R671,C671,'Regressão Grupo 2'!$B$7)&gt;100%,100%,_xlfn.NORM.INV(R671,C671,'Regressão Grupo 2'!$B$7)))</f>
        <v>1</v>
      </c>
      <c r="F671" s="39">
        <f>IF(_xlfn.NORM.INV(S671,D671,'Regressão Grupo 2'!$B$7)&lt;=0,0,IF(_xlfn.NORM.INV(S671,D671,'Regressão Grupo 2'!$B$7)&gt;100%,100%,_xlfn.NORM.INV(S671,D671,'Regressão Grupo 2'!$B$7)))</f>
        <v>0.85977196541174306</v>
      </c>
      <c r="G671" s="41">
        <v>1.6422491481254412E-2</v>
      </c>
      <c r="H671" s="41">
        <v>5.9558524544491087E-3</v>
      </c>
      <c r="I671" s="40">
        <f t="shared" si="122"/>
        <v>0</v>
      </c>
      <c r="J671" s="40">
        <f t="shared" si="123"/>
        <v>102.41349940928127</v>
      </c>
      <c r="K671" s="36">
        <v>0.42600510475651221</v>
      </c>
      <c r="L671" s="42">
        <f t="shared" si="129"/>
        <v>0</v>
      </c>
      <c r="M671" s="42">
        <f t="shared" si="129"/>
        <v>20000</v>
      </c>
      <c r="N671" s="42">
        <f t="shared" si="124"/>
        <v>8520.1020951302435</v>
      </c>
      <c r="O671" s="36">
        <v>4.8354757264036152</v>
      </c>
      <c r="P671" s="42">
        <f t="shared" si="125"/>
        <v>-3894.6451151158108</v>
      </c>
      <c r="Q671" s="42"/>
      <c r="R671">
        <v>0.75563829462569043</v>
      </c>
      <c r="S671">
        <v>0.44184698019348734</v>
      </c>
    </row>
    <row r="672" spans="1:19" x14ac:dyDescent="0.25">
      <c r="A672" s="40">
        <f t="shared" si="126"/>
        <v>0</v>
      </c>
      <c r="B672" s="40">
        <f t="shared" si="127"/>
        <v>50</v>
      </c>
      <c r="C672" s="41">
        <f t="shared" si="120"/>
        <v>1.0313000000000001</v>
      </c>
      <c r="D672" s="41">
        <f t="shared" si="121"/>
        <v>0.88000000000000012</v>
      </c>
      <c r="E672" s="39">
        <f>IF(_xlfn.NORM.INV(R672,C672,'Regressão Grupo 2'!$B$7)&lt;=0,0,IF(_xlfn.NORM.INV(R672,C672,'Regressão Grupo 2'!$B$7)&gt;100%,100%,_xlfn.NORM.INV(R672,C672,'Regressão Grupo 2'!$B$7)))</f>
        <v>0.85979182274250499</v>
      </c>
      <c r="F672" s="39">
        <f>IF(_xlfn.NORM.INV(S672,D672,'Regressão Grupo 2'!$B$7)&lt;=0,0,IF(_xlfn.NORM.INV(S672,D672,'Regressão Grupo 2'!$B$7)&gt;100%,100%,_xlfn.NORM.INV(S672,D672,'Regressão Grupo 2'!$B$7)))</f>
        <v>0.88065054098371609</v>
      </c>
      <c r="G672" s="41">
        <v>1.7928886645015175E-2</v>
      </c>
      <c r="H672" s="41">
        <v>2.2469996622777835E-2</v>
      </c>
      <c r="I672" s="40">
        <f t="shared" si="122"/>
        <v>0</v>
      </c>
      <c r="J672" s="40">
        <f t="shared" si="123"/>
        <v>395.76429363503149</v>
      </c>
      <c r="K672" s="36">
        <v>0.41195402184767993</v>
      </c>
      <c r="L672" s="42">
        <f t="shared" si="129"/>
        <v>0</v>
      </c>
      <c r="M672" s="42">
        <f t="shared" si="129"/>
        <v>20000</v>
      </c>
      <c r="N672" s="42">
        <f t="shared" si="124"/>
        <v>8239.0804369535981</v>
      </c>
      <c r="O672" s="36">
        <v>5.6289817454702087</v>
      </c>
      <c r="P672" s="42">
        <f t="shared" si="125"/>
        <v>9321.3842604174715</v>
      </c>
      <c r="Q672" s="42"/>
      <c r="R672">
        <v>0.10742515335551012</v>
      </c>
      <c r="S672">
        <v>0.50187688833277377</v>
      </c>
    </row>
    <row r="673" spans="1:19" x14ac:dyDescent="0.25">
      <c r="A673" s="40">
        <f t="shared" si="126"/>
        <v>0</v>
      </c>
      <c r="B673" s="40">
        <f t="shared" si="127"/>
        <v>50</v>
      </c>
      <c r="C673" s="41">
        <f t="shared" si="120"/>
        <v>1.0313000000000001</v>
      </c>
      <c r="D673" s="41">
        <f t="shared" si="121"/>
        <v>0.88000000000000012</v>
      </c>
      <c r="E673" s="39">
        <f>IF(_xlfn.NORM.INV(R673,C673,'Regressão Grupo 2'!$B$7)&lt;=0,0,IF(_xlfn.NORM.INV(R673,C673,'Regressão Grupo 2'!$B$7)&gt;100%,100%,_xlfn.NORM.INV(R673,C673,'Regressão Grupo 2'!$B$7)))</f>
        <v>1</v>
      </c>
      <c r="F673" s="39">
        <f>IF(_xlfn.NORM.INV(S673,D673,'Regressão Grupo 2'!$B$7)&lt;=0,0,IF(_xlfn.NORM.INV(S673,D673,'Regressão Grupo 2'!$B$7)&gt;100%,100%,_xlfn.NORM.INV(S673,D673,'Regressão Grupo 2'!$B$7)))</f>
        <v>0.9830476183436786</v>
      </c>
      <c r="G673" s="41">
        <v>1.9706442666314231E-2</v>
      </c>
      <c r="H673" s="41">
        <v>9.146460602147197E-3</v>
      </c>
      <c r="I673" s="40">
        <f t="shared" si="122"/>
        <v>0</v>
      </c>
      <c r="J673" s="40">
        <f t="shared" si="123"/>
        <v>179.8281262243018</v>
      </c>
      <c r="K673" s="36">
        <v>0.39319597961620734</v>
      </c>
      <c r="L673" s="42">
        <f t="shared" si="129"/>
        <v>0</v>
      </c>
      <c r="M673" s="42">
        <f t="shared" si="129"/>
        <v>20000</v>
      </c>
      <c r="N673" s="42">
        <f t="shared" si="124"/>
        <v>7863.9195923241468</v>
      </c>
      <c r="O673" s="36">
        <v>4.5352751199982286</v>
      </c>
      <c r="P673" s="42">
        <f t="shared" si="125"/>
        <v>311.91669214996728</v>
      </c>
      <c r="Q673" s="42"/>
      <c r="R673">
        <v>0.95300149540696433</v>
      </c>
      <c r="S673">
        <v>0.77193517868587302</v>
      </c>
    </row>
    <row r="674" spans="1:19" x14ac:dyDescent="0.25">
      <c r="A674" s="40">
        <f t="shared" si="126"/>
        <v>0</v>
      </c>
      <c r="B674" s="40">
        <f t="shared" si="127"/>
        <v>50</v>
      </c>
      <c r="C674" s="41">
        <f t="shared" si="120"/>
        <v>1.0313000000000001</v>
      </c>
      <c r="D674" s="41">
        <f t="shared" si="121"/>
        <v>0.88000000000000012</v>
      </c>
      <c r="E674" s="39">
        <f>IF(_xlfn.NORM.INV(R674,C674,'Regressão Grupo 2'!$B$7)&lt;=0,0,IF(_xlfn.NORM.INV(R674,C674,'Regressão Grupo 2'!$B$7)&gt;100%,100%,_xlfn.NORM.INV(R674,C674,'Regressão Grupo 2'!$B$7)))</f>
        <v>0.82858594912957939</v>
      </c>
      <c r="F674" s="39">
        <f>IF(_xlfn.NORM.INV(S674,D674,'Regressão Grupo 2'!$B$7)&lt;=0,0,IF(_xlfn.NORM.INV(S674,D674,'Regressão Grupo 2'!$B$7)&gt;100%,100%,_xlfn.NORM.INV(S674,D674,'Regressão Grupo 2'!$B$7)))</f>
        <v>0.90987527454118622</v>
      </c>
      <c r="G674" s="41">
        <v>8.7313739896147501E-3</v>
      </c>
      <c r="H674" s="41">
        <v>1.2916082040825668E-2</v>
      </c>
      <c r="I674" s="40">
        <f t="shared" si="122"/>
        <v>0</v>
      </c>
      <c r="J674" s="40">
        <f t="shared" si="123"/>
        <v>235.04047385785481</v>
      </c>
      <c r="K674" s="36">
        <v>0.2786465288005967</v>
      </c>
      <c r="L674" s="42">
        <f t="shared" si="129"/>
        <v>0</v>
      </c>
      <c r="M674" s="42">
        <f t="shared" si="129"/>
        <v>20000</v>
      </c>
      <c r="N674" s="42">
        <f t="shared" si="124"/>
        <v>5572.9305760119341</v>
      </c>
      <c r="O674" s="36">
        <v>2.7214017133960517</v>
      </c>
      <c r="P674" s="42">
        <f t="shared" si="125"/>
        <v>5539.4535686066201</v>
      </c>
      <c r="Q674" s="42"/>
      <c r="R674">
        <v>7.1321756645405437E-2</v>
      </c>
      <c r="S674">
        <v>0.58552812280648214</v>
      </c>
    </row>
    <row r="675" spans="1:19" x14ac:dyDescent="0.25">
      <c r="A675" s="40">
        <f t="shared" si="126"/>
        <v>0</v>
      </c>
      <c r="B675" s="40">
        <f t="shared" si="127"/>
        <v>50</v>
      </c>
      <c r="C675" s="41">
        <f t="shared" si="120"/>
        <v>1.0313000000000001</v>
      </c>
      <c r="D675" s="41">
        <f t="shared" si="121"/>
        <v>0.88000000000000012</v>
      </c>
      <c r="E675" s="39">
        <f>IF(_xlfn.NORM.INV(R675,C675,'Regressão Grupo 2'!$B$7)&lt;=0,0,IF(_xlfn.NORM.INV(R675,C675,'Regressão Grupo 2'!$B$7)&gt;100%,100%,_xlfn.NORM.INV(R675,C675,'Regressão Grupo 2'!$B$7)))</f>
        <v>0.94323158217932623</v>
      </c>
      <c r="F675" s="39">
        <f>IF(_xlfn.NORM.INV(S675,D675,'Regressão Grupo 2'!$B$7)&lt;=0,0,IF(_xlfn.NORM.INV(S675,D675,'Regressão Grupo 2'!$B$7)&gt;100%,100%,_xlfn.NORM.INV(S675,D675,'Regressão Grupo 2'!$B$7)))</f>
        <v>0.95465777914840777</v>
      </c>
      <c r="G675" s="41">
        <v>1.4825775909061036E-2</v>
      </c>
      <c r="H675" s="41">
        <v>1.7471498713281812E-3</v>
      </c>
      <c r="I675" s="40">
        <f t="shared" si="122"/>
        <v>0</v>
      </c>
      <c r="J675" s="40">
        <f t="shared" si="123"/>
        <v>33.358604320031759</v>
      </c>
      <c r="K675" s="36">
        <v>0.31799734446607947</v>
      </c>
      <c r="L675" s="42">
        <f t="shared" si="129"/>
        <v>0</v>
      </c>
      <c r="M675" s="42">
        <f t="shared" si="129"/>
        <v>20000</v>
      </c>
      <c r="N675" s="42">
        <f t="shared" si="124"/>
        <v>6359.946889321589</v>
      </c>
      <c r="O675" s="36">
        <v>9.3977659191387328</v>
      </c>
      <c r="P675" s="42">
        <f t="shared" si="125"/>
        <v>-5005.5130281088295</v>
      </c>
      <c r="Q675" s="42"/>
      <c r="R675">
        <v>0.26209295937986388</v>
      </c>
      <c r="S675">
        <v>0.70537430951872315</v>
      </c>
    </row>
    <row r="676" spans="1:19" x14ac:dyDescent="0.25">
      <c r="A676" s="40">
        <f t="shared" si="126"/>
        <v>0</v>
      </c>
      <c r="B676" s="40">
        <f t="shared" si="127"/>
        <v>50</v>
      </c>
      <c r="C676" s="41">
        <f t="shared" si="120"/>
        <v>1.0313000000000001</v>
      </c>
      <c r="D676" s="41">
        <f t="shared" si="121"/>
        <v>0.88000000000000012</v>
      </c>
      <c r="E676" s="39">
        <f>IF(_xlfn.NORM.INV(R676,C676,'Regressão Grupo 2'!$B$7)&lt;=0,0,IF(_xlfn.NORM.INV(R676,C676,'Regressão Grupo 2'!$B$7)&gt;100%,100%,_xlfn.NORM.INV(R676,C676,'Regressão Grupo 2'!$B$7)))</f>
        <v>0.82243973839421158</v>
      </c>
      <c r="F676" s="39">
        <f>IF(_xlfn.NORM.INV(S676,D676,'Regressão Grupo 2'!$B$7)&lt;=0,0,IF(_xlfn.NORM.INV(S676,D676,'Regressão Grupo 2'!$B$7)&gt;100%,100%,_xlfn.NORM.INV(S676,D676,'Regressão Grupo 2'!$B$7)))</f>
        <v>0.69350861366600836</v>
      </c>
      <c r="G676" s="41">
        <v>2.6329039017828806E-2</v>
      </c>
      <c r="H676" s="41">
        <v>3.170086812295754E-3</v>
      </c>
      <c r="I676" s="40">
        <f t="shared" si="122"/>
        <v>0</v>
      </c>
      <c r="J676" s="40">
        <f t="shared" si="123"/>
        <v>43.969650207922484</v>
      </c>
      <c r="K676" s="36">
        <v>0.35923377452753569</v>
      </c>
      <c r="L676" s="42">
        <f t="shared" si="129"/>
        <v>0</v>
      </c>
      <c r="M676" s="42">
        <f t="shared" si="129"/>
        <v>20000</v>
      </c>
      <c r="N676" s="42">
        <f t="shared" si="124"/>
        <v>7184.6754905507141</v>
      </c>
      <c r="O676" s="36">
        <v>4.1719130643075033</v>
      </c>
      <c r="P676" s="42">
        <f t="shared" si="125"/>
        <v>-5169.6305382900528</v>
      </c>
      <c r="Q676" s="42"/>
      <c r="R676">
        <v>6.5462202826013977E-2</v>
      </c>
      <c r="S676">
        <v>8.8717307046723842E-2</v>
      </c>
    </row>
    <row r="677" spans="1:19" x14ac:dyDescent="0.25">
      <c r="A677" s="40">
        <f t="shared" si="126"/>
        <v>0</v>
      </c>
      <c r="B677" s="40">
        <f t="shared" si="127"/>
        <v>50</v>
      </c>
      <c r="C677" s="41">
        <f t="shared" si="120"/>
        <v>1.0313000000000001</v>
      </c>
      <c r="D677" s="41">
        <f t="shared" si="121"/>
        <v>0.88000000000000012</v>
      </c>
      <c r="E677" s="39">
        <f>IF(_xlfn.NORM.INV(R677,C677,'Regressão Grupo 2'!$B$7)&lt;=0,0,IF(_xlfn.NORM.INV(R677,C677,'Regressão Grupo 2'!$B$7)&gt;100%,100%,_xlfn.NORM.INV(R677,C677,'Regressão Grupo 2'!$B$7)))</f>
        <v>1</v>
      </c>
      <c r="F677" s="39">
        <f>IF(_xlfn.NORM.INV(S677,D677,'Regressão Grupo 2'!$B$7)&lt;=0,0,IF(_xlfn.NORM.INV(S677,D677,'Regressão Grupo 2'!$B$7)&gt;100%,100%,_xlfn.NORM.INV(S677,D677,'Regressão Grupo 2'!$B$7)))</f>
        <v>0.85957949596365146</v>
      </c>
      <c r="G677" s="41">
        <v>6.3098558988001503E-3</v>
      </c>
      <c r="H677" s="41">
        <v>2.0262121325940172E-2</v>
      </c>
      <c r="I677" s="40">
        <f t="shared" si="122"/>
        <v>0</v>
      </c>
      <c r="J677" s="40">
        <f t="shared" si="123"/>
        <v>348.33808073012011</v>
      </c>
      <c r="K677" s="36">
        <v>0.30676293127926202</v>
      </c>
      <c r="L677" s="42">
        <f t="shared" si="129"/>
        <v>0</v>
      </c>
      <c r="M677" s="42">
        <f t="shared" si="129"/>
        <v>20000</v>
      </c>
      <c r="N677" s="42">
        <f t="shared" si="124"/>
        <v>6135.2586255852402</v>
      </c>
      <c r="O677" s="36">
        <v>9.6292537249195345</v>
      </c>
      <c r="P677" s="42">
        <f t="shared" si="125"/>
        <v>7927.4096495189351</v>
      </c>
      <c r="Q677" s="42"/>
      <c r="R677">
        <v>0.68840601825006864</v>
      </c>
      <c r="S677">
        <v>0.4412976470229194</v>
      </c>
    </row>
    <row r="678" spans="1:19" x14ac:dyDescent="0.25">
      <c r="A678" s="40">
        <f t="shared" si="126"/>
        <v>0</v>
      </c>
      <c r="B678" s="40">
        <f t="shared" si="127"/>
        <v>50</v>
      </c>
      <c r="C678" s="41">
        <f t="shared" si="120"/>
        <v>1.0313000000000001</v>
      </c>
      <c r="D678" s="41">
        <f t="shared" si="121"/>
        <v>0.88000000000000012</v>
      </c>
      <c r="E678" s="39">
        <f>IF(_xlfn.NORM.INV(R678,C678,'Regressão Grupo 2'!$B$7)&lt;=0,0,IF(_xlfn.NORM.INV(R678,C678,'Regressão Grupo 2'!$B$7)&gt;100%,100%,_xlfn.NORM.INV(R678,C678,'Regressão Grupo 2'!$B$7)))</f>
        <v>0.97675910083477968</v>
      </c>
      <c r="F678" s="39">
        <f>IF(_xlfn.NORM.INV(S678,D678,'Regressão Grupo 2'!$B$7)&lt;=0,0,IF(_xlfn.NORM.INV(S678,D678,'Regressão Grupo 2'!$B$7)&gt;100%,100%,_xlfn.NORM.INV(S678,D678,'Regressão Grupo 2'!$B$7)))</f>
        <v>0.75291111714820258</v>
      </c>
      <c r="G678" s="41">
        <v>1.003562660644427E-2</v>
      </c>
      <c r="H678" s="41">
        <v>1.4292081435758663E-2</v>
      </c>
      <c r="I678" s="40">
        <f t="shared" si="122"/>
        <v>0</v>
      </c>
      <c r="J678" s="40">
        <f t="shared" si="123"/>
        <v>215.21334000340286</v>
      </c>
      <c r="K678" s="36">
        <v>0.35755134503673863</v>
      </c>
      <c r="L678" s="42">
        <f t="shared" si="129"/>
        <v>0</v>
      </c>
      <c r="M678" s="42">
        <f t="shared" si="129"/>
        <v>20000</v>
      </c>
      <c r="N678" s="42">
        <f t="shared" si="124"/>
        <v>7151.0269007347724</v>
      </c>
      <c r="O678" s="36">
        <v>4.0342241960876448</v>
      </c>
      <c r="P678" s="42">
        <f t="shared" si="125"/>
        <v>2741.4212358728055</v>
      </c>
      <c r="Q678" s="42"/>
      <c r="R678">
        <v>0.34662923062837608</v>
      </c>
      <c r="S678">
        <v>0.17902157658619952</v>
      </c>
    </row>
    <row r="679" spans="1:19" x14ac:dyDescent="0.25">
      <c r="A679" s="40">
        <f t="shared" si="126"/>
        <v>0</v>
      </c>
      <c r="B679" s="40">
        <f t="shared" si="127"/>
        <v>50</v>
      </c>
      <c r="C679" s="41">
        <f t="shared" si="120"/>
        <v>1.0313000000000001</v>
      </c>
      <c r="D679" s="41">
        <f t="shared" si="121"/>
        <v>0.88000000000000012</v>
      </c>
      <c r="E679" s="39">
        <f>IF(_xlfn.NORM.INV(R679,C679,'Regressão Grupo 2'!$B$7)&lt;=0,0,IF(_xlfn.NORM.INV(R679,C679,'Regressão Grupo 2'!$B$7)&gt;100%,100%,_xlfn.NORM.INV(R679,C679,'Regressão Grupo 2'!$B$7)))</f>
        <v>1</v>
      </c>
      <c r="F679" s="39">
        <f>IF(_xlfn.NORM.INV(S679,D679,'Regressão Grupo 2'!$B$7)&lt;=0,0,IF(_xlfn.NORM.INV(S679,D679,'Regressão Grupo 2'!$B$7)&gt;100%,100%,_xlfn.NORM.INV(S679,D679,'Regressão Grupo 2'!$B$7)))</f>
        <v>1</v>
      </c>
      <c r="G679" s="41">
        <v>2.352056622621352E-2</v>
      </c>
      <c r="H679" s="41">
        <v>2.2590197292591405E-2</v>
      </c>
      <c r="I679" s="40">
        <f t="shared" si="122"/>
        <v>0</v>
      </c>
      <c r="J679" s="40">
        <f t="shared" si="123"/>
        <v>451.80394585182813</v>
      </c>
      <c r="K679" s="36">
        <v>0.39439290395938886</v>
      </c>
      <c r="L679" s="42">
        <f t="shared" ref="L679:M694" si="130">L678</f>
        <v>0</v>
      </c>
      <c r="M679" s="42">
        <f t="shared" si="130"/>
        <v>20000</v>
      </c>
      <c r="N679" s="42">
        <f t="shared" si="124"/>
        <v>7887.8580791877775</v>
      </c>
      <c r="O679" s="36">
        <v>7.0529500424705445</v>
      </c>
      <c r="P679" s="42">
        <f t="shared" si="125"/>
        <v>11515.788554319615</v>
      </c>
      <c r="Q679" s="42"/>
      <c r="R679">
        <v>0.41511276589251384</v>
      </c>
      <c r="S679">
        <v>0.87179174169133578</v>
      </c>
    </row>
    <row r="680" spans="1:19" x14ac:dyDescent="0.25">
      <c r="A680" s="40">
        <f t="shared" si="126"/>
        <v>0</v>
      </c>
      <c r="B680" s="40">
        <f t="shared" si="127"/>
        <v>50</v>
      </c>
      <c r="C680" s="41">
        <f t="shared" si="120"/>
        <v>1.0313000000000001</v>
      </c>
      <c r="D680" s="41">
        <f t="shared" si="121"/>
        <v>0.88000000000000012</v>
      </c>
      <c r="E680" s="39">
        <f>IF(_xlfn.NORM.INV(R680,C680,'Regressão Grupo 2'!$B$7)&lt;=0,0,IF(_xlfn.NORM.INV(R680,C680,'Regressão Grupo 2'!$B$7)&gt;100%,100%,_xlfn.NORM.INV(R680,C680,'Regressão Grupo 2'!$B$7)))</f>
        <v>1</v>
      </c>
      <c r="F680" s="39">
        <f>IF(_xlfn.NORM.INV(S680,D680,'Regressão Grupo 2'!$B$7)&lt;=0,0,IF(_xlfn.NORM.INV(S680,D680,'Regressão Grupo 2'!$B$7)&gt;100%,100%,_xlfn.NORM.INV(S680,D680,'Regressão Grupo 2'!$B$7)))</f>
        <v>0.8228653915603924</v>
      </c>
      <c r="G680" s="41">
        <v>1.9972510221094086E-2</v>
      </c>
      <c r="H680" s="41">
        <v>1.7215507229665122E-2</v>
      </c>
      <c r="I680" s="40">
        <f t="shared" si="122"/>
        <v>0</v>
      </c>
      <c r="J680" s="40">
        <f t="shared" si="123"/>
        <v>283.32090194898313</v>
      </c>
      <c r="K680" s="36">
        <v>0.29349535543698091</v>
      </c>
      <c r="L680" s="42">
        <f t="shared" si="130"/>
        <v>0</v>
      </c>
      <c r="M680" s="42">
        <f t="shared" si="130"/>
        <v>20000</v>
      </c>
      <c r="N680" s="42">
        <f t="shared" si="124"/>
        <v>5869.9071087396178</v>
      </c>
      <c r="O680" s="36">
        <v>9.0728022154007242</v>
      </c>
      <c r="P680" s="42">
        <f t="shared" si="125"/>
        <v>5725.6234818374733</v>
      </c>
      <c r="Q680" s="42"/>
      <c r="R680">
        <v>0.41270180364391001</v>
      </c>
      <c r="S680">
        <v>0.33973204748680075</v>
      </c>
    </row>
    <row r="681" spans="1:19" x14ac:dyDescent="0.25">
      <c r="A681" s="40">
        <f t="shared" si="126"/>
        <v>0</v>
      </c>
      <c r="B681" s="40">
        <f t="shared" si="127"/>
        <v>50</v>
      </c>
      <c r="C681" s="41">
        <f t="shared" si="120"/>
        <v>1.0313000000000001</v>
      </c>
      <c r="D681" s="41">
        <f t="shared" si="121"/>
        <v>0.88000000000000012</v>
      </c>
      <c r="E681" s="39">
        <f>IF(_xlfn.NORM.INV(R681,C681,'Regressão Grupo 2'!$B$7)&lt;=0,0,IF(_xlfn.NORM.INV(R681,C681,'Regressão Grupo 2'!$B$7)&gt;100%,100%,_xlfn.NORM.INV(R681,C681,'Regressão Grupo 2'!$B$7)))</f>
        <v>1</v>
      </c>
      <c r="F681" s="39">
        <f>IF(_xlfn.NORM.INV(S681,D681,'Regressão Grupo 2'!$B$7)&lt;=0,0,IF(_xlfn.NORM.INV(S681,D681,'Regressão Grupo 2'!$B$7)&gt;100%,100%,_xlfn.NORM.INV(S681,D681,'Regressão Grupo 2'!$B$7)))</f>
        <v>0.85676258784935488</v>
      </c>
      <c r="G681" s="41">
        <v>1.5472113503729146E-2</v>
      </c>
      <c r="H681" s="41">
        <v>1.9595324585356292E-2</v>
      </c>
      <c r="I681" s="40">
        <f t="shared" si="122"/>
        <v>0</v>
      </c>
      <c r="J681" s="40">
        <f t="shared" si="123"/>
        <v>335.77082002995888</v>
      </c>
      <c r="K681" s="36">
        <v>0.37149994083509807</v>
      </c>
      <c r="L681" s="42">
        <f t="shared" si="130"/>
        <v>0</v>
      </c>
      <c r="M681" s="42">
        <f t="shared" si="130"/>
        <v>20000</v>
      </c>
      <c r="N681" s="42">
        <f t="shared" si="124"/>
        <v>7429.9988167019619</v>
      </c>
      <c r="O681" s="36">
        <v>6.8084894283937194</v>
      </c>
      <c r="P681" s="42">
        <f t="shared" si="125"/>
        <v>7072.4501062589152</v>
      </c>
      <c r="Q681" s="42"/>
      <c r="R681">
        <v>0.5612659077730644</v>
      </c>
      <c r="S681">
        <v>0.43327127903073215</v>
      </c>
    </row>
    <row r="682" spans="1:19" x14ac:dyDescent="0.25">
      <c r="A682" s="40">
        <f t="shared" si="126"/>
        <v>0</v>
      </c>
      <c r="B682" s="40">
        <f t="shared" si="127"/>
        <v>50</v>
      </c>
      <c r="C682" s="41">
        <f t="shared" si="120"/>
        <v>1.0313000000000001</v>
      </c>
      <c r="D682" s="41">
        <f t="shared" si="121"/>
        <v>0.88000000000000012</v>
      </c>
      <c r="E682" s="39">
        <f>IF(_xlfn.NORM.INV(R682,C682,'Regressão Grupo 2'!$B$7)&lt;=0,0,IF(_xlfn.NORM.INV(R682,C682,'Regressão Grupo 2'!$B$7)&gt;100%,100%,_xlfn.NORM.INV(R682,C682,'Regressão Grupo 2'!$B$7)))</f>
        <v>0.83142422959884321</v>
      </c>
      <c r="F682" s="39">
        <f>IF(_xlfn.NORM.INV(S682,D682,'Regressão Grupo 2'!$B$7)&lt;=0,0,IF(_xlfn.NORM.INV(S682,D682,'Regressão Grupo 2'!$B$7)&gt;100%,100%,_xlfn.NORM.INV(S682,D682,'Regressão Grupo 2'!$B$7)))</f>
        <v>0.79963594970347252</v>
      </c>
      <c r="G682" s="41">
        <v>1.8441563497922139E-2</v>
      </c>
      <c r="H682" s="41">
        <v>1.0044282379948167E-2</v>
      </c>
      <c r="I682" s="40">
        <f t="shared" si="122"/>
        <v>0</v>
      </c>
      <c r="J682" s="40">
        <f t="shared" si="123"/>
        <v>160.63538559959414</v>
      </c>
      <c r="K682" s="36">
        <v>0.23167642621596435</v>
      </c>
      <c r="L682" s="42">
        <f t="shared" si="130"/>
        <v>0</v>
      </c>
      <c r="M682" s="42">
        <f t="shared" si="130"/>
        <v>20000</v>
      </c>
      <c r="N682" s="42">
        <f t="shared" si="124"/>
        <v>4633.5285243192866</v>
      </c>
      <c r="O682" s="36">
        <v>6.0370217143012486</v>
      </c>
      <c r="P682" s="42">
        <f t="shared" si="125"/>
        <v>2428.4814447105164</v>
      </c>
      <c r="Q682" s="42"/>
      <c r="R682">
        <v>7.4159978026673179E-2</v>
      </c>
      <c r="S682">
        <v>0.28055665761284221</v>
      </c>
    </row>
    <row r="683" spans="1:19" x14ac:dyDescent="0.25">
      <c r="A683" s="40">
        <f t="shared" si="126"/>
        <v>0</v>
      </c>
      <c r="B683" s="40">
        <f t="shared" si="127"/>
        <v>50</v>
      </c>
      <c r="C683" s="41">
        <f t="shared" si="120"/>
        <v>1.0313000000000001</v>
      </c>
      <c r="D683" s="41">
        <f t="shared" si="121"/>
        <v>0.88000000000000012</v>
      </c>
      <c r="E683" s="39">
        <f>IF(_xlfn.NORM.INV(R683,C683,'Regressão Grupo 2'!$B$7)&lt;=0,0,IF(_xlfn.NORM.INV(R683,C683,'Regressão Grupo 2'!$B$7)&gt;100%,100%,_xlfn.NORM.INV(R683,C683,'Regressão Grupo 2'!$B$7)))</f>
        <v>0.83160447213707211</v>
      </c>
      <c r="F683" s="39">
        <f>IF(_xlfn.NORM.INV(S683,D683,'Regressão Grupo 2'!$B$7)&lt;=0,0,IF(_xlfn.NORM.INV(S683,D683,'Regressão Grupo 2'!$B$7)&gt;100%,100%,_xlfn.NORM.INV(S683,D683,'Regressão Grupo 2'!$B$7)))</f>
        <v>0.89850819928227765</v>
      </c>
      <c r="G683" s="41">
        <v>2.2096563862582047E-2</v>
      </c>
      <c r="H683" s="41">
        <v>2.2450128901236745E-2</v>
      </c>
      <c r="I683" s="40">
        <f t="shared" si="122"/>
        <v>0</v>
      </c>
      <c r="J683" s="40">
        <f t="shared" si="123"/>
        <v>403.43249785410489</v>
      </c>
      <c r="K683" s="36">
        <v>0.27652237697889692</v>
      </c>
      <c r="L683" s="42">
        <f t="shared" si="130"/>
        <v>0</v>
      </c>
      <c r="M683" s="42">
        <f t="shared" si="130"/>
        <v>20000</v>
      </c>
      <c r="N683" s="42">
        <f t="shared" si="124"/>
        <v>5530.4475395779382</v>
      </c>
      <c r="O683" s="36">
        <v>4.2011568327883113</v>
      </c>
      <c r="P683" s="42">
        <f t="shared" si="125"/>
        <v>12946.294158198678</v>
      </c>
      <c r="Q683" s="42"/>
      <c r="R683">
        <v>7.4343089083529157E-2</v>
      </c>
      <c r="S683">
        <v>0.55323953978087714</v>
      </c>
    </row>
    <row r="684" spans="1:19" x14ac:dyDescent="0.25">
      <c r="A684" s="40">
        <f t="shared" si="126"/>
        <v>0</v>
      </c>
      <c r="B684" s="40">
        <f t="shared" si="127"/>
        <v>50</v>
      </c>
      <c r="C684" s="41">
        <f t="shared" si="120"/>
        <v>1.0313000000000001</v>
      </c>
      <c r="D684" s="41">
        <f t="shared" si="121"/>
        <v>0.88000000000000012</v>
      </c>
      <c r="E684" s="39">
        <f>IF(_xlfn.NORM.INV(R684,C684,'Regressão Grupo 2'!$B$7)&lt;=0,0,IF(_xlfn.NORM.INV(R684,C684,'Regressão Grupo 2'!$B$7)&gt;100%,100%,_xlfn.NORM.INV(R684,C684,'Regressão Grupo 2'!$B$7)))</f>
        <v>1</v>
      </c>
      <c r="F684" s="39">
        <f>IF(_xlfn.NORM.INV(S684,D684,'Regressão Grupo 2'!$B$7)&lt;=0,0,IF(_xlfn.NORM.INV(S684,D684,'Regressão Grupo 2'!$B$7)&gt;100%,100%,_xlfn.NORM.INV(S684,D684,'Regressão Grupo 2'!$B$7)))</f>
        <v>0.76837363427720462</v>
      </c>
      <c r="G684" s="41">
        <v>2.3072020748778482E-2</v>
      </c>
      <c r="H684" s="41">
        <v>2.3882152081473373E-2</v>
      </c>
      <c r="I684" s="40">
        <f t="shared" si="122"/>
        <v>0</v>
      </c>
      <c r="J684" s="40">
        <f t="shared" si="123"/>
        <v>367.00831978405205</v>
      </c>
      <c r="K684" s="36">
        <v>0.31259867403546315</v>
      </c>
      <c r="L684" s="42">
        <f t="shared" si="130"/>
        <v>0</v>
      </c>
      <c r="M684" s="42">
        <f t="shared" si="130"/>
        <v>20000</v>
      </c>
      <c r="N684" s="42">
        <f t="shared" si="124"/>
        <v>6251.9734807092627</v>
      </c>
      <c r="O684" s="36">
        <v>2.8418557839016563</v>
      </c>
      <c r="P684" s="42">
        <f t="shared" si="125"/>
        <v>11055.457792175004</v>
      </c>
      <c r="Q684" s="42"/>
      <c r="R684">
        <v>0.73836481826227607</v>
      </c>
      <c r="S684">
        <v>0.20975371562852871</v>
      </c>
    </row>
    <row r="685" spans="1:19" x14ac:dyDescent="0.25">
      <c r="A685" s="40">
        <f t="shared" si="126"/>
        <v>0</v>
      </c>
      <c r="B685" s="40">
        <f t="shared" si="127"/>
        <v>50</v>
      </c>
      <c r="C685" s="41">
        <f t="shared" si="120"/>
        <v>1.0313000000000001</v>
      </c>
      <c r="D685" s="41">
        <f t="shared" si="121"/>
        <v>0.88000000000000012</v>
      </c>
      <c r="E685" s="39">
        <f>IF(_xlfn.NORM.INV(R685,C685,'Regressão Grupo 2'!$B$7)&lt;=0,0,IF(_xlfn.NORM.INV(R685,C685,'Regressão Grupo 2'!$B$7)&gt;100%,100%,_xlfn.NORM.INV(R685,C685,'Regressão Grupo 2'!$B$7)))</f>
        <v>1</v>
      </c>
      <c r="F685" s="39">
        <f>IF(_xlfn.NORM.INV(S685,D685,'Regressão Grupo 2'!$B$7)&lt;=0,0,IF(_xlfn.NORM.INV(S685,D685,'Regressão Grupo 2'!$B$7)&gt;100%,100%,_xlfn.NORM.INV(S685,D685,'Regressão Grupo 2'!$B$7)))</f>
        <v>0.82646382263100948</v>
      </c>
      <c r="G685" s="41">
        <v>1.6417062738484939E-2</v>
      </c>
      <c r="H685" s="41">
        <v>2.3637185691697735E-2</v>
      </c>
      <c r="I685" s="40">
        <f t="shared" si="122"/>
        <v>0</v>
      </c>
      <c r="J685" s="40">
        <f t="shared" si="123"/>
        <v>390.70557685999029</v>
      </c>
      <c r="K685" s="36">
        <v>0.3242762273875005</v>
      </c>
      <c r="L685" s="42">
        <f t="shared" si="130"/>
        <v>0</v>
      </c>
      <c r="M685" s="42">
        <f t="shared" si="130"/>
        <v>20000</v>
      </c>
      <c r="N685" s="42">
        <f t="shared" si="124"/>
        <v>6485.5245477500102</v>
      </c>
      <c r="O685" s="36">
        <v>3.833185966666635</v>
      </c>
      <c r="P685" s="42">
        <f t="shared" si="125"/>
        <v>11552.107160931395</v>
      </c>
      <c r="Q685" s="42"/>
      <c r="R685">
        <v>0.53904843287453841</v>
      </c>
      <c r="S685">
        <v>0.34931485946226387</v>
      </c>
    </row>
    <row r="686" spans="1:19" x14ac:dyDescent="0.25">
      <c r="A686" s="40">
        <f t="shared" si="126"/>
        <v>0</v>
      </c>
      <c r="B686" s="40">
        <f t="shared" si="127"/>
        <v>50</v>
      </c>
      <c r="C686" s="41">
        <f t="shared" si="120"/>
        <v>1.0313000000000001</v>
      </c>
      <c r="D686" s="41">
        <f t="shared" si="121"/>
        <v>0.88000000000000012</v>
      </c>
      <c r="E686" s="39">
        <f>IF(_xlfn.NORM.INV(R686,C686,'Regressão Grupo 2'!$B$7)&lt;=0,0,IF(_xlfn.NORM.INV(R686,C686,'Regressão Grupo 2'!$B$7)&gt;100%,100%,_xlfn.NORM.INV(R686,C686,'Regressão Grupo 2'!$B$7)))</f>
        <v>1</v>
      </c>
      <c r="F686" s="39">
        <f>IF(_xlfn.NORM.INV(S686,D686,'Regressão Grupo 2'!$B$7)&lt;=0,0,IF(_xlfn.NORM.INV(S686,D686,'Regressão Grupo 2'!$B$7)&gt;100%,100%,_xlfn.NORM.INV(S686,D686,'Regressão Grupo 2'!$B$7)))</f>
        <v>0.83552111727443334</v>
      </c>
      <c r="G686" s="41">
        <v>1.4646106992347165E-2</v>
      </c>
      <c r="H686" s="41">
        <v>1.9617858510636042E-2</v>
      </c>
      <c r="I686" s="40">
        <f t="shared" si="122"/>
        <v>0</v>
      </c>
      <c r="J686" s="40">
        <f t="shared" si="123"/>
        <v>327.82270122676755</v>
      </c>
      <c r="K686" s="36">
        <v>0.30671727322130338</v>
      </c>
      <c r="L686" s="42">
        <f t="shared" si="130"/>
        <v>0</v>
      </c>
      <c r="M686" s="42">
        <f t="shared" si="130"/>
        <v>20000</v>
      </c>
      <c r="N686" s="42">
        <f t="shared" si="124"/>
        <v>6134.3454644260673</v>
      </c>
      <c r="O686" s="36">
        <v>8.1642325586281768</v>
      </c>
      <c r="P686" s="42">
        <f t="shared" si="125"/>
        <v>7580.3688260992967</v>
      </c>
      <c r="Q686" s="42"/>
      <c r="R686">
        <v>0.93783379619739371</v>
      </c>
      <c r="S686">
        <v>0.37385174108096558</v>
      </c>
    </row>
    <row r="687" spans="1:19" x14ac:dyDescent="0.25">
      <c r="A687" s="40">
        <f t="shared" si="126"/>
        <v>0</v>
      </c>
      <c r="B687" s="40">
        <f t="shared" si="127"/>
        <v>50</v>
      </c>
      <c r="C687" s="41">
        <f t="shared" si="120"/>
        <v>1.0313000000000001</v>
      </c>
      <c r="D687" s="41">
        <f t="shared" si="121"/>
        <v>0.88000000000000012</v>
      </c>
      <c r="E687" s="39">
        <f>IF(_xlfn.NORM.INV(R687,C687,'Regressão Grupo 2'!$B$7)&lt;=0,0,IF(_xlfn.NORM.INV(R687,C687,'Regressão Grupo 2'!$B$7)&gt;100%,100%,_xlfn.NORM.INV(R687,C687,'Regressão Grupo 2'!$B$7)))</f>
        <v>0.90640593839069772</v>
      </c>
      <c r="F687" s="39">
        <f>IF(_xlfn.NORM.INV(S687,D687,'Regressão Grupo 2'!$B$7)&lt;=0,0,IF(_xlfn.NORM.INV(S687,D687,'Regressão Grupo 2'!$B$7)&gt;100%,100%,_xlfn.NORM.INV(S687,D687,'Regressão Grupo 2'!$B$7)))</f>
        <v>0.96729241950839018</v>
      </c>
      <c r="G687" s="41">
        <v>1.9609530322914952E-2</v>
      </c>
      <c r="H687" s="41">
        <v>1.8279567543273329E-2</v>
      </c>
      <c r="I687" s="40">
        <f t="shared" si="122"/>
        <v>0</v>
      </c>
      <c r="J687" s="40">
        <f t="shared" si="123"/>
        <v>353.63374232999797</v>
      </c>
      <c r="K687" s="36">
        <v>0.27307390471214765</v>
      </c>
      <c r="L687" s="42">
        <f t="shared" si="130"/>
        <v>0</v>
      </c>
      <c r="M687" s="42">
        <f t="shared" si="130"/>
        <v>20000</v>
      </c>
      <c r="N687" s="42">
        <f t="shared" si="124"/>
        <v>5461.4780942429534</v>
      </c>
      <c r="O687" s="36">
        <v>10.07601039757324</v>
      </c>
      <c r="P687" s="42">
        <f t="shared" si="125"/>
        <v>8656.9917576071493</v>
      </c>
      <c r="Q687" s="42"/>
      <c r="R687">
        <v>0.18320261238441116</v>
      </c>
      <c r="S687">
        <v>0.73607593005157623</v>
      </c>
    </row>
    <row r="688" spans="1:19" x14ac:dyDescent="0.25">
      <c r="A688" s="40">
        <f t="shared" si="126"/>
        <v>0</v>
      </c>
      <c r="B688" s="40">
        <f t="shared" si="127"/>
        <v>50</v>
      </c>
      <c r="C688" s="41">
        <f t="shared" si="120"/>
        <v>1.0313000000000001</v>
      </c>
      <c r="D688" s="41">
        <f t="shared" si="121"/>
        <v>0.88000000000000012</v>
      </c>
      <c r="E688" s="39">
        <f>IF(_xlfn.NORM.INV(R688,C688,'Regressão Grupo 2'!$B$7)&lt;=0,0,IF(_xlfn.NORM.INV(R688,C688,'Regressão Grupo 2'!$B$7)&gt;100%,100%,_xlfn.NORM.INV(R688,C688,'Regressão Grupo 2'!$B$7)))</f>
        <v>1</v>
      </c>
      <c r="F688" s="39">
        <f>IF(_xlfn.NORM.INV(S688,D688,'Regressão Grupo 2'!$B$7)&lt;=0,0,IF(_xlfn.NORM.INV(S688,D688,'Regressão Grupo 2'!$B$7)&gt;100%,100%,_xlfn.NORM.INV(S688,D688,'Regressão Grupo 2'!$B$7)))</f>
        <v>0.79568271723892792</v>
      </c>
      <c r="G688" s="41">
        <v>1.7508105376422594E-2</v>
      </c>
      <c r="H688" s="41">
        <v>1.9202685271179989E-2</v>
      </c>
      <c r="I688" s="40">
        <f t="shared" si="122"/>
        <v>0</v>
      </c>
      <c r="J688" s="40">
        <f t="shared" si="123"/>
        <v>305.58489589712866</v>
      </c>
      <c r="K688" s="36">
        <v>0.34895466425298749</v>
      </c>
      <c r="L688" s="42">
        <f t="shared" si="130"/>
        <v>0</v>
      </c>
      <c r="M688" s="42">
        <f t="shared" si="130"/>
        <v>20000</v>
      </c>
      <c r="N688" s="42">
        <f t="shared" si="124"/>
        <v>6979.0932850597501</v>
      </c>
      <c r="O688" s="36">
        <v>4.6643894140402615</v>
      </c>
      <c r="P688" s="42">
        <f t="shared" si="125"/>
        <v>6874.78455628352</v>
      </c>
      <c r="Q688" s="42"/>
      <c r="R688">
        <v>0.63426618243964961</v>
      </c>
      <c r="S688">
        <v>0.27100436414685508</v>
      </c>
    </row>
    <row r="689" spans="1:19" x14ac:dyDescent="0.25">
      <c r="A689" s="40">
        <f t="shared" si="126"/>
        <v>0</v>
      </c>
      <c r="B689" s="40">
        <f t="shared" si="127"/>
        <v>50</v>
      </c>
      <c r="C689" s="41">
        <f t="shared" si="120"/>
        <v>1.0313000000000001</v>
      </c>
      <c r="D689" s="41">
        <f t="shared" si="121"/>
        <v>0.88000000000000012</v>
      </c>
      <c r="E689" s="39">
        <f>IF(_xlfn.NORM.INV(R689,C689,'Regressão Grupo 2'!$B$7)&lt;=0,0,IF(_xlfn.NORM.INV(R689,C689,'Regressão Grupo 2'!$B$7)&gt;100%,100%,_xlfn.NORM.INV(R689,C689,'Regressão Grupo 2'!$B$7)))</f>
        <v>1</v>
      </c>
      <c r="F689" s="39">
        <f>IF(_xlfn.NORM.INV(S689,D689,'Regressão Grupo 2'!$B$7)&lt;=0,0,IF(_xlfn.NORM.INV(S689,D689,'Regressão Grupo 2'!$B$7)&gt;100%,100%,_xlfn.NORM.INV(S689,D689,'Regressão Grupo 2'!$B$7)))</f>
        <v>0.91386196536746989</v>
      </c>
      <c r="G689" s="41">
        <v>1.87491397660332E-2</v>
      </c>
      <c r="H689" s="41">
        <v>1.9763670210240256E-2</v>
      </c>
      <c r="I689" s="40">
        <f t="shared" si="122"/>
        <v>0</v>
      </c>
      <c r="J689" s="40">
        <f t="shared" si="123"/>
        <v>361.22533002409358</v>
      </c>
      <c r="K689" s="36">
        <v>0.30164003460173033</v>
      </c>
      <c r="L689" s="42">
        <f t="shared" si="130"/>
        <v>0</v>
      </c>
      <c r="M689" s="42">
        <f t="shared" si="130"/>
        <v>20000</v>
      </c>
      <c r="N689" s="42">
        <f t="shared" si="124"/>
        <v>6032.800692034607</v>
      </c>
      <c r="O689" s="36">
        <v>7.4594843228981782</v>
      </c>
      <c r="P689" s="42">
        <f t="shared" si="125"/>
        <v>9333.9111228216243</v>
      </c>
      <c r="Q689" s="42"/>
      <c r="R689">
        <v>0.86236152226325269</v>
      </c>
      <c r="S689">
        <v>0.59672841578417313</v>
      </c>
    </row>
    <row r="690" spans="1:19" x14ac:dyDescent="0.25">
      <c r="A690" s="40">
        <f t="shared" si="126"/>
        <v>0</v>
      </c>
      <c r="B690" s="40">
        <f t="shared" si="127"/>
        <v>50</v>
      </c>
      <c r="C690" s="41">
        <f t="shared" si="120"/>
        <v>1.0313000000000001</v>
      </c>
      <c r="D690" s="41">
        <f t="shared" si="121"/>
        <v>0.88000000000000012</v>
      </c>
      <c r="E690" s="39">
        <f>IF(_xlfn.NORM.INV(R690,C690,'Regressão Grupo 2'!$B$7)&lt;=0,0,IF(_xlfn.NORM.INV(R690,C690,'Regressão Grupo 2'!$B$7)&gt;100%,100%,_xlfn.NORM.INV(R690,C690,'Regressão Grupo 2'!$B$7)))</f>
        <v>0.97008481010597591</v>
      </c>
      <c r="F690" s="39">
        <f>IF(_xlfn.NORM.INV(S690,D690,'Regressão Grupo 2'!$B$7)&lt;=0,0,IF(_xlfn.NORM.INV(S690,D690,'Regressão Grupo 2'!$B$7)&gt;100%,100%,_xlfn.NORM.INV(S690,D690,'Regressão Grupo 2'!$B$7)))</f>
        <v>0.86077645590797636</v>
      </c>
      <c r="G690" s="41">
        <v>1.9330746040472201E-2</v>
      </c>
      <c r="H690" s="41">
        <v>1.697754222221444E-2</v>
      </c>
      <c r="I690" s="40">
        <f t="shared" si="122"/>
        <v>0</v>
      </c>
      <c r="J690" s="40">
        <f t="shared" si="123"/>
        <v>292.27737248131552</v>
      </c>
      <c r="K690" s="36">
        <v>0.16204442881150097</v>
      </c>
      <c r="L690" s="42">
        <f t="shared" si="130"/>
        <v>0</v>
      </c>
      <c r="M690" s="42">
        <f t="shared" si="130"/>
        <v>20000</v>
      </c>
      <c r="N690" s="42">
        <f t="shared" si="124"/>
        <v>3240.8885762300192</v>
      </c>
      <c r="O690" s="36">
        <v>6.8947048931747261</v>
      </c>
      <c r="P690" s="42">
        <f t="shared" si="125"/>
        <v>9357.8138176245793</v>
      </c>
      <c r="Q690" s="42"/>
      <c r="R690">
        <v>0.32898953215124971</v>
      </c>
      <c r="S690">
        <v>0.4447157200842311</v>
      </c>
    </row>
    <row r="691" spans="1:19" x14ac:dyDescent="0.25">
      <c r="A691" s="40">
        <f t="shared" si="126"/>
        <v>0</v>
      </c>
      <c r="B691" s="40">
        <f t="shared" si="127"/>
        <v>50</v>
      </c>
      <c r="C691" s="41">
        <f t="shared" si="120"/>
        <v>1.0313000000000001</v>
      </c>
      <c r="D691" s="41">
        <f t="shared" si="121"/>
        <v>0.88000000000000012</v>
      </c>
      <c r="E691" s="39">
        <f>IF(_xlfn.NORM.INV(R691,C691,'Regressão Grupo 2'!$B$7)&lt;=0,0,IF(_xlfn.NORM.INV(R691,C691,'Regressão Grupo 2'!$B$7)&gt;100%,100%,_xlfn.NORM.INV(R691,C691,'Regressão Grupo 2'!$B$7)))</f>
        <v>0.96031202088534173</v>
      </c>
      <c r="F691" s="39">
        <f>IF(_xlfn.NORM.INV(S691,D691,'Regressão Grupo 2'!$B$7)&lt;=0,0,IF(_xlfn.NORM.INV(S691,D691,'Regressão Grupo 2'!$B$7)&gt;100%,100%,_xlfn.NORM.INV(S691,D691,'Regressão Grupo 2'!$B$7)))</f>
        <v>0.7508965884166765</v>
      </c>
      <c r="G691" s="41">
        <v>2.2651710695710245E-2</v>
      </c>
      <c r="H691" s="41">
        <v>1.5071701104483588E-2</v>
      </c>
      <c r="I691" s="40">
        <f t="shared" si="122"/>
        <v>0</v>
      </c>
      <c r="J691" s="40">
        <f t="shared" si="123"/>
        <v>226.34577881985166</v>
      </c>
      <c r="K691" s="36">
        <v>0.32346282060275888</v>
      </c>
      <c r="L691" s="42">
        <f t="shared" si="130"/>
        <v>0</v>
      </c>
      <c r="M691" s="42">
        <f t="shared" si="130"/>
        <v>20000</v>
      </c>
      <c r="N691" s="42">
        <f t="shared" si="124"/>
        <v>6469.2564120551779</v>
      </c>
      <c r="O691" s="36">
        <v>7.3381796500772545</v>
      </c>
      <c r="P691" s="42">
        <f t="shared" si="125"/>
        <v>3187.0665409206831</v>
      </c>
      <c r="Q691" s="42"/>
      <c r="R691">
        <v>0.30384228034302807</v>
      </c>
      <c r="S691">
        <v>0.17523728141117587</v>
      </c>
    </row>
    <row r="692" spans="1:19" x14ac:dyDescent="0.25">
      <c r="A692" s="40">
        <f t="shared" si="126"/>
        <v>0</v>
      </c>
      <c r="B692" s="40">
        <f t="shared" si="127"/>
        <v>50</v>
      </c>
      <c r="C692" s="41">
        <f t="shared" si="120"/>
        <v>1.0313000000000001</v>
      </c>
      <c r="D692" s="41">
        <f t="shared" si="121"/>
        <v>0.88000000000000012</v>
      </c>
      <c r="E692" s="39">
        <f>IF(_xlfn.NORM.INV(R692,C692,'Regressão Grupo 2'!$B$7)&lt;=0,0,IF(_xlfn.NORM.INV(R692,C692,'Regressão Grupo 2'!$B$7)&gt;100%,100%,_xlfn.NORM.INV(R692,C692,'Regressão Grupo 2'!$B$7)))</f>
        <v>1</v>
      </c>
      <c r="F692" s="39">
        <f>IF(_xlfn.NORM.INV(S692,D692,'Regressão Grupo 2'!$B$7)&lt;=0,0,IF(_xlfn.NORM.INV(S692,D692,'Regressão Grupo 2'!$B$7)&gt;100%,100%,_xlfn.NORM.INV(S692,D692,'Regressão Grupo 2'!$B$7)))</f>
        <v>0.79261718935562175</v>
      </c>
      <c r="G692" s="41">
        <v>1.5062092771604845E-2</v>
      </c>
      <c r="H692" s="41">
        <v>2.1703755979231184E-2</v>
      </c>
      <c r="I692" s="40">
        <f t="shared" si="122"/>
        <v>0</v>
      </c>
      <c r="J692" s="40">
        <f t="shared" si="123"/>
        <v>344.05540125436988</v>
      </c>
      <c r="K692" s="36">
        <v>0.21790620269895766</v>
      </c>
      <c r="L692" s="42">
        <f t="shared" si="130"/>
        <v>0</v>
      </c>
      <c r="M692" s="42">
        <f t="shared" si="130"/>
        <v>20000</v>
      </c>
      <c r="N692" s="42">
        <f t="shared" si="124"/>
        <v>4358.1240539791534</v>
      </c>
      <c r="O692" s="36">
        <v>4.6996350995487024</v>
      </c>
      <c r="P692" s="42">
        <f t="shared" si="125"/>
        <v>11227.711168814989</v>
      </c>
      <c r="Q692" s="42"/>
      <c r="R692">
        <v>0.51121555223242898</v>
      </c>
      <c r="S692">
        <v>0.26371044038209174</v>
      </c>
    </row>
    <row r="693" spans="1:19" x14ac:dyDescent="0.25">
      <c r="A693" s="40">
        <f t="shared" si="126"/>
        <v>0</v>
      </c>
      <c r="B693" s="40">
        <f t="shared" si="127"/>
        <v>50</v>
      </c>
      <c r="C693" s="41">
        <f t="shared" si="120"/>
        <v>1.0313000000000001</v>
      </c>
      <c r="D693" s="41">
        <f t="shared" si="121"/>
        <v>0.88000000000000012</v>
      </c>
      <c r="E693" s="39">
        <f>IF(_xlfn.NORM.INV(R693,C693,'Regressão Grupo 2'!$B$7)&lt;=0,0,IF(_xlfn.NORM.INV(R693,C693,'Regressão Grupo 2'!$B$7)&gt;100%,100%,_xlfn.NORM.INV(R693,C693,'Regressão Grupo 2'!$B$7)))</f>
        <v>0.993532800150841</v>
      </c>
      <c r="F693" s="39">
        <f>IF(_xlfn.NORM.INV(S693,D693,'Regressão Grupo 2'!$B$7)&lt;=0,0,IF(_xlfn.NORM.INV(S693,D693,'Regressão Grupo 2'!$B$7)&gt;100%,100%,_xlfn.NORM.INV(S693,D693,'Regressão Grupo 2'!$B$7)))</f>
        <v>0.82505869677642885</v>
      </c>
      <c r="G693" s="41">
        <v>1.6809967616071033E-2</v>
      </c>
      <c r="H693" s="41">
        <v>2.003326225858959E-2</v>
      </c>
      <c r="I693" s="40">
        <f t="shared" si="122"/>
        <v>0</v>
      </c>
      <c r="J693" s="40">
        <f t="shared" si="123"/>
        <v>330.5723450250469</v>
      </c>
      <c r="K693" s="36">
        <v>0.33267226351894308</v>
      </c>
      <c r="L693" s="42">
        <f t="shared" si="130"/>
        <v>0</v>
      </c>
      <c r="M693" s="42">
        <f t="shared" si="130"/>
        <v>20000</v>
      </c>
      <c r="N693" s="42">
        <f t="shared" si="124"/>
        <v>6653.445270378862</v>
      </c>
      <c r="O693" s="36">
        <v>9.6588649466247229</v>
      </c>
      <c r="P693" s="42">
        <f t="shared" si="125"/>
        <v>6682.2183451875235</v>
      </c>
      <c r="Q693" s="42"/>
      <c r="R693">
        <v>0.39237647633289591</v>
      </c>
      <c r="S693">
        <v>0.34556108279671621</v>
      </c>
    </row>
    <row r="694" spans="1:19" x14ac:dyDescent="0.25">
      <c r="A694" s="40">
        <f t="shared" si="126"/>
        <v>0</v>
      </c>
      <c r="B694" s="40">
        <f t="shared" si="127"/>
        <v>50</v>
      </c>
      <c r="C694" s="41">
        <f t="shared" si="120"/>
        <v>1.0313000000000001</v>
      </c>
      <c r="D694" s="41">
        <f t="shared" si="121"/>
        <v>0.88000000000000012</v>
      </c>
      <c r="E694" s="39">
        <f>IF(_xlfn.NORM.INV(R694,C694,'Regressão Grupo 2'!$B$7)&lt;=0,0,IF(_xlfn.NORM.INV(R694,C694,'Regressão Grupo 2'!$B$7)&gt;100%,100%,_xlfn.NORM.INV(R694,C694,'Regressão Grupo 2'!$B$7)))</f>
        <v>1</v>
      </c>
      <c r="F694" s="39">
        <f>IF(_xlfn.NORM.INV(S694,D694,'Regressão Grupo 2'!$B$7)&lt;=0,0,IF(_xlfn.NORM.INV(S694,D694,'Regressão Grupo 2'!$B$7)&gt;100%,100%,_xlfn.NORM.INV(S694,D694,'Regressão Grupo 2'!$B$7)))</f>
        <v>0.91300152803670387</v>
      </c>
      <c r="G694" s="41">
        <v>1.2637812995996473E-2</v>
      </c>
      <c r="H694" s="41">
        <v>9.5854633838952496E-3</v>
      </c>
      <c r="I694" s="40">
        <f t="shared" si="122"/>
        <v>0</v>
      </c>
      <c r="J694" s="40">
        <f t="shared" si="123"/>
        <v>175.03085432872476</v>
      </c>
      <c r="K694" s="36">
        <v>0.19611248050907298</v>
      </c>
      <c r="L694" s="42">
        <f t="shared" si="130"/>
        <v>0</v>
      </c>
      <c r="M694" s="42">
        <f t="shared" si="130"/>
        <v>20000</v>
      </c>
      <c r="N694" s="42">
        <f t="shared" si="124"/>
        <v>3922.2496101814595</v>
      </c>
      <c r="O694" s="36">
        <v>6.1595390288511123</v>
      </c>
      <c r="P694" s="42">
        <f t="shared" si="125"/>
        <v>3751.1837277638442</v>
      </c>
      <c r="Q694" s="42"/>
      <c r="R694">
        <v>0.47569200720236826</v>
      </c>
      <c r="S694">
        <v>0.59431745353556931</v>
      </c>
    </row>
    <row r="695" spans="1:19" x14ac:dyDescent="0.25">
      <c r="A695" s="40">
        <f t="shared" si="126"/>
        <v>0</v>
      </c>
      <c r="B695" s="40">
        <f t="shared" si="127"/>
        <v>50</v>
      </c>
      <c r="C695" s="41">
        <f t="shared" si="120"/>
        <v>1.0313000000000001</v>
      </c>
      <c r="D695" s="41">
        <f t="shared" si="121"/>
        <v>0.88000000000000012</v>
      </c>
      <c r="E695" s="39">
        <f>IF(_xlfn.NORM.INV(R695,C695,'Regressão Grupo 2'!$B$7)&lt;=0,0,IF(_xlfn.NORM.INV(R695,C695,'Regressão Grupo 2'!$B$7)&gt;100%,100%,_xlfn.NORM.INV(R695,C695,'Regressão Grupo 2'!$B$7)))</f>
        <v>1</v>
      </c>
      <c r="F695" s="39">
        <f>IF(_xlfn.NORM.INV(S695,D695,'Regressão Grupo 2'!$B$7)&lt;=0,0,IF(_xlfn.NORM.INV(S695,D695,'Regressão Grupo 2'!$B$7)&gt;100%,100%,_xlfn.NORM.INV(S695,D695,'Regressão Grupo 2'!$B$7)))</f>
        <v>1</v>
      </c>
      <c r="G695" s="41">
        <v>2.3987658021747158E-2</v>
      </c>
      <c r="H695" s="41">
        <v>2.3200769503740677E-2</v>
      </c>
      <c r="I695" s="40">
        <f t="shared" si="122"/>
        <v>0</v>
      </c>
      <c r="J695" s="40">
        <f t="shared" si="123"/>
        <v>464.01539007481352</v>
      </c>
      <c r="K695" s="36">
        <v>0.4013631266306259</v>
      </c>
      <c r="L695" s="42">
        <f t="shared" ref="L695:M710" si="131">L694</f>
        <v>0</v>
      </c>
      <c r="M695" s="42">
        <f t="shared" si="131"/>
        <v>20000</v>
      </c>
      <c r="N695" s="42">
        <f t="shared" si="124"/>
        <v>8027.262532612518</v>
      </c>
      <c r="O695" s="36">
        <v>4.1889912563060472</v>
      </c>
      <c r="P695" s="42">
        <f t="shared" si="125"/>
        <v>13229.750559313326</v>
      </c>
      <c r="Q695" s="42"/>
      <c r="R695">
        <v>0.77730643635364849</v>
      </c>
      <c r="S695">
        <v>0.91396832178716392</v>
      </c>
    </row>
    <row r="696" spans="1:19" x14ac:dyDescent="0.25">
      <c r="A696" s="40">
        <f t="shared" si="126"/>
        <v>0</v>
      </c>
      <c r="B696" s="40">
        <f t="shared" si="127"/>
        <v>50</v>
      </c>
      <c r="C696" s="41">
        <f t="shared" si="120"/>
        <v>1.0313000000000001</v>
      </c>
      <c r="D696" s="41">
        <f t="shared" si="121"/>
        <v>0.88000000000000012</v>
      </c>
      <c r="E696" s="39">
        <f>IF(_xlfn.NORM.INV(R696,C696,'Regressão Grupo 2'!$B$7)&lt;=0,0,IF(_xlfn.NORM.INV(R696,C696,'Regressão Grupo 2'!$B$7)&gt;100%,100%,_xlfn.NORM.INV(R696,C696,'Regressão Grupo 2'!$B$7)))</f>
        <v>0.78987292098994777</v>
      </c>
      <c r="F696" s="39">
        <f>IF(_xlfn.NORM.INV(S696,D696,'Regressão Grupo 2'!$B$7)&lt;=0,0,IF(_xlfn.NORM.INV(S696,D696,'Regressão Grupo 2'!$B$7)&gt;100%,100%,_xlfn.NORM.INV(S696,D696,'Regressão Grupo 2'!$B$7)))</f>
        <v>0.98306158242901442</v>
      </c>
      <c r="G696" s="41">
        <v>1.1471118672003561E-2</v>
      </c>
      <c r="H696" s="41">
        <v>2.6113109496571259E-2</v>
      </c>
      <c r="I696" s="40">
        <f t="shared" si="122"/>
        <v>0</v>
      </c>
      <c r="J696" s="40">
        <f t="shared" si="123"/>
        <v>513.41589487682927</v>
      </c>
      <c r="K696" s="36">
        <v>0.19779326325911817</v>
      </c>
      <c r="L696" s="42">
        <f t="shared" si="131"/>
        <v>0</v>
      </c>
      <c r="M696" s="42">
        <f t="shared" si="131"/>
        <v>20000</v>
      </c>
      <c r="N696" s="42">
        <f t="shared" si="124"/>
        <v>3955.8652651823631</v>
      </c>
      <c r="O696" s="36">
        <v>3.9185442556357613</v>
      </c>
      <c r="P696" s="42">
        <f t="shared" si="125"/>
        <v>19703.086573037406</v>
      </c>
      <c r="Q696" s="42"/>
      <c r="R696">
        <v>4.0406506546220286E-2</v>
      </c>
      <c r="S696">
        <v>0.77196569719534902</v>
      </c>
    </row>
    <row r="697" spans="1:19" x14ac:dyDescent="0.25">
      <c r="A697" s="40">
        <f t="shared" si="126"/>
        <v>0</v>
      </c>
      <c r="B697" s="40">
        <f t="shared" si="127"/>
        <v>50</v>
      </c>
      <c r="C697" s="41">
        <f t="shared" si="120"/>
        <v>1.0313000000000001</v>
      </c>
      <c r="D697" s="41">
        <f t="shared" si="121"/>
        <v>0.88000000000000012</v>
      </c>
      <c r="E697" s="39">
        <f>IF(_xlfn.NORM.INV(R697,C697,'Regressão Grupo 2'!$B$7)&lt;=0,0,IF(_xlfn.NORM.INV(R697,C697,'Regressão Grupo 2'!$B$7)&gt;100%,100%,_xlfn.NORM.INV(R697,C697,'Regressão Grupo 2'!$B$7)))</f>
        <v>1</v>
      </c>
      <c r="F697" s="39">
        <f>IF(_xlfn.NORM.INV(S697,D697,'Regressão Grupo 2'!$B$7)&lt;=0,0,IF(_xlfn.NORM.INV(S697,D697,'Regressão Grupo 2'!$B$7)&gt;100%,100%,_xlfn.NORM.INV(S697,D697,'Regressão Grupo 2'!$B$7)))</f>
        <v>0.91892141426486373</v>
      </c>
      <c r="G697" s="41">
        <v>7.2344128008322451E-3</v>
      </c>
      <c r="H697" s="41">
        <v>2.100592895932353E-2</v>
      </c>
      <c r="I697" s="40">
        <f t="shared" si="122"/>
        <v>0</v>
      </c>
      <c r="J697" s="40">
        <f t="shared" si="123"/>
        <v>386.05595894497668</v>
      </c>
      <c r="K697" s="36">
        <v>0.24643601089612627</v>
      </c>
      <c r="L697" s="42">
        <f t="shared" si="131"/>
        <v>0</v>
      </c>
      <c r="M697" s="42">
        <f t="shared" si="131"/>
        <v>20000</v>
      </c>
      <c r="N697" s="42">
        <f t="shared" si="124"/>
        <v>4928.7202179225251</v>
      </c>
      <c r="O697" s="36">
        <v>4.9916256309836644</v>
      </c>
      <c r="P697" s="42">
        <f t="shared" si="125"/>
        <v>12447.030909662586</v>
      </c>
      <c r="Q697" s="42"/>
      <c r="R697">
        <v>0.58381908627582624</v>
      </c>
      <c r="S697">
        <v>0.61082796716208376</v>
      </c>
    </row>
    <row r="698" spans="1:19" x14ac:dyDescent="0.25">
      <c r="A698" s="40">
        <f t="shared" si="126"/>
        <v>0</v>
      </c>
      <c r="B698" s="40">
        <f t="shared" si="127"/>
        <v>50</v>
      </c>
      <c r="C698" s="41">
        <f t="shared" si="120"/>
        <v>1.0313000000000001</v>
      </c>
      <c r="D698" s="41">
        <f t="shared" si="121"/>
        <v>0.88000000000000012</v>
      </c>
      <c r="E698" s="39">
        <f>IF(_xlfn.NORM.INV(R698,C698,'Regressão Grupo 2'!$B$7)&lt;=0,0,IF(_xlfn.NORM.INV(R698,C698,'Regressão Grupo 2'!$B$7)&gt;100%,100%,_xlfn.NORM.INV(R698,C698,'Regressão Grupo 2'!$B$7)))</f>
        <v>0.91313005352397703</v>
      </c>
      <c r="F698" s="39">
        <f>IF(_xlfn.NORM.INV(S698,D698,'Regressão Grupo 2'!$B$7)&lt;=0,0,IF(_xlfn.NORM.INV(S698,D698,'Regressão Grupo 2'!$B$7)&gt;100%,100%,_xlfn.NORM.INV(S698,D698,'Regressão Grupo 2'!$B$7)))</f>
        <v>0.98557837997819364</v>
      </c>
      <c r="G698" s="41">
        <v>1.8570319407216651E-2</v>
      </c>
      <c r="H698" s="41">
        <v>1.8222302007145138E-2</v>
      </c>
      <c r="I698" s="40">
        <f t="shared" si="122"/>
        <v>0</v>
      </c>
      <c r="J698" s="40">
        <f t="shared" si="123"/>
        <v>359.19013783350982</v>
      </c>
      <c r="K698" s="36">
        <v>0.29257912780624429</v>
      </c>
      <c r="L698" s="42">
        <f t="shared" si="131"/>
        <v>0</v>
      </c>
      <c r="M698" s="42">
        <f t="shared" si="131"/>
        <v>20000</v>
      </c>
      <c r="N698" s="42">
        <f t="shared" si="124"/>
        <v>5851.5825561248857</v>
      </c>
      <c r="O698" s="36">
        <v>6.3917760572833364</v>
      </c>
      <c r="P698" s="42">
        <f t="shared" si="125"/>
        <v>9812.0614125340744</v>
      </c>
      <c r="Q698" s="42"/>
      <c r="R698">
        <v>0.19638660847804193</v>
      </c>
      <c r="S698">
        <v>0.77742851039155247</v>
      </c>
    </row>
    <row r="699" spans="1:19" x14ac:dyDescent="0.25">
      <c r="A699" s="40">
        <f t="shared" si="126"/>
        <v>0</v>
      </c>
      <c r="B699" s="40">
        <f t="shared" si="127"/>
        <v>50</v>
      </c>
      <c r="C699" s="41">
        <f t="shared" si="120"/>
        <v>1.0313000000000001</v>
      </c>
      <c r="D699" s="41">
        <f t="shared" si="121"/>
        <v>0.88000000000000012</v>
      </c>
      <c r="E699" s="39">
        <f>IF(_xlfn.NORM.INV(R699,C699,'Regressão Grupo 2'!$B$7)&lt;=0,0,IF(_xlfn.NORM.INV(R699,C699,'Regressão Grupo 2'!$B$7)&gt;100%,100%,_xlfn.NORM.INV(R699,C699,'Regressão Grupo 2'!$B$7)))</f>
        <v>1</v>
      </c>
      <c r="F699" s="39">
        <f>IF(_xlfn.NORM.INV(S699,D699,'Regressão Grupo 2'!$B$7)&lt;=0,0,IF(_xlfn.NORM.INV(S699,D699,'Regressão Grupo 2'!$B$7)&gt;100%,100%,_xlfn.NORM.INV(S699,D699,'Regressão Grupo 2'!$B$7)))</f>
        <v>1</v>
      </c>
      <c r="G699" s="41">
        <v>2.0625865022512388E-2</v>
      </c>
      <c r="H699" s="41">
        <v>2.115307034071786E-2</v>
      </c>
      <c r="I699" s="40">
        <f t="shared" si="122"/>
        <v>0</v>
      </c>
      <c r="J699" s="40">
        <f t="shared" si="123"/>
        <v>423.06140681435721</v>
      </c>
      <c r="K699" s="36">
        <v>0.23741259831470382</v>
      </c>
      <c r="L699" s="42">
        <f t="shared" si="131"/>
        <v>0</v>
      </c>
      <c r="M699" s="42">
        <f t="shared" si="131"/>
        <v>20000</v>
      </c>
      <c r="N699" s="42">
        <f t="shared" si="124"/>
        <v>4748.2519662940767</v>
      </c>
      <c r="O699" s="36">
        <v>4.0153805340513067</v>
      </c>
      <c r="P699" s="42">
        <f t="shared" si="125"/>
        <v>14706.065836793052</v>
      </c>
      <c r="Q699" s="42"/>
      <c r="R699">
        <v>0.50874355296487317</v>
      </c>
      <c r="S699">
        <v>0.92818994720297865</v>
      </c>
    </row>
    <row r="700" spans="1:19" x14ac:dyDescent="0.25">
      <c r="A700" s="40">
        <f t="shared" si="126"/>
        <v>0</v>
      </c>
      <c r="B700" s="40">
        <f t="shared" si="127"/>
        <v>50</v>
      </c>
      <c r="C700" s="41">
        <f t="shared" si="120"/>
        <v>1.0313000000000001</v>
      </c>
      <c r="D700" s="41">
        <f t="shared" si="121"/>
        <v>0.88000000000000012</v>
      </c>
      <c r="E700" s="39">
        <f>IF(_xlfn.NORM.INV(R700,C700,'Regressão Grupo 2'!$B$7)&lt;=0,0,IF(_xlfn.NORM.INV(R700,C700,'Regressão Grupo 2'!$B$7)&gt;100%,100%,_xlfn.NORM.INV(R700,C700,'Regressão Grupo 2'!$B$7)))</f>
        <v>0.9244429057678234</v>
      </c>
      <c r="F700" s="39">
        <f>IF(_xlfn.NORM.INV(S700,D700,'Regressão Grupo 2'!$B$7)&lt;=0,0,IF(_xlfn.NORM.INV(S700,D700,'Regressão Grupo 2'!$B$7)&gt;100%,100%,_xlfn.NORM.INV(S700,D700,'Regressão Grupo 2'!$B$7)))</f>
        <v>0.6079543457751867</v>
      </c>
      <c r="G700" s="41">
        <v>6.7806998526321449E-3</v>
      </c>
      <c r="H700" s="41">
        <v>1.4237839177808022E-2</v>
      </c>
      <c r="I700" s="40">
        <f t="shared" si="122"/>
        <v>0</v>
      </c>
      <c r="J700" s="40">
        <f t="shared" si="123"/>
        <v>173.11912405193198</v>
      </c>
      <c r="K700" s="36">
        <v>0.27426524546850484</v>
      </c>
      <c r="L700" s="42">
        <f t="shared" si="131"/>
        <v>0</v>
      </c>
      <c r="M700" s="42">
        <f t="shared" si="131"/>
        <v>20000</v>
      </c>
      <c r="N700" s="42">
        <f t="shared" si="124"/>
        <v>5485.3049093700965</v>
      </c>
      <c r="O700" s="36">
        <v>8.0813441338699015</v>
      </c>
      <c r="P700" s="42">
        <f t="shared" si="125"/>
        <v>1771.6160756087256</v>
      </c>
      <c r="Q700" s="42"/>
      <c r="R700">
        <v>0.21982482375560777</v>
      </c>
      <c r="S700">
        <v>2.4567400128177739E-2</v>
      </c>
    </row>
    <row r="701" spans="1:19" x14ac:dyDescent="0.25">
      <c r="A701" s="40">
        <f t="shared" si="126"/>
        <v>0</v>
      </c>
      <c r="B701" s="40">
        <f t="shared" si="127"/>
        <v>50</v>
      </c>
      <c r="C701" s="41">
        <f t="shared" si="120"/>
        <v>1.0313000000000001</v>
      </c>
      <c r="D701" s="41">
        <f t="shared" si="121"/>
        <v>0.88000000000000012</v>
      </c>
      <c r="E701" s="39">
        <f>IF(_xlfn.NORM.INV(R701,C701,'Regressão Grupo 2'!$B$7)&lt;=0,0,IF(_xlfn.NORM.INV(R701,C701,'Regressão Grupo 2'!$B$7)&gt;100%,100%,_xlfn.NORM.INV(R701,C701,'Regressão Grupo 2'!$B$7)))</f>
        <v>0.8391928932157644</v>
      </c>
      <c r="F701" s="39">
        <f>IF(_xlfn.NORM.INV(S701,D701,'Regressão Grupo 2'!$B$7)&lt;=0,0,IF(_xlfn.NORM.INV(S701,D701,'Regressão Grupo 2'!$B$7)&gt;100%,100%,_xlfn.NORM.INV(S701,D701,'Regressão Grupo 2'!$B$7)))</f>
        <v>0.86585923243169916</v>
      </c>
      <c r="G701" s="41">
        <v>1.7374181083207138E-2</v>
      </c>
      <c r="H701" s="41">
        <v>1.7373347416508769E-2</v>
      </c>
      <c r="I701" s="40">
        <f t="shared" si="122"/>
        <v>0</v>
      </c>
      <c r="J701" s="40">
        <f t="shared" si="123"/>
        <v>300.85746517655053</v>
      </c>
      <c r="K701" s="36">
        <v>0.13209274715353675</v>
      </c>
      <c r="L701" s="42">
        <f t="shared" si="131"/>
        <v>0</v>
      </c>
      <c r="M701" s="42">
        <f t="shared" si="131"/>
        <v>20000</v>
      </c>
      <c r="N701" s="42">
        <f t="shared" si="124"/>
        <v>2641.8549430707349</v>
      </c>
      <c r="O701" s="36">
        <v>6.7734355820750078</v>
      </c>
      <c r="P701" s="42">
        <f t="shared" si="125"/>
        <v>10363.179655997052</v>
      </c>
      <c r="Q701" s="42"/>
      <c r="R701">
        <v>8.2369457075716426E-2</v>
      </c>
      <c r="S701">
        <v>0.45927304910428174</v>
      </c>
    </row>
    <row r="702" spans="1:19" x14ac:dyDescent="0.25">
      <c r="A702" s="40">
        <f t="shared" si="126"/>
        <v>0</v>
      </c>
      <c r="B702" s="40">
        <f t="shared" si="127"/>
        <v>50</v>
      </c>
      <c r="C702" s="41">
        <f t="shared" si="120"/>
        <v>1.0313000000000001</v>
      </c>
      <c r="D702" s="41">
        <f t="shared" si="121"/>
        <v>0.88000000000000012</v>
      </c>
      <c r="E702" s="39">
        <f>IF(_xlfn.NORM.INV(R702,C702,'Regressão Grupo 2'!$B$7)&lt;=0,0,IF(_xlfn.NORM.INV(R702,C702,'Regressão Grupo 2'!$B$7)&gt;100%,100%,_xlfn.NORM.INV(R702,C702,'Regressão Grupo 2'!$B$7)))</f>
        <v>0.95025868338063868</v>
      </c>
      <c r="F702" s="39">
        <f>IF(_xlfn.NORM.INV(S702,D702,'Regressão Grupo 2'!$B$7)&lt;=0,0,IF(_xlfn.NORM.INV(S702,D702,'Regressão Grupo 2'!$B$7)&gt;100%,100%,_xlfn.NORM.INV(S702,D702,'Regressão Grupo 2'!$B$7)))</f>
        <v>0.93921482910694043</v>
      </c>
      <c r="G702" s="41">
        <v>2.1092266407104814E-2</v>
      </c>
      <c r="H702" s="41">
        <v>1.6555792331958086E-2</v>
      </c>
      <c r="I702" s="40">
        <f t="shared" si="122"/>
        <v>0</v>
      </c>
      <c r="J702" s="40">
        <f t="shared" si="123"/>
        <v>310.98891331580018</v>
      </c>
      <c r="K702" s="36">
        <v>0.37137576347555418</v>
      </c>
      <c r="L702" s="42">
        <f t="shared" si="131"/>
        <v>0</v>
      </c>
      <c r="M702" s="42">
        <f t="shared" si="131"/>
        <v>20000</v>
      </c>
      <c r="N702" s="42">
        <f t="shared" si="124"/>
        <v>7427.5152695110837</v>
      </c>
      <c r="O702" s="36">
        <v>4.1187467288101729</v>
      </c>
      <c r="P702" s="42">
        <f t="shared" si="125"/>
        <v>6841.0458268632419</v>
      </c>
      <c r="Q702" s="42"/>
      <c r="R702">
        <v>0.27890865810113835</v>
      </c>
      <c r="S702">
        <v>0.6657612842188787</v>
      </c>
    </row>
    <row r="703" spans="1:19" x14ac:dyDescent="0.25">
      <c r="A703" s="40">
        <f t="shared" si="126"/>
        <v>0</v>
      </c>
      <c r="B703" s="40">
        <f t="shared" si="127"/>
        <v>50</v>
      </c>
      <c r="C703" s="41">
        <f t="shared" si="120"/>
        <v>1.0313000000000001</v>
      </c>
      <c r="D703" s="41">
        <f t="shared" si="121"/>
        <v>0.88000000000000012</v>
      </c>
      <c r="E703" s="39">
        <f>IF(_xlfn.NORM.INV(R703,C703,'Regressão Grupo 2'!$B$7)&lt;=0,0,IF(_xlfn.NORM.INV(R703,C703,'Regressão Grupo 2'!$B$7)&gt;100%,100%,_xlfn.NORM.INV(R703,C703,'Regressão Grupo 2'!$B$7)))</f>
        <v>0.98817801639865532</v>
      </c>
      <c r="F703" s="39">
        <f>IF(_xlfn.NORM.INV(S703,D703,'Regressão Grupo 2'!$B$7)&lt;=0,0,IF(_xlfn.NORM.INV(S703,D703,'Regressão Grupo 2'!$B$7)&gt;100%,100%,_xlfn.NORM.INV(S703,D703,'Regressão Grupo 2'!$B$7)))</f>
        <v>1</v>
      </c>
      <c r="G703" s="41">
        <v>2.0418166575119859E-2</v>
      </c>
      <c r="H703" s="41">
        <v>2.9714355468749998E-2</v>
      </c>
      <c r="I703" s="40">
        <f t="shared" si="122"/>
        <v>0</v>
      </c>
      <c r="J703" s="40">
        <f t="shared" si="123"/>
        <v>594.287109375</v>
      </c>
      <c r="K703" s="36">
        <v>0.28910171480415009</v>
      </c>
      <c r="L703" s="42">
        <f t="shared" si="131"/>
        <v>0</v>
      </c>
      <c r="M703" s="42">
        <f t="shared" si="131"/>
        <v>20000</v>
      </c>
      <c r="N703" s="42">
        <f t="shared" si="124"/>
        <v>5782.0342960830021</v>
      </c>
      <c r="O703" s="36">
        <v>9.0160309613590215</v>
      </c>
      <c r="P703" s="42">
        <f t="shared" si="125"/>
        <v>18574.210194605443</v>
      </c>
      <c r="Q703" s="42"/>
      <c r="R703">
        <v>0.37757499923703725</v>
      </c>
      <c r="S703">
        <v>0.89611499374370551</v>
      </c>
    </row>
    <row r="704" spans="1:19" x14ac:dyDescent="0.25">
      <c r="A704" s="40">
        <f t="shared" si="126"/>
        <v>0</v>
      </c>
      <c r="B704" s="40">
        <f t="shared" si="127"/>
        <v>50</v>
      </c>
      <c r="C704" s="41">
        <f t="shared" si="120"/>
        <v>1.0313000000000001</v>
      </c>
      <c r="D704" s="41">
        <f t="shared" si="121"/>
        <v>0.88000000000000012</v>
      </c>
      <c r="E704" s="39">
        <f>IF(_xlfn.NORM.INV(R704,C704,'Regressão Grupo 2'!$B$7)&lt;=0,0,IF(_xlfn.NORM.INV(R704,C704,'Regressão Grupo 2'!$B$7)&gt;100%,100%,_xlfn.NORM.INV(R704,C704,'Regressão Grupo 2'!$B$7)))</f>
        <v>0.82257204075661194</v>
      </c>
      <c r="F704" s="39">
        <f>IF(_xlfn.NORM.INV(S704,D704,'Regressão Grupo 2'!$B$7)&lt;=0,0,IF(_xlfn.NORM.INV(S704,D704,'Regressão Grupo 2'!$B$7)&gt;100%,100%,_xlfn.NORM.INV(S704,D704,'Regressão Grupo 2'!$B$7)))</f>
        <v>1</v>
      </c>
      <c r="G704" s="41">
        <v>2.6409421744787845E-2</v>
      </c>
      <c r="H704" s="41">
        <v>2.0019607693541285E-2</v>
      </c>
      <c r="I704" s="40">
        <f t="shared" si="122"/>
        <v>0</v>
      </c>
      <c r="J704" s="40">
        <f t="shared" si="123"/>
        <v>400.39215387082572</v>
      </c>
      <c r="K704" s="36">
        <v>0.17015539631823315</v>
      </c>
      <c r="L704" s="42">
        <f t="shared" si="131"/>
        <v>0</v>
      </c>
      <c r="M704" s="42">
        <f t="shared" si="131"/>
        <v>20000</v>
      </c>
      <c r="N704" s="42">
        <f t="shared" si="124"/>
        <v>3403.1079263646629</v>
      </c>
      <c r="O704" s="36">
        <v>6.4386296821671163</v>
      </c>
      <c r="P704" s="42">
        <f t="shared" si="125"/>
        <v>14038.5229607571</v>
      </c>
      <c r="Q704" s="42"/>
      <c r="R704">
        <v>6.5584276863917962E-2</v>
      </c>
      <c r="S704">
        <v>0.82079531235694447</v>
      </c>
    </row>
    <row r="705" spans="1:19" x14ac:dyDescent="0.25">
      <c r="A705" s="40">
        <f t="shared" si="126"/>
        <v>0</v>
      </c>
      <c r="B705" s="40">
        <f t="shared" si="127"/>
        <v>50</v>
      </c>
      <c r="C705" s="41">
        <f t="shared" si="120"/>
        <v>1.0313000000000001</v>
      </c>
      <c r="D705" s="41">
        <f t="shared" si="121"/>
        <v>0.88000000000000012</v>
      </c>
      <c r="E705" s="39">
        <f>IF(_xlfn.NORM.INV(R705,C705,'Regressão Grupo 2'!$B$7)&lt;=0,0,IF(_xlfn.NORM.INV(R705,C705,'Regressão Grupo 2'!$B$7)&gt;100%,100%,_xlfn.NORM.INV(R705,C705,'Regressão Grupo 2'!$B$7)))</f>
        <v>1</v>
      </c>
      <c r="F705" s="39">
        <f>IF(_xlfn.NORM.INV(S705,D705,'Regressão Grupo 2'!$B$7)&lt;=0,0,IF(_xlfn.NORM.INV(S705,D705,'Regressão Grupo 2'!$B$7)&gt;100%,100%,_xlfn.NORM.INV(S705,D705,'Regressão Grupo 2'!$B$7)))</f>
        <v>0.82359040063701761</v>
      </c>
      <c r="G705" s="41">
        <v>1.9593398132085108E-2</v>
      </c>
      <c r="H705" s="41">
        <v>2.6196785838060344E-2</v>
      </c>
      <c r="I705" s="40">
        <f t="shared" si="122"/>
        <v>0</v>
      </c>
      <c r="J705" s="40">
        <f t="shared" si="123"/>
        <v>431.50842687540535</v>
      </c>
      <c r="K705" s="36">
        <v>0.32238771041398262</v>
      </c>
      <c r="L705" s="42">
        <f t="shared" si="131"/>
        <v>0</v>
      </c>
      <c r="M705" s="42">
        <f t="shared" si="131"/>
        <v>20000</v>
      </c>
      <c r="N705" s="42">
        <f t="shared" si="124"/>
        <v>6447.7542082796526</v>
      </c>
      <c r="O705" s="36">
        <v>6.4679810485848899</v>
      </c>
      <c r="P705" s="42">
        <f t="shared" si="125"/>
        <v>12336.678808155815</v>
      </c>
      <c r="Q705" s="42"/>
      <c r="R705">
        <v>0.94741660817285689</v>
      </c>
      <c r="S705">
        <v>0.34165471358378857</v>
      </c>
    </row>
    <row r="706" spans="1:19" x14ac:dyDescent="0.25">
      <c r="A706" s="40">
        <f t="shared" si="126"/>
        <v>0</v>
      </c>
      <c r="B706" s="40">
        <f t="shared" si="127"/>
        <v>50</v>
      </c>
      <c r="C706" s="41">
        <f t="shared" si="120"/>
        <v>1.0313000000000001</v>
      </c>
      <c r="D706" s="41">
        <f t="shared" si="121"/>
        <v>0.88000000000000012</v>
      </c>
      <c r="E706" s="39">
        <f>IF(_xlfn.NORM.INV(R706,C706,'Regressão Grupo 2'!$B$7)&lt;=0,0,IF(_xlfn.NORM.INV(R706,C706,'Regressão Grupo 2'!$B$7)&gt;100%,100%,_xlfn.NORM.INV(R706,C706,'Regressão Grupo 2'!$B$7)))</f>
        <v>1</v>
      </c>
      <c r="F706" s="39">
        <f>IF(_xlfn.NORM.INV(S706,D706,'Regressão Grupo 2'!$B$7)&lt;=0,0,IF(_xlfn.NORM.INV(S706,D706,'Regressão Grupo 2'!$B$7)&gt;100%,100%,_xlfn.NORM.INV(S706,D706,'Regressão Grupo 2'!$B$7)))</f>
        <v>0.92817117121124582</v>
      </c>
      <c r="G706" s="41">
        <v>1.9525764610568246E-2</v>
      </c>
      <c r="H706" s="41">
        <v>1.6184432088806853E-2</v>
      </c>
      <c r="I706" s="40">
        <f t="shared" si="122"/>
        <v>0</v>
      </c>
      <c r="J706" s="40">
        <f t="shared" si="123"/>
        <v>300.43846574513452</v>
      </c>
      <c r="K706" s="36">
        <v>0.17258155839270317</v>
      </c>
      <c r="L706" s="42">
        <f t="shared" si="131"/>
        <v>0</v>
      </c>
      <c r="M706" s="42">
        <f t="shared" si="131"/>
        <v>20000</v>
      </c>
      <c r="N706" s="42">
        <f t="shared" si="124"/>
        <v>3451.6311678540633</v>
      </c>
      <c r="O706" s="36">
        <v>3.6282346150406326</v>
      </c>
      <c r="P706" s="42">
        <f t="shared" si="125"/>
        <v>10480.230878296468</v>
      </c>
      <c r="Q706" s="42"/>
      <c r="R706">
        <v>0.48432874538407544</v>
      </c>
      <c r="S706">
        <v>0.63621936704611348</v>
      </c>
    </row>
    <row r="707" spans="1:19" x14ac:dyDescent="0.25">
      <c r="A707" s="40">
        <f t="shared" si="126"/>
        <v>0</v>
      </c>
      <c r="B707" s="40">
        <f t="shared" si="127"/>
        <v>50</v>
      </c>
      <c r="C707" s="41">
        <f t="shared" si="120"/>
        <v>1.0313000000000001</v>
      </c>
      <c r="D707" s="41">
        <f t="shared" si="121"/>
        <v>0.88000000000000012</v>
      </c>
      <c r="E707" s="39">
        <f>IF(_xlfn.NORM.INV(R707,C707,'Regressão Grupo 2'!$B$7)&lt;=0,0,IF(_xlfn.NORM.INV(R707,C707,'Regressão Grupo 2'!$B$7)&gt;100%,100%,_xlfn.NORM.INV(R707,C707,'Regressão Grupo 2'!$B$7)))</f>
        <v>0.94763148618762738</v>
      </c>
      <c r="F707" s="39">
        <f>IF(_xlfn.NORM.INV(S707,D707,'Regressão Grupo 2'!$B$7)&lt;=0,0,IF(_xlfn.NORM.INV(S707,D707,'Regressão Grupo 2'!$B$7)&gt;100%,100%,_xlfn.NORM.INV(S707,D707,'Regressão Grupo 2'!$B$7)))</f>
        <v>0.6969186618287071</v>
      </c>
      <c r="G707" s="41">
        <v>1.6642532239335178E-2</v>
      </c>
      <c r="H707" s="41">
        <v>1.9865465972393487E-2</v>
      </c>
      <c r="I707" s="40">
        <f t="shared" si="122"/>
        <v>0</v>
      </c>
      <c r="J707" s="40">
        <f t="shared" si="123"/>
        <v>276.8922792416837</v>
      </c>
      <c r="K707" s="36">
        <v>0.23206069888734041</v>
      </c>
      <c r="L707" s="42">
        <f t="shared" si="131"/>
        <v>0</v>
      </c>
      <c r="M707" s="42">
        <f t="shared" si="131"/>
        <v>20000</v>
      </c>
      <c r="N707" s="42">
        <f t="shared" si="124"/>
        <v>4641.2139777468083</v>
      </c>
      <c r="O707" s="36">
        <v>4.7310730097707907</v>
      </c>
      <c r="P707" s="42">
        <f t="shared" si="125"/>
        <v>7893.4023954031281</v>
      </c>
      <c r="Q707" s="42"/>
      <c r="R707">
        <v>0.27256080813013095</v>
      </c>
      <c r="S707">
        <v>9.2745750297555468E-2</v>
      </c>
    </row>
    <row r="708" spans="1:19" x14ac:dyDescent="0.25">
      <c r="A708" s="40">
        <f t="shared" si="126"/>
        <v>0</v>
      </c>
      <c r="B708" s="40">
        <f t="shared" si="127"/>
        <v>50</v>
      </c>
      <c r="C708" s="41">
        <f t="shared" si="120"/>
        <v>1.0313000000000001</v>
      </c>
      <c r="D708" s="41">
        <f t="shared" si="121"/>
        <v>0.88000000000000012</v>
      </c>
      <c r="E708" s="39">
        <f>IF(_xlfn.NORM.INV(R708,C708,'Regressão Grupo 2'!$B$7)&lt;=0,0,IF(_xlfn.NORM.INV(R708,C708,'Regressão Grupo 2'!$B$7)&gt;100%,100%,_xlfn.NORM.INV(R708,C708,'Regressão Grupo 2'!$B$7)))</f>
        <v>1</v>
      </c>
      <c r="F708" s="39">
        <f>IF(_xlfn.NORM.INV(S708,D708,'Regressão Grupo 2'!$B$7)&lt;=0,0,IF(_xlfn.NORM.INV(S708,D708,'Regressão Grupo 2'!$B$7)&gt;100%,100%,_xlfn.NORM.INV(S708,D708,'Regressão Grupo 2'!$B$7)))</f>
        <v>0.9082531462753356</v>
      </c>
      <c r="G708" s="41">
        <v>1.9793578875337677E-2</v>
      </c>
      <c r="H708" s="41">
        <v>1.8512370149413315E-2</v>
      </c>
      <c r="I708" s="40">
        <f t="shared" si="122"/>
        <v>0</v>
      </c>
      <c r="J708" s="40">
        <f t="shared" si="123"/>
        <v>336.2783686643649</v>
      </c>
      <c r="K708" s="36">
        <v>0.44118669065734389</v>
      </c>
      <c r="L708" s="42">
        <f t="shared" si="131"/>
        <v>0</v>
      </c>
      <c r="M708" s="42">
        <f t="shared" si="131"/>
        <v>20000</v>
      </c>
      <c r="N708" s="42">
        <f t="shared" si="124"/>
        <v>8823.7338131468787</v>
      </c>
      <c r="O708" s="36">
        <v>6.6998042783257876</v>
      </c>
      <c r="P708" s="42">
        <f t="shared" si="125"/>
        <v>5737.1853669854372</v>
      </c>
      <c r="Q708" s="42"/>
      <c r="R708">
        <v>0.92843409527878662</v>
      </c>
      <c r="S708">
        <v>0.58095034638508258</v>
      </c>
    </row>
    <row r="709" spans="1:19" x14ac:dyDescent="0.25">
      <c r="A709" s="40">
        <f t="shared" si="126"/>
        <v>0</v>
      </c>
      <c r="B709" s="40">
        <f t="shared" si="127"/>
        <v>50</v>
      </c>
      <c r="C709" s="41">
        <f t="shared" si="120"/>
        <v>1.0313000000000001</v>
      </c>
      <c r="D709" s="41">
        <f t="shared" si="121"/>
        <v>0.88000000000000012</v>
      </c>
      <c r="E709" s="39">
        <f>IF(_xlfn.NORM.INV(R709,C709,'Regressão Grupo 2'!$B$7)&lt;=0,0,IF(_xlfn.NORM.INV(R709,C709,'Regressão Grupo 2'!$B$7)&gt;100%,100%,_xlfn.NORM.INV(R709,C709,'Regressão Grupo 2'!$B$7)))</f>
        <v>1</v>
      </c>
      <c r="F709" s="39">
        <f>IF(_xlfn.NORM.INV(S709,D709,'Regressão Grupo 2'!$B$7)&lt;=0,0,IF(_xlfn.NORM.INV(S709,D709,'Regressão Grupo 2'!$B$7)&gt;100%,100%,_xlfn.NORM.INV(S709,D709,'Regressão Grupo 2'!$B$7)))</f>
        <v>0.89727085086310576</v>
      </c>
      <c r="G709" s="41">
        <v>4.1484657760777156E-3</v>
      </c>
      <c r="H709" s="41">
        <v>2.610272637809969E-2</v>
      </c>
      <c r="I709" s="40">
        <f t="shared" si="122"/>
        <v>0</v>
      </c>
      <c r="J709" s="40">
        <f t="shared" si="123"/>
        <v>468.42431014248689</v>
      </c>
      <c r="K709" s="36">
        <v>0.44968778811709048</v>
      </c>
      <c r="L709" s="42">
        <f t="shared" si="131"/>
        <v>0</v>
      </c>
      <c r="M709" s="42">
        <f t="shared" si="131"/>
        <v>20000</v>
      </c>
      <c r="N709" s="42">
        <f t="shared" si="124"/>
        <v>8993.7557623418088</v>
      </c>
      <c r="O709" s="36">
        <v>4.7782469620768282</v>
      </c>
      <c r="P709" s="42">
        <f t="shared" si="125"/>
        <v>12189.212707881261</v>
      </c>
      <c r="Q709" s="42"/>
      <c r="R709">
        <v>0.49967955565050204</v>
      </c>
      <c r="S709">
        <v>0.54969939268166146</v>
      </c>
    </row>
    <row r="710" spans="1:19" x14ac:dyDescent="0.25">
      <c r="A710" s="40">
        <f t="shared" si="126"/>
        <v>0</v>
      </c>
      <c r="B710" s="40">
        <f t="shared" si="127"/>
        <v>50</v>
      </c>
      <c r="C710" s="41">
        <f t="shared" ref="C710:C773" si="132">-0.0071*A710 + 1.0313</f>
        <v>1.0313000000000001</v>
      </c>
      <c r="D710" s="41">
        <f t="shared" ref="D710:D773" si="133">-0.0059*B710+1.175</f>
        <v>0.88000000000000012</v>
      </c>
      <c r="E710" s="39">
        <f>IF(_xlfn.NORM.INV(R710,C710,'Regressão Grupo 2'!$B$7)&lt;=0,0,IF(_xlfn.NORM.INV(R710,C710,'Regressão Grupo 2'!$B$7)&gt;100%,100%,_xlfn.NORM.INV(R710,C710,'Regressão Grupo 2'!$B$7)))</f>
        <v>0.90252336029022429</v>
      </c>
      <c r="F710" s="39">
        <f>IF(_xlfn.NORM.INV(S710,D710,'Regressão Grupo 2'!$B$7)&lt;=0,0,IF(_xlfn.NORM.INV(S710,D710,'Regressão Grupo 2'!$B$7)&gt;100%,100%,_xlfn.NORM.INV(S710,D710,'Regressão Grupo 2'!$B$7)))</f>
        <v>1</v>
      </c>
      <c r="G710" s="41">
        <v>7.1839672196899896E-3</v>
      </c>
      <c r="H710" s="41">
        <v>1.6822402363603092E-2</v>
      </c>
      <c r="I710" s="40">
        <f t="shared" ref="I710:I773" si="134">IF(E710*G710*L710&gt;0,E710*G710*L710,0)</f>
        <v>0</v>
      </c>
      <c r="J710" s="40">
        <f t="shared" ref="J710:J773" si="135">IF(F710*H710*M710&gt;0,F710*H710*M710,0)</f>
        <v>336.44804727206184</v>
      </c>
      <c r="K710" s="36">
        <v>0.22731639357593017</v>
      </c>
      <c r="L710" s="42">
        <f t="shared" si="131"/>
        <v>0</v>
      </c>
      <c r="M710" s="42">
        <f t="shared" si="131"/>
        <v>20000</v>
      </c>
      <c r="N710" s="42">
        <f t="shared" ref="N710:N773" si="136">(L710+M710)*K710</f>
        <v>4546.3278715186034</v>
      </c>
      <c r="O710" s="36">
        <v>3.3287087672197773</v>
      </c>
      <c r="P710" s="42">
        <f t="shared" ref="P710:P773" si="137">SUMPRODUCT(A710:B710,I710:J710)-SUM(I710:J710)*O710-N710</f>
        <v>11156.136927416002</v>
      </c>
      <c r="Q710" s="42"/>
      <c r="R710">
        <v>0.17584765160069582</v>
      </c>
      <c r="S710">
        <v>0.88421277504806661</v>
      </c>
    </row>
    <row r="711" spans="1:19" x14ac:dyDescent="0.25">
      <c r="A711" s="40">
        <f t="shared" ref="A711:A774" si="138">A710</f>
        <v>0</v>
      </c>
      <c r="B711" s="40">
        <f t="shared" ref="B711:B774" si="139">B710</f>
        <v>50</v>
      </c>
      <c r="C711" s="41">
        <f t="shared" si="132"/>
        <v>1.0313000000000001</v>
      </c>
      <c r="D711" s="41">
        <f t="shared" si="133"/>
        <v>0.88000000000000012</v>
      </c>
      <c r="E711" s="39">
        <f>IF(_xlfn.NORM.INV(R711,C711,'Regressão Grupo 2'!$B$7)&lt;=0,0,IF(_xlfn.NORM.INV(R711,C711,'Regressão Grupo 2'!$B$7)&gt;100%,100%,_xlfn.NORM.INV(R711,C711,'Regressão Grupo 2'!$B$7)))</f>
        <v>1</v>
      </c>
      <c r="F711" s="39">
        <f>IF(_xlfn.NORM.INV(S711,D711,'Regressão Grupo 2'!$B$7)&lt;=0,0,IF(_xlfn.NORM.INV(S711,D711,'Regressão Grupo 2'!$B$7)&gt;100%,100%,_xlfn.NORM.INV(S711,D711,'Regressão Grupo 2'!$B$7)))</f>
        <v>0.84834647273230668</v>
      </c>
      <c r="G711" s="41">
        <v>2.8076591731153365E-2</v>
      </c>
      <c r="H711" s="41">
        <v>8.7598983091173987E-3</v>
      </c>
      <c r="I711" s="40">
        <f t="shared" si="134"/>
        <v>0</v>
      </c>
      <c r="J711" s="40">
        <f t="shared" si="135"/>
        <v>148.62857664066885</v>
      </c>
      <c r="K711" s="36">
        <v>0.36459919557796283</v>
      </c>
      <c r="L711" s="42">
        <f t="shared" ref="L711:M726" si="140">L710</f>
        <v>0</v>
      </c>
      <c r="M711" s="42">
        <f t="shared" si="140"/>
        <v>20000</v>
      </c>
      <c r="N711" s="42">
        <f t="shared" si="136"/>
        <v>7291.9839115592567</v>
      </c>
      <c r="O711" s="36">
        <v>4.9744081585681652</v>
      </c>
      <c r="P711" s="42">
        <f t="shared" si="137"/>
        <v>-599.89428376353135</v>
      </c>
      <c r="Q711" s="42"/>
      <c r="R711">
        <v>0.75209814752647486</v>
      </c>
      <c r="S711">
        <v>0.40946684163945435</v>
      </c>
    </row>
    <row r="712" spans="1:19" x14ac:dyDescent="0.25">
      <c r="A712" s="40">
        <f t="shared" si="138"/>
        <v>0</v>
      </c>
      <c r="B712" s="40">
        <f t="shared" si="139"/>
        <v>50</v>
      </c>
      <c r="C712" s="41">
        <f t="shared" si="132"/>
        <v>1.0313000000000001</v>
      </c>
      <c r="D712" s="41">
        <f t="shared" si="133"/>
        <v>0.88000000000000012</v>
      </c>
      <c r="E712" s="39">
        <f>IF(_xlfn.NORM.INV(R712,C712,'Regressão Grupo 2'!$B$7)&lt;=0,0,IF(_xlfn.NORM.INV(R712,C712,'Regressão Grupo 2'!$B$7)&gt;100%,100%,_xlfn.NORM.INV(R712,C712,'Regressão Grupo 2'!$B$7)))</f>
        <v>1</v>
      </c>
      <c r="F712" s="39">
        <f>IF(_xlfn.NORM.INV(S712,D712,'Regressão Grupo 2'!$B$7)&lt;=0,0,IF(_xlfn.NORM.INV(S712,D712,'Regressão Grupo 2'!$B$7)&gt;100%,100%,_xlfn.NORM.INV(S712,D712,'Regressão Grupo 2'!$B$7)))</f>
        <v>0.88782650670611485</v>
      </c>
      <c r="G712" s="41">
        <v>1.3857149601332157E-2</v>
      </c>
      <c r="H712" s="41">
        <v>2.1461999524712325E-2</v>
      </c>
      <c r="I712" s="40">
        <f t="shared" si="134"/>
        <v>0</v>
      </c>
      <c r="J712" s="40">
        <f t="shared" si="135"/>
        <v>381.09064129907279</v>
      </c>
      <c r="K712" s="36">
        <v>0.37599348048459624</v>
      </c>
      <c r="L712" s="42">
        <f t="shared" si="140"/>
        <v>0</v>
      </c>
      <c r="M712" s="42">
        <f t="shared" si="140"/>
        <v>20000</v>
      </c>
      <c r="N712" s="42">
        <f t="shared" si="136"/>
        <v>7519.8696096919248</v>
      </c>
      <c r="O712" s="36">
        <v>4.3867689336567359</v>
      </c>
      <c r="P712" s="42">
        <f t="shared" si="137"/>
        <v>9862.9058691036207</v>
      </c>
      <c r="Q712" s="42"/>
      <c r="R712">
        <v>0.43510238959929198</v>
      </c>
      <c r="S712">
        <v>0.52256843775749995</v>
      </c>
    </row>
    <row r="713" spans="1:19" x14ac:dyDescent="0.25">
      <c r="A713" s="40">
        <f t="shared" si="138"/>
        <v>0</v>
      </c>
      <c r="B713" s="40">
        <f t="shared" si="139"/>
        <v>50</v>
      </c>
      <c r="C713" s="41">
        <f t="shared" si="132"/>
        <v>1.0313000000000001</v>
      </c>
      <c r="D713" s="41">
        <f t="shared" si="133"/>
        <v>0.88000000000000012</v>
      </c>
      <c r="E713" s="39">
        <f>IF(_xlfn.NORM.INV(R713,C713,'Regressão Grupo 2'!$B$7)&lt;=0,0,IF(_xlfn.NORM.INV(R713,C713,'Regressão Grupo 2'!$B$7)&gt;100%,100%,_xlfn.NORM.INV(R713,C713,'Regressão Grupo 2'!$B$7)))</f>
        <v>1</v>
      </c>
      <c r="F713" s="39">
        <f>IF(_xlfn.NORM.INV(S713,D713,'Regressão Grupo 2'!$B$7)&lt;=0,0,IF(_xlfn.NORM.INV(S713,D713,'Regressão Grupo 2'!$B$7)&gt;100%,100%,_xlfn.NORM.INV(S713,D713,'Regressão Grupo 2'!$B$7)))</f>
        <v>0.99538959571610763</v>
      </c>
      <c r="G713" s="41">
        <v>1.5001450706902149E-2</v>
      </c>
      <c r="H713" s="41">
        <v>1.4377670869244734E-2</v>
      </c>
      <c r="I713" s="40">
        <f t="shared" si="134"/>
        <v>0</v>
      </c>
      <c r="J713" s="40">
        <f t="shared" si="135"/>
        <v>286.22767987753548</v>
      </c>
      <c r="K713" s="36">
        <v>0.31688876311168646</v>
      </c>
      <c r="L713" s="42">
        <f t="shared" si="140"/>
        <v>0</v>
      </c>
      <c r="M713" s="42">
        <f t="shared" si="140"/>
        <v>20000</v>
      </c>
      <c r="N713" s="42">
        <f t="shared" si="136"/>
        <v>6337.7752622337293</v>
      </c>
      <c r="O713" s="36">
        <v>5.7995356583674846</v>
      </c>
      <c r="P713" s="42">
        <f t="shared" si="137"/>
        <v>6313.6210957814847</v>
      </c>
      <c r="Q713" s="42"/>
      <c r="R713">
        <v>0.79393902401806693</v>
      </c>
      <c r="S713">
        <v>0.79799798577837455</v>
      </c>
    </row>
    <row r="714" spans="1:19" x14ac:dyDescent="0.25">
      <c r="A714" s="40">
        <f t="shared" si="138"/>
        <v>0</v>
      </c>
      <c r="B714" s="40">
        <f t="shared" si="139"/>
        <v>50</v>
      </c>
      <c r="C714" s="41">
        <f t="shared" si="132"/>
        <v>1.0313000000000001</v>
      </c>
      <c r="D714" s="41">
        <f t="shared" si="133"/>
        <v>0.88000000000000012</v>
      </c>
      <c r="E714" s="39">
        <f>IF(_xlfn.NORM.INV(R714,C714,'Regressão Grupo 2'!$B$7)&lt;=0,0,IF(_xlfn.NORM.INV(R714,C714,'Regressão Grupo 2'!$B$7)&gt;100%,100%,_xlfn.NORM.INV(R714,C714,'Regressão Grupo 2'!$B$7)))</f>
        <v>1</v>
      </c>
      <c r="F714" s="39">
        <f>IF(_xlfn.NORM.INV(S714,D714,'Regressão Grupo 2'!$B$7)&lt;=0,0,IF(_xlfn.NORM.INV(S714,D714,'Regressão Grupo 2'!$B$7)&gt;100%,100%,_xlfn.NORM.INV(S714,D714,'Regressão Grupo 2'!$B$7)))</f>
        <v>0.93774575477910571</v>
      </c>
      <c r="G714" s="41">
        <v>1.6886183953271478E-2</v>
      </c>
      <c r="H714" s="41">
        <v>1.7792304787668391E-2</v>
      </c>
      <c r="I714" s="40">
        <f t="shared" si="134"/>
        <v>0</v>
      </c>
      <c r="J714" s="40">
        <f t="shared" si="135"/>
        <v>333.69316564743986</v>
      </c>
      <c r="K714" s="36">
        <v>0.21375190565588006</v>
      </c>
      <c r="L714" s="42">
        <f t="shared" si="140"/>
        <v>0</v>
      </c>
      <c r="M714" s="42">
        <f t="shared" si="140"/>
        <v>20000</v>
      </c>
      <c r="N714" s="42">
        <f t="shared" si="136"/>
        <v>4275.0381131176009</v>
      </c>
      <c r="O714" s="36">
        <v>8.5838455819821551</v>
      </c>
      <c r="P714" s="42">
        <f t="shared" si="137"/>
        <v>9545.249563573976</v>
      </c>
      <c r="Q714" s="42"/>
      <c r="R714">
        <v>0.57289345988341933</v>
      </c>
      <c r="S714">
        <v>0.66188543351542706</v>
      </c>
    </row>
    <row r="715" spans="1:19" x14ac:dyDescent="0.25">
      <c r="A715" s="40">
        <f t="shared" si="138"/>
        <v>0</v>
      </c>
      <c r="B715" s="40">
        <f t="shared" si="139"/>
        <v>50</v>
      </c>
      <c r="C715" s="41">
        <f t="shared" si="132"/>
        <v>1.0313000000000001</v>
      </c>
      <c r="D715" s="41">
        <f t="shared" si="133"/>
        <v>0.88000000000000012</v>
      </c>
      <c r="E715" s="39">
        <f>IF(_xlfn.NORM.INV(R715,C715,'Regressão Grupo 2'!$B$7)&lt;=0,0,IF(_xlfn.NORM.INV(R715,C715,'Regressão Grupo 2'!$B$7)&gt;100%,100%,_xlfn.NORM.INV(R715,C715,'Regressão Grupo 2'!$B$7)))</f>
        <v>0.97016646786291783</v>
      </c>
      <c r="F715" s="39">
        <f>IF(_xlfn.NORM.INV(S715,D715,'Regressão Grupo 2'!$B$7)&lt;=0,0,IF(_xlfn.NORM.INV(S715,D715,'Regressão Grupo 2'!$B$7)&gt;100%,100%,_xlfn.NORM.INV(S715,D715,'Regressão Grupo 2'!$B$7)))</f>
        <v>0.87946581658209122</v>
      </c>
      <c r="G715" s="41">
        <v>1.8479868490258983E-2</v>
      </c>
      <c r="H715" s="41">
        <v>1.4571486111334986E-2</v>
      </c>
      <c r="I715" s="40">
        <f t="shared" si="134"/>
        <v>0</v>
      </c>
      <c r="J715" s="40">
        <f t="shared" si="135"/>
        <v>256.30247863439649</v>
      </c>
      <c r="K715" s="36">
        <v>0.26088624897407409</v>
      </c>
      <c r="L715" s="42">
        <f t="shared" si="140"/>
        <v>0</v>
      </c>
      <c r="M715" s="42">
        <f t="shared" si="140"/>
        <v>20000</v>
      </c>
      <c r="N715" s="42">
        <f t="shared" si="136"/>
        <v>5217.7249794814816</v>
      </c>
      <c r="O715" s="36">
        <v>5.2597723432322567</v>
      </c>
      <c r="P715" s="42">
        <f t="shared" si="137"/>
        <v>6249.3062636152681</v>
      </c>
      <c r="Q715" s="42"/>
      <c r="R715">
        <v>0.32920316171758174</v>
      </c>
      <c r="S715">
        <v>0.49845881527146213</v>
      </c>
    </row>
    <row r="716" spans="1:19" x14ac:dyDescent="0.25">
      <c r="A716" s="40">
        <f t="shared" si="138"/>
        <v>0</v>
      </c>
      <c r="B716" s="40">
        <f t="shared" si="139"/>
        <v>50</v>
      </c>
      <c r="C716" s="41">
        <f t="shared" si="132"/>
        <v>1.0313000000000001</v>
      </c>
      <c r="D716" s="41">
        <f t="shared" si="133"/>
        <v>0.88000000000000012</v>
      </c>
      <c r="E716" s="39">
        <f>IF(_xlfn.NORM.INV(R716,C716,'Regressão Grupo 2'!$B$7)&lt;=0,0,IF(_xlfn.NORM.INV(R716,C716,'Regressão Grupo 2'!$B$7)&gt;100%,100%,_xlfn.NORM.INV(R716,C716,'Regressão Grupo 2'!$B$7)))</f>
        <v>0.80999826581365031</v>
      </c>
      <c r="F716" s="39">
        <f>IF(_xlfn.NORM.INV(S716,D716,'Regressão Grupo 2'!$B$7)&lt;=0,0,IF(_xlfn.NORM.INV(S716,D716,'Regressão Grupo 2'!$B$7)&gt;100%,100%,_xlfn.NORM.INV(S716,D716,'Regressão Grupo 2'!$B$7)))</f>
        <v>1</v>
      </c>
      <c r="G716" s="41">
        <v>1.6318308968868513E-2</v>
      </c>
      <c r="H716" s="41">
        <v>2.311828421108501E-2</v>
      </c>
      <c r="I716" s="40">
        <f t="shared" si="134"/>
        <v>0</v>
      </c>
      <c r="J716" s="40">
        <f t="shared" si="135"/>
        <v>462.36568422170018</v>
      </c>
      <c r="K716" s="36">
        <v>0.36798142714105747</v>
      </c>
      <c r="L716" s="42">
        <f t="shared" si="140"/>
        <v>0</v>
      </c>
      <c r="M716" s="42">
        <f t="shared" si="140"/>
        <v>20000</v>
      </c>
      <c r="N716" s="42">
        <f t="shared" si="136"/>
        <v>7359.6285428211495</v>
      </c>
      <c r="O716" s="36">
        <v>7.326530656583456</v>
      </c>
      <c r="P716" s="42">
        <f t="shared" si="137"/>
        <v>12371.11930826139</v>
      </c>
      <c r="Q716" s="42"/>
      <c r="R716">
        <v>5.4750205999938961E-2</v>
      </c>
      <c r="S716">
        <v>0.96081423383281961</v>
      </c>
    </row>
    <row r="717" spans="1:19" x14ac:dyDescent="0.25">
      <c r="A717" s="40">
        <f t="shared" si="138"/>
        <v>0</v>
      </c>
      <c r="B717" s="40">
        <f t="shared" si="139"/>
        <v>50</v>
      </c>
      <c r="C717" s="41">
        <f t="shared" si="132"/>
        <v>1.0313000000000001</v>
      </c>
      <c r="D717" s="41">
        <f t="shared" si="133"/>
        <v>0.88000000000000012</v>
      </c>
      <c r="E717" s="39">
        <f>IF(_xlfn.NORM.INV(R717,C717,'Regressão Grupo 2'!$B$7)&lt;=0,0,IF(_xlfn.NORM.INV(R717,C717,'Regressão Grupo 2'!$B$7)&gt;100%,100%,_xlfn.NORM.INV(R717,C717,'Regressão Grupo 2'!$B$7)))</f>
        <v>1</v>
      </c>
      <c r="F717" s="39">
        <f>IF(_xlfn.NORM.INV(S717,D717,'Regressão Grupo 2'!$B$7)&lt;=0,0,IF(_xlfn.NORM.INV(S717,D717,'Regressão Grupo 2'!$B$7)&gt;100%,100%,_xlfn.NORM.INV(S717,D717,'Regressão Grupo 2'!$B$7)))</f>
        <v>1</v>
      </c>
      <c r="G717" s="41">
        <v>1.0561858659945281E-2</v>
      </c>
      <c r="H717" s="41">
        <v>6.9506797348349398E-3</v>
      </c>
      <c r="I717" s="40">
        <f t="shared" si="134"/>
        <v>0</v>
      </c>
      <c r="J717" s="40">
        <f t="shared" si="135"/>
        <v>139.01359469669879</v>
      </c>
      <c r="K717" s="36">
        <v>0.25440106314752636</v>
      </c>
      <c r="L717" s="42">
        <f t="shared" si="140"/>
        <v>0</v>
      </c>
      <c r="M717" s="42">
        <f t="shared" si="140"/>
        <v>20000</v>
      </c>
      <c r="N717" s="42">
        <f t="shared" si="136"/>
        <v>5088.0212629505277</v>
      </c>
      <c r="O717" s="36">
        <v>5.2309369359182778</v>
      </c>
      <c r="P717" s="42">
        <f t="shared" si="137"/>
        <v>1135.4871247906767</v>
      </c>
      <c r="Q717" s="42"/>
      <c r="R717">
        <v>0.71660512100589002</v>
      </c>
      <c r="S717">
        <v>0.93124179815057828</v>
      </c>
    </row>
    <row r="718" spans="1:19" x14ac:dyDescent="0.25">
      <c r="A718" s="40">
        <f t="shared" si="138"/>
        <v>0</v>
      </c>
      <c r="B718" s="40">
        <f t="shared" si="139"/>
        <v>50</v>
      </c>
      <c r="C718" s="41">
        <f t="shared" si="132"/>
        <v>1.0313000000000001</v>
      </c>
      <c r="D718" s="41">
        <f t="shared" si="133"/>
        <v>0.88000000000000012</v>
      </c>
      <c r="E718" s="39">
        <f>IF(_xlfn.NORM.INV(R718,C718,'Regressão Grupo 2'!$B$7)&lt;=0,0,IF(_xlfn.NORM.INV(R718,C718,'Regressão Grupo 2'!$B$7)&gt;100%,100%,_xlfn.NORM.INV(R718,C718,'Regressão Grupo 2'!$B$7)))</f>
        <v>1</v>
      </c>
      <c r="F718" s="39">
        <f>IF(_xlfn.NORM.INV(S718,D718,'Regressão Grupo 2'!$B$7)&lt;=0,0,IF(_xlfn.NORM.INV(S718,D718,'Regressão Grupo 2'!$B$7)&gt;100%,100%,_xlfn.NORM.INV(S718,D718,'Regressão Grupo 2'!$B$7)))</f>
        <v>0.93009787651326681</v>
      </c>
      <c r="G718" s="41">
        <v>1.8268469230903455E-2</v>
      </c>
      <c r="H718" s="41">
        <v>8.5876998411688627E-3</v>
      </c>
      <c r="I718" s="40">
        <f t="shared" si="134"/>
        <v>0</v>
      </c>
      <c r="J718" s="40">
        <f t="shared" si="135"/>
        <v>159.74802772808957</v>
      </c>
      <c r="K718" s="36">
        <v>0.32425812886833183</v>
      </c>
      <c r="L718" s="42">
        <f t="shared" si="140"/>
        <v>0</v>
      </c>
      <c r="M718" s="42">
        <f t="shared" si="140"/>
        <v>20000</v>
      </c>
      <c r="N718" s="42">
        <f t="shared" si="136"/>
        <v>6485.1625773666365</v>
      </c>
      <c r="O718" s="36">
        <v>6.7198292080695206</v>
      </c>
      <c r="P718" s="42">
        <f t="shared" si="137"/>
        <v>428.75934637912542</v>
      </c>
      <c r="Q718" s="42"/>
      <c r="R718">
        <v>0.62971892452772604</v>
      </c>
      <c r="S718">
        <v>0.64143803216650896</v>
      </c>
    </row>
    <row r="719" spans="1:19" x14ac:dyDescent="0.25">
      <c r="A719" s="40">
        <f t="shared" si="138"/>
        <v>0</v>
      </c>
      <c r="B719" s="40">
        <f t="shared" si="139"/>
        <v>50</v>
      </c>
      <c r="C719" s="41">
        <f t="shared" si="132"/>
        <v>1.0313000000000001</v>
      </c>
      <c r="D719" s="41">
        <f t="shared" si="133"/>
        <v>0.88000000000000012</v>
      </c>
      <c r="E719" s="39">
        <f>IF(_xlfn.NORM.INV(R719,C719,'Regressão Grupo 2'!$B$7)&lt;=0,0,IF(_xlfn.NORM.INV(R719,C719,'Regressão Grupo 2'!$B$7)&gt;100%,100%,_xlfn.NORM.INV(R719,C719,'Regressão Grupo 2'!$B$7)))</f>
        <v>0.98973002197036009</v>
      </c>
      <c r="F719" s="39">
        <f>IF(_xlfn.NORM.INV(S719,D719,'Regressão Grupo 2'!$B$7)&lt;=0,0,IF(_xlfn.NORM.INV(S719,D719,'Regressão Grupo 2'!$B$7)&gt;100%,100%,_xlfn.NORM.INV(S719,D719,'Regressão Grupo 2'!$B$7)))</f>
        <v>0.64152862820859813</v>
      </c>
      <c r="G719" s="41">
        <v>2.896676583868537E-2</v>
      </c>
      <c r="H719" s="41">
        <v>1.2696431272068391E-2</v>
      </c>
      <c r="I719" s="40">
        <f t="shared" si="134"/>
        <v>0</v>
      </c>
      <c r="J719" s="40">
        <f t="shared" si="135"/>
        <v>162.90248274229563</v>
      </c>
      <c r="K719" s="36">
        <v>0.27269957676290613</v>
      </c>
      <c r="L719" s="42">
        <f t="shared" si="140"/>
        <v>0</v>
      </c>
      <c r="M719" s="42">
        <f t="shared" si="140"/>
        <v>20000</v>
      </c>
      <c r="N719" s="42">
        <f t="shared" si="136"/>
        <v>5453.9915352581229</v>
      </c>
      <c r="O719" s="36">
        <v>6.8551450778457301</v>
      </c>
      <c r="P719" s="42">
        <f t="shared" si="137"/>
        <v>1574.4124491169623</v>
      </c>
      <c r="Q719" s="42"/>
      <c r="R719">
        <v>0.3818475905636769</v>
      </c>
      <c r="S719">
        <v>4.2298654133732107E-2</v>
      </c>
    </row>
    <row r="720" spans="1:19" x14ac:dyDescent="0.25">
      <c r="A720" s="40">
        <f t="shared" si="138"/>
        <v>0</v>
      </c>
      <c r="B720" s="40">
        <f t="shared" si="139"/>
        <v>50</v>
      </c>
      <c r="C720" s="41">
        <f t="shared" si="132"/>
        <v>1.0313000000000001</v>
      </c>
      <c r="D720" s="41">
        <f t="shared" si="133"/>
        <v>0.88000000000000012</v>
      </c>
      <c r="E720" s="39">
        <f>IF(_xlfn.NORM.INV(R720,C720,'Regressão Grupo 2'!$B$7)&lt;=0,0,IF(_xlfn.NORM.INV(R720,C720,'Regressão Grupo 2'!$B$7)&gt;100%,100%,_xlfn.NORM.INV(R720,C720,'Regressão Grupo 2'!$B$7)))</f>
        <v>0.95492314286449376</v>
      </c>
      <c r="F720" s="39">
        <f>IF(_xlfn.NORM.INV(S720,D720,'Regressão Grupo 2'!$B$7)&lt;=0,0,IF(_xlfn.NORM.INV(S720,D720,'Regressão Grupo 2'!$B$7)&gt;100%,100%,_xlfn.NORM.INV(S720,D720,'Regressão Grupo 2'!$B$7)))</f>
        <v>0.96659636456856657</v>
      </c>
      <c r="G720" s="41">
        <v>2.0248220569423915E-2</v>
      </c>
      <c r="H720" s="41">
        <v>1.8156985965592027E-2</v>
      </c>
      <c r="I720" s="40">
        <f t="shared" si="134"/>
        <v>0</v>
      </c>
      <c r="J720" s="40">
        <f t="shared" si="135"/>
        <v>351.00953251727475</v>
      </c>
      <c r="K720" s="36">
        <v>0.35784959543388367</v>
      </c>
      <c r="L720" s="42">
        <f t="shared" si="140"/>
        <v>0</v>
      </c>
      <c r="M720" s="42">
        <f t="shared" si="140"/>
        <v>20000</v>
      </c>
      <c r="N720" s="42">
        <f t="shared" si="136"/>
        <v>7156.9919086776736</v>
      </c>
      <c r="O720" s="36">
        <v>4.9738892392996963</v>
      </c>
      <c r="P720" s="42">
        <f t="shared" si="137"/>
        <v>8647.6021805067758</v>
      </c>
      <c r="Q720" s="42"/>
      <c r="R720">
        <v>0.29035309915463731</v>
      </c>
      <c r="S720">
        <v>0.73442793053987243</v>
      </c>
    </row>
    <row r="721" spans="1:19" x14ac:dyDescent="0.25">
      <c r="A721" s="40">
        <f t="shared" si="138"/>
        <v>0</v>
      </c>
      <c r="B721" s="40">
        <f t="shared" si="139"/>
        <v>50</v>
      </c>
      <c r="C721" s="41">
        <f t="shared" si="132"/>
        <v>1.0313000000000001</v>
      </c>
      <c r="D721" s="41">
        <f t="shared" si="133"/>
        <v>0.88000000000000012</v>
      </c>
      <c r="E721" s="39">
        <f>IF(_xlfn.NORM.INV(R721,C721,'Regressão Grupo 2'!$B$7)&lt;=0,0,IF(_xlfn.NORM.INV(R721,C721,'Regressão Grupo 2'!$B$7)&gt;100%,100%,_xlfn.NORM.INV(R721,C721,'Regressão Grupo 2'!$B$7)))</f>
        <v>1</v>
      </c>
      <c r="F721" s="39">
        <f>IF(_xlfn.NORM.INV(S721,D721,'Regressão Grupo 2'!$B$7)&lt;=0,0,IF(_xlfn.NORM.INV(S721,D721,'Regressão Grupo 2'!$B$7)&gt;100%,100%,_xlfn.NORM.INV(S721,D721,'Regressão Grupo 2'!$B$7)))</f>
        <v>0.97592191850124188</v>
      </c>
      <c r="G721" s="41">
        <v>2.4112971141252836E-2</v>
      </c>
      <c r="H721" s="41">
        <v>1.1180270581664641E-2</v>
      </c>
      <c r="I721" s="40">
        <f t="shared" si="134"/>
        <v>0</v>
      </c>
      <c r="J721" s="40">
        <f t="shared" si="135"/>
        <v>218.22142230842303</v>
      </c>
      <c r="K721" s="36">
        <v>0.3618067789904012</v>
      </c>
      <c r="L721" s="42">
        <f t="shared" si="140"/>
        <v>0</v>
      </c>
      <c r="M721" s="42">
        <f t="shared" si="140"/>
        <v>20000</v>
      </c>
      <c r="N721" s="42">
        <f t="shared" si="136"/>
        <v>7236.135579808024</v>
      </c>
      <c r="O721" s="36">
        <v>9.8874832368892083</v>
      </c>
      <c r="P721" s="42">
        <f t="shared" si="137"/>
        <v>1517.2748806084728</v>
      </c>
      <c r="Q721" s="42"/>
      <c r="R721">
        <v>0.70842616046632279</v>
      </c>
      <c r="S721">
        <v>0.75606555375835449</v>
      </c>
    </row>
    <row r="722" spans="1:19" x14ac:dyDescent="0.25">
      <c r="A722" s="40">
        <f t="shared" si="138"/>
        <v>0</v>
      </c>
      <c r="B722" s="40">
        <f t="shared" si="139"/>
        <v>50</v>
      </c>
      <c r="C722" s="41">
        <f t="shared" si="132"/>
        <v>1.0313000000000001</v>
      </c>
      <c r="D722" s="41">
        <f t="shared" si="133"/>
        <v>0.88000000000000012</v>
      </c>
      <c r="E722" s="39">
        <f>IF(_xlfn.NORM.INV(R722,C722,'Regressão Grupo 2'!$B$7)&lt;=0,0,IF(_xlfn.NORM.INV(R722,C722,'Regressão Grupo 2'!$B$7)&gt;100%,100%,_xlfn.NORM.INV(R722,C722,'Regressão Grupo 2'!$B$7)))</f>
        <v>1</v>
      </c>
      <c r="F722" s="39">
        <f>IF(_xlfn.NORM.INV(S722,D722,'Regressão Grupo 2'!$B$7)&lt;=0,0,IF(_xlfn.NORM.INV(S722,D722,'Regressão Grupo 2'!$B$7)&gt;100%,100%,_xlfn.NORM.INV(S722,D722,'Regressão Grupo 2'!$B$7)))</f>
        <v>0.84618163232693855</v>
      </c>
      <c r="G722" s="41">
        <v>1.1915115059806504E-2</v>
      </c>
      <c r="H722" s="41">
        <v>1.0841719181618746E-2</v>
      </c>
      <c r="I722" s="40">
        <f t="shared" si="134"/>
        <v>0</v>
      </c>
      <c r="J722" s="40">
        <f t="shared" si="135"/>
        <v>183.48127268664859</v>
      </c>
      <c r="K722" s="36">
        <v>0.34101881925525379</v>
      </c>
      <c r="L722" s="42">
        <f t="shared" si="140"/>
        <v>0</v>
      </c>
      <c r="M722" s="42">
        <f t="shared" si="140"/>
        <v>20000</v>
      </c>
      <c r="N722" s="42">
        <f t="shared" si="136"/>
        <v>6820.3763851050762</v>
      </c>
      <c r="O722" s="36">
        <v>2.6491001833398138</v>
      </c>
      <c r="P722" s="42">
        <f t="shared" si="137"/>
        <v>1867.626976113731</v>
      </c>
      <c r="Q722" s="42"/>
      <c r="R722">
        <v>0.53953672902615435</v>
      </c>
      <c r="S722">
        <v>0.40339365825373091</v>
      </c>
    </row>
    <row r="723" spans="1:19" x14ac:dyDescent="0.25">
      <c r="A723" s="40">
        <f t="shared" si="138"/>
        <v>0</v>
      </c>
      <c r="B723" s="40">
        <f t="shared" si="139"/>
        <v>50</v>
      </c>
      <c r="C723" s="41">
        <f t="shared" si="132"/>
        <v>1.0313000000000001</v>
      </c>
      <c r="D723" s="41">
        <f t="shared" si="133"/>
        <v>0.88000000000000012</v>
      </c>
      <c r="E723" s="39">
        <f>IF(_xlfn.NORM.INV(R723,C723,'Regressão Grupo 2'!$B$7)&lt;=0,0,IF(_xlfn.NORM.INV(R723,C723,'Regressão Grupo 2'!$B$7)&gt;100%,100%,_xlfn.NORM.INV(R723,C723,'Regressão Grupo 2'!$B$7)))</f>
        <v>1</v>
      </c>
      <c r="F723" s="39">
        <f>IF(_xlfn.NORM.INV(S723,D723,'Regressão Grupo 2'!$B$7)&lt;=0,0,IF(_xlfn.NORM.INV(S723,D723,'Regressão Grupo 2'!$B$7)&gt;100%,100%,_xlfn.NORM.INV(S723,D723,'Regressão Grupo 2'!$B$7)))</f>
        <v>0.7358507536304485</v>
      </c>
      <c r="G723" s="41">
        <v>2.096939668693773E-2</v>
      </c>
      <c r="H723" s="41">
        <v>1.319429226280033E-2</v>
      </c>
      <c r="I723" s="40">
        <f t="shared" si="134"/>
        <v>0</v>
      </c>
      <c r="J723" s="40">
        <f t="shared" si="135"/>
        <v>194.18059810404037</v>
      </c>
      <c r="K723" s="36">
        <v>0.40905678154222014</v>
      </c>
      <c r="L723" s="42">
        <f t="shared" si="140"/>
        <v>0</v>
      </c>
      <c r="M723" s="42">
        <f t="shared" si="140"/>
        <v>20000</v>
      </c>
      <c r="N723" s="42">
        <f t="shared" si="136"/>
        <v>8181.1356308444028</v>
      </c>
      <c r="O723" s="36">
        <v>4.234078220851587</v>
      </c>
      <c r="P723" s="42">
        <f t="shared" si="137"/>
        <v>705.7184330133623</v>
      </c>
      <c r="Q723" s="42"/>
      <c r="R723">
        <v>0.68797875911740469</v>
      </c>
      <c r="S723">
        <v>0.14859462263863032</v>
      </c>
    </row>
    <row r="724" spans="1:19" x14ac:dyDescent="0.25">
      <c r="A724" s="40">
        <f t="shared" si="138"/>
        <v>0</v>
      </c>
      <c r="B724" s="40">
        <f t="shared" si="139"/>
        <v>50</v>
      </c>
      <c r="C724" s="41">
        <f t="shared" si="132"/>
        <v>1.0313000000000001</v>
      </c>
      <c r="D724" s="41">
        <f t="shared" si="133"/>
        <v>0.88000000000000012</v>
      </c>
      <c r="E724" s="39">
        <f>IF(_xlfn.NORM.INV(R724,C724,'Regressão Grupo 2'!$B$7)&lt;=0,0,IF(_xlfn.NORM.INV(R724,C724,'Regressão Grupo 2'!$B$7)&gt;100%,100%,_xlfn.NORM.INV(R724,C724,'Regressão Grupo 2'!$B$7)))</f>
        <v>1</v>
      </c>
      <c r="F724" s="39">
        <f>IF(_xlfn.NORM.INV(S724,D724,'Regressão Grupo 2'!$B$7)&lt;=0,0,IF(_xlfn.NORM.INV(S724,D724,'Regressão Grupo 2'!$B$7)&gt;100%,100%,_xlfn.NORM.INV(S724,D724,'Regressão Grupo 2'!$B$7)))</f>
        <v>0.97612385069216734</v>
      </c>
      <c r="G724" s="41">
        <v>2.2698453058561007E-2</v>
      </c>
      <c r="H724" s="41">
        <v>2.1690545518099659E-2</v>
      </c>
      <c r="I724" s="40">
        <f t="shared" si="134"/>
        <v>0</v>
      </c>
      <c r="J724" s="40">
        <f t="shared" si="135"/>
        <v>423.45317629482344</v>
      </c>
      <c r="K724" s="36">
        <v>0.22349361641019094</v>
      </c>
      <c r="L724" s="42">
        <f t="shared" si="140"/>
        <v>0</v>
      </c>
      <c r="M724" s="42">
        <f t="shared" si="140"/>
        <v>20000</v>
      </c>
      <c r="N724" s="42">
        <f t="shared" si="136"/>
        <v>4469.8723282038191</v>
      </c>
      <c r="O724" s="36">
        <v>8.6058413871735073</v>
      </c>
      <c r="P724" s="42">
        <f t="shared" si="137"/>
        <v>13058.615616449282</v>
      </c>
      <c r="Q724" s="42"/>
      <c r="R724">
        <v>0.49507126071962643</v>
      </c>
      <c r="S724">
        <v>0.75652333140049444</v>
      </c>
    </row>
    <row r="725" spans="1:19" x14ac:dyDescent="0.25">
      <c r="A725" s="40">
        <f t="shared" si="138"/>
        <v>0</v>
      </c>
      <c r="B725" s="40">
        <f t="shared" si="139"/>
        <v>50</v>
      </c>
      <c r="C725" s="41">
        <f t="shared" si="132"/>
        <v>1.0313000000000001</v>
      </c>
      <c r="D725" s="41">
        <f t="shared" si="133"/>
        <v>0.88000000000000012</v>
      </c>
      <c r="E725" s="39">
        <f>IF(_xlfn.NORM.INV(R725,C725,'Regressão Grupo 2'!$B$7)&lt;=0,0,IF(_xlfn.NORM.INV(R725,C725,'Regressão Grupo 2'!$B$7)&gt;100%,100%,_xlfn.NORM.INV(R725,C725,'Regressão Grupo 2'!$B$7)))</f>
        <v>0.86320910300048226</v>
      </c>
      <c r="F725" s="39">
        <f>IF(_xlfn.NORM.INV(S725,D725,'Regressão Grupo 2'!$B$7)&lt;=0,0,IF(_xlfn.NORM.INV(S725,D725,'Regressão Grupo 2'!$B$7)&gt;100%,100%,_xlfn.NORM.INV(S725,D725,'Regressão Grupo 2'!$B$7)))</f>
        <v>1</v>
      </c>
      <c r="G725" s="41">
        <v>9.2295521956291052E-3</v>
      </c>
      <c r="H725" s="41">
        <v>2.4207090844983715E-2</v>
      </c>
      <c r="I725" s="40">
        <f t="shared" si="134"/>
        <v>0</v>
      </c>
      <c r="J725" s="40">
        <f t="shared" si="135"/>
        <v>484.14181689967432</v>
      </c>
      <c r="K725" s="36">
        <v>0.28999778244330648</v>
      </c>
      <c r="L725" s="42">
        <f t="shared" si="140"/>
        <v>0</v>
      </c>
      <c r="M725" s="42">
        <f t="shared" si="140"/>
        <v>20000</v>
      </c>
      <c r="N725" s="42">
        <f t="shared" si="136"/>
        <v>5799.9556488661301</v>
      </c>
      <c r="O725" s="36">
        <v>5.5978777883280753</v>
      </c>
      <c r="P725" s="42">
        <f t="shared" si="137"/>
        <v>15696.968472894103</v>
      </c>
      <c r="Q725" s="42"/>
      <c r="R725">
        <v>0.1120639667958617</v>
      </c>
      <c r="S725">
        <v>0.99829096346934421</v>
      </c>
    </row>
    <row r="726" spans="1:19" x14ac:dyDescent="0.25">
      <c r="A726" s="40">
        <f t="shared" si="138"/>
        <v>0</v>
      </c>
      <c r="B726" s="40">
        <f t="shared" si="139"/>
        <v>50</v>
      </c>
      <c r="C726" s="41">
        <f t="shared" si="132"/>
        <v>1.0313000000000001</v>
      </c>
      <c r="D726" s="41">
        <f t="shared" si="133"/>
        <v>0.88000000000000012</v>
      </c>
      <c r="E726" s="39">
        <f>IF(_xlfn.NORM.INV(R726,C726,'Regressão Grupo 2'!$B$7)&lt;=0,0,IF(_xlfn.NORM.INV(R726,C726,'Regressão Grupo 2'!$B$7)&gt;100%,100%,_xlfn.NORM.INV(R726,C726,'Regressão Grupo 2'!$B$7)))</f>
        <v>1</v>
      </c>
      <c r="F726" s="39">
        <f>IF(_xlfn.NORM.INV(S726,D726,'Regressão Grupo 2'!$B$7)&lt;=0,0,IF(_xlfn.NORM.INV(S726,D726,'Regressão Grupo 2'!$B$7)&gt;100%,100%,_xlfn.NORM.INV(S726,D726,'Regressão Grupo 2'!$B$7)))</f>
        <v>0.65242014604874443</v>
      </c>
      <c r="G726" s="41">
        <v>1.8609865081252945E-2</v>
      </c>
      <c r="H726" s="41">
        <v>1.1844113991008135E-2</v>
      </c>
      <c r="I726" s="40">
        <f t="shared" si="134"/>
        <v>0</v>
      </c>
      <c r="J726" s="40">
        <f t="shared" si="135"/>
        <v>154.54677159663009</v>
      </c>
      <c r="K726" s="36">
        <v>0.29555340367756422</v>
      </c>
      <c r="L726" s="42">
        <f t="shared" si="140"/>
        <v>0</v>
      </c>
      <c r="M726" s="42">
        <f t="shared" si="140"/>
        <v>20000</v>
      </c>
      <c r="N726" s="42">
        <f t="shared" si="136"/>
        <v>5911.0680735512842</v>
      </c>
      <c r="O726" s="36">
        <v>5.7558948709847435</v>
      </c>
      <c r="P726" s="42">
        <f t="shared" si="137"/>
        <v>926.7155363199272</v>
      </c>
      <c r="Q726" s="42"/>
      <c r="R726">
        <v>0.86339915158543656</v>
      </c>
      <c r="S726">
        <v>4.9897762993255407E-2</v>
      </c>
    </row>
    <row r="727" spans="1:19" x14ac:dyDescent="0.25">
      <c r="A727" s="40">
        <f t="shared" si="138"/>
        <v>0</v>
      </c>
      <c r="B727" s="40">
        <f t="shared" si="139"/>
        <v>50</v>
      </c>
      <c r="C727" s="41">
        <f t="shared" si="132"/>
        <v>1.0313000000000001</v>
      </c>
      <c r="D727" s="41">
        <f t="shared" si="133"/>
        <v>0.88000000000000012</v>
      </c>
      <c r="E727" s="39">
        <f>IF(_xlfn.NORM.INV(R727,C727,'Regressão Grupo 2'!$B$7)&lt;=0,0,IF(_xlfn.NORM.INV(R727,C727,'Regressão Grupo 2'!$B$7)&gt;100%,100%,_xlfn.NORM.INV(R727,C727,'Regressão Grupo 2'!$B$7)))</f>
        <v>1</v>
      </c>
      <c r="F727" s="39">
        <f>IF(_xlfn.NORM.INV(S727,D727,'Regressão Grupo 2'!$B$7)&lt;=0,0,IF(_xlfn.NORM.INV(S727,D727,'Regressão Grupo 2'!$B$7)&gt;100%,100%,_xlfn.NORM.INV(S727,D727,'Regressão Grupo 2'!$B$7)))</f>
        <v>1</v>
      </c>
      <c r="G727" s="41">
        <v>2.5486801192059479E-2</v>
      </c>
      <c r="H727" s="41">
        <v>2.2665145661487848E-2</v>
      </c>
      <c r="I727" s="40">
        <f t="shared" si="134"/>
        <v>0</v>
      </c>
      <c r="J727" s="40">
        <f t="shared" si="135"/>
        <v>453.30291322975694</v>
      </c>
      <c r="K727" s="36">
        <v>0.22256431292681672</v>
      </c>
      <c r="L727" s="42">
        <f t="shared" ref="L727:M742" si="141">L726</f>
        <v>0</v>
      </c>
      <c r="M727" s="42">
        <f t="shared" si="141"/>
        <v>20000</v>
      </c>
      <c r="N727" s="42">
        <f t="shared" si="136"/>
        <v>4451.2862585363346</v>
      </c>
      <c r="O727" s="36">
        <v>4.5719617520761773</v>
      </c>
      <c r="P727" s="42">
        <f t="shared" si="137"/>
        <v>16141.375821560358</v>
      </c>
      <c r="Q727" s="42"/>
      <c r="R727">
        <v>0.58574175237281412</v>
      </c>
      <c r="S727">
        <v>0.86931974242378007</v>
      </c>
    </row>
    <row r="728" spans="1:19" x14ac:dyDescent="0.25">
      <c r="A728" s="40">
        <f t="shared" si="138"/>
        <v>0</v>
      </c>
      <c r="B728" s="40">
        <f t="shared" si="139"/>
        <v>50</v>
      </c>
      <c r="C728" s="41">
        <f t="shared" si="132"/>
        <v>1.0313000000000001</v>
      </c>
      <c r="D728" s="41">
        <f t="shared" si="133"/>
        <v>0.88000000000000012</v>
      </c>
      <c r="E728" s="39">
        <f>IF(_xlfn.NORM.INV(R728,C728,'Regressão Grupo 2'!$B$7)&lt;=0,0,IF(_xlfn.NORM.INV(R728,C728,'Regressão Grupo 2'!$B$7)&gt;100%,100%,_xlfn.NORM.INV(R728,C728,'Regressão Grupo 2'!$B$7)))</f>
        <v>0.96419439926453376</v>
      </c>
      <c r="F728" s="39">
        <f>IF(_xlfn.NORM.INV(S728,D728,'Regressão Grupo 2'!$B$7)&lt;=0,0,IF(_xlfn.NORM.INV(S728,D728,'Regressão Grupo 2'!$B$7)&gt;100%,100%,_xlfn.NORM.INV(S728,D728,'Regressão Grupo 2'!$B$7)))</f>
        <v>0.94870469144476999</v>
      </c>
      <c r="G728" s="41">
        <v>2.0669463694552779E-2</v>
      </c>
      <c r="H728" s="41">
        <v>9.8707337881801058E-3</v>
      </c>
      <c r="I728" s="40">
        <f t="shared" si="134"/>
        <v>0</v>
      </c>
      <c r="J728" s="40">
        <f t="shared" si="135"/>
        <v>187.28822905697746</v>
      </c>
      <c r="K728" s="36">
        <v>0.400390625</v>
      </c>
      <c r="L728" s="42">
        <f t="shared" si="141"/>
        <v>0</v>
      </c>
      <c r="M728" s="42">
        <f t="shared" si="141"/>
        <v>20000</v>
      </c>
      <c r="N728" s="42">
        <f t="shared" si="136"/>
        <v>8007.8125</v>
      </c>
      <c r="O728" s="36">
        <v>9.5613362420523664</v>
      </c>
      <c r="P728" s="42">
        <f t="shared" si="137"/>
        <v>-434.12677934340991</v>
      </c>
      <c r="Q728" s="42"/>
      <c r="R728">
        <v>0.31373027741325116</v>
      </c>
      <c r="S728">
        <v>0.69035920285653252</v>
      </c>
    </row>
    <row r="729" spans="1:19" x14ac:dyDescent="0.25">
      <c r="A729" s="40">
        <f t="shared" si="138"/>
        <v>0</v>
      </c>
      <c r="B729" s="40">
        <f t="shared" si="139"/>
        <v>50</v>
      </c>
      <c r="C729" s="41">
        <f t="shared" si="132"/>
        <v>1.0313000000000001</v>
      </c>
      <c r="D729" s="41">
        <f t="shared" si="133"/>
        <v>0.88000000000000012</v>
      </c>
      <c r="E729" s="39">
        <f>IF(_xlfn.NORM.INV(R729,C729,'Regressão Grupo 2'!$B$7)&lt;=0,0,IF(_xlfn.NORM.INV(R729,C729,'Regressão Grupo 2'!$B$7)&gt;100%,100%,_xlfn.NORM.INV(R729,C729,'Regressão Grupo 2'!$B$7)))</f>
        <v>0.88494687146150353</v>
      </c>
      <c r="F729" s="39">
        <f>IF(_xlfn.NORM.INV(S729,D729,'Regressão Grupo 2'!$B$7)&lt;=0,0,IF(_xlfn.NORM.INV(S729,D729,'Regressão Grupo 2'!$B$7)&gt;100%,100%,_xlfn.NORM.INV(S729,D729,'Regressão Grupo 2'!$B$7)))</f>
        <v>0.83946914001612083</v>
      </c>
      <c r="G729" s="41">
        <v>2.4575436491880997E-2</v>
      </c>
      <c r="H729" s="41">
        <v>2.0881066261558178E-2</v>
      </c>
      <c r="I729" s="40">
        <f t="shared" si="134"/>
        <v>0</v>
      </c>
      <c r="J729" s="40">
        <f t="shared" si="135"/>
        <v>350.58021474419758</v>
      </c>
      <c r="K729" s="36">
        <v>0.46427442592817814</v>
      </c>
      <c r="L729" s="42">
        <f t="shared" si="141"/>
        <v>0</v>
      </c>
      <c r="M729" s="42">
        <f t="shared" si="141"/>
        <v>20000</v>
      </c>
      <c r="N729" s="42">
        <f t="shared" si="136"/>
        <v>9285.488518563563</v>
      </c>
      <c r="O729" s="36">
        <v>5.1303389235736221</v>
      </c>
      <c r="P729" s="42">
        <f t="shared" si="137"/>
        <v>6444.9268971093607</v>
      </c>
      <c r="Q729" s="42"/>
      <c r="R729">
        <v>0.14493240150151065</v>
      </c>
      <c r="S729">
        <v>0.38471633045442061</v>
      </c>
    </row>
    <row r="730" spans="1:19" x14ac:dyDescent="0.25">
      <c r="A730" s="40">
        <f t="shared" si="138"/>
        <v>0</v>
      </c>
      <c r="B730" s="40">
        <f t="shared" si="139"/>
        <v>50</v>
      </c>
      <c r="C730" s="41">
        <f t="shared" si="132"/>
        <v>1.0313000000000001</v>
      </c>
      <c r="D730" s="41">
        <f t="shared" si="133"/>
        <v>0.88000000000000012</v>
      </c>
      <c r="E730" s="39">
        <f>IF(_xlfn.NORM.INV(R730,C730,'Regressão Grupo 2'!$B$7)&lt;=0,0,IF(_xlfn.NORM.INV(R730,C730,'Regressão Grupo 2'!$B$7)&gt;100%,100%,_xlfn.NORM.INV(R730,C730,'Regressão Grupo 2'!$B$7)))</f>
        <v>0.95233455222171248</v>
      </c>
      <c r="F730" s="39">
        <f>IF(_xlfn.NORM.INV(S730,D730,'Regressão Grupo 2'!$B$7)&lt;=0,0,IF(_xlfn.NORM.INV(S730,D730,'Regressão Grupo 2'!$B$7)&gt;100%,100%,_xlfn.NORM.INV(S730,D730,'Regressão Grupo 2'!$B$7)))</f>
        <v>1</v>
      </c>
      <c r="G730" s="41">
        <v>1.8046956247914712E-2</v>
      </c>
      <c r="H730" s="41">
        <v>1.4790211144772062E-2</v>
      </c>
      <c r="I730" s="40">
        <f t="shared" si="134"/>
        <v>0</v>
      </c>
      <c r="J730" s="40">
        <f t="shared" si="135"/>
        <v>295.80422289544123</v>
      </c>
      <c r="K730" s="36">
        <v>0.27051890054243166</v>
      </c>
      <c r="L730" s="42">
        <f t="shared" si="141"/>
        <v>0</v>
      </c>
      <c r="M730" s="42">
        <f t="shared" si="141"/>
        <v>20000</v>
      </c>
      <c r="N730" s="42">
        <f t="shared" si="136"/>
        <v>5410.3780108486335</v>
      </c>
      <c r="O730" s="36">
        <v>7.2035603242992199</v>
      </c>
      <c r="P730" s="42">
        <f t="shared" si="137"/>
        <v>7248.9895701136647</v>
      </c>
      <c r="Q730" s="42"/>
      <c r="R730">
        <v>0.28397473067415385</v>
      </c>
      <c r="S730">
        <v>0.9429914242988372</v>
      </c>
    </row>
    <row r="731" spans="1:19" x14ac:dyDescent="0.25">
      <c r="A731" s="40">
        <f t="shared" si="138"/>
        <v>0</v>
      </c>
      <c r="B731" s="40">
        <f t="shared" si="139"/>
        <v>50</v>
      </c>
      <c r="C731" s="41">
        <f t="shared" si="132"/>
        <v>1.0313000000000001</v>
      </c>
      <c r="D731" s="41">
        <f t="shared" si="133"/>
        <v>0.88000000000000012</v>
      </c>
      <c r="E731" s="39">
        <f>IF(_xlfn.NORM.INV(R731,C731,'Regressão Grupo 2'!$B$7)&lt;=0,0,IF(_xlfn.NORM.INV(R731,C731,'Regressão Grupo 2'!$B$7)&gt;100%,100%,_xlfn.NORM.INV(R731,C731,'Regressão Grupo 2'!$B$7)))</f>
        <v>1</v>
      </c>
      <c r="F731" s="39">
        <f>IF(_xlfn.NORM.INV(S731,D731,'Regressão Grupo 2'!$B$7)&lt;=0,0,IF(_xlfn.NORM.INV(S731,D731,'Regressão Grupo 2'!$B$7)&gt;100%,100%,_xlfn.NORM.INV(S731,D731,'Regressão Grupo 2'!$B$7)))</f>
        <v>1</v>
      </c>
      <c r="G731" s="41">
        <v>1.5115320844510146E-2</v>
      </c>
      <c r="H731" s="41">
        <v>2.6958196900000449E-2</v>
      </c>
      <c r="I731" s="40">
        <f t="shared" si="134"/>
        <v>0</v>
      </c>
      <c r="J731" s="40">
        <f t="shared" si="135"/>
        <v>539.16393800000901</v>
      </c>
      <c r="K731" s="36">
        <v>0.2995934287791775</v>
      </c>
      <c r="L731" s="42">
        <f t="shared" si="141"/>
        <v>0</v>
      </c>
      <c r="M731" s="42">
        <f t="shared" si="141"/>
        <v>20000</v>
      </c>
      <c r="N731" s="42">
        <f t="shared" si="136"/>
        <v>5991.8685755835495</v>
      </c>
      <c r="O731" s="36">
        <v>8.1282262245060544</v>
      </c>
      <c r="P731" s="42">
        <f t="shared" si="137"/>
        <v>16583.88186425727</v>
      </c>
      <c r="Q731" s="42"/>
      <c r="R731">
        <v>0.75862910855433818</v>
      </c>
      <c r="S731">
        <v>0.84539323099459818</v>
      </c>
    </row>
    <row r="732" spans="1:19" x14ac:dyDescent="0.25">
      <c r="A732" s="40">
        <f t="shared" si="138"/>
        <v>0</v>
      </c>
      <c r="B732" s="40">
        <f t="shared" si="139"/>
        <v>50</v>
      </c>
      <c r="C732" s="41">
        <f t="shared" si="132"/>
        <v>1.0313000000000001</v>
      </c>
      <c r="D732" s="41">
        <f t="shared" si="133"/>
        <v>0.88000000000000012</v>
      </c>
      <c r="E732" s="39">
        <f>IF(_xlfn.NORM.INV(R732,C732,'Regressão Grupo 2'!$B$7)&lt;=0,0,IF(_xlfn.NORM.INV(R732,C732,'Regressão Grupo 2'!$B$7)&gt;100%,100%,_xlfn.NORM.INV(R732,C732,'Regressão Grupo 2'!$B$7)))</f>
        <v>1</v>
      </c>
      <c r="F732" s="39">
        <f>IF(_xlfn.NORM.INV(S732,D732,'Regressão Grupo 2'!$B$7)&lt;=0,0,IF(_xlfn.NORM.INV(S732,D732,'Regressão Grupo 2'!$B$7)&gt;100%,100%,_xlfn.NORM.INV(S732,D732,'Regressão Grupo 2'!$B$7)))</f>
        <v>0.97328853079251798</v>
      </c>
      <c r="G732" s="41">
        <v>9.0788292931706614E-3</v>
      </c>
      <c r="H732" s="41">
        <v>1.7698085138223695E-2</v>
      </c>
      <c r="I732" s="40">
        <f t="shared" si="134"/>
        <v>0</v>
      </c>
      <c r="J732" s="40">
        <f t="shared" si="135"/>
        <v>344.50686564045276</v>
      </c>
      <c r="K732" s="36">
        <v>0.31768802138368124</v>
      </c>
      <c r="L732" s="42">
        <f t="shared" si="141"/>
        <v>0</v>
      </c>
      <c r="M732" s="42">
        <f t="shared" si="141"/>
        <v>20000</v>
      </c>
      <c r="N732" s="42">
        <f t="shared" si="136"/>
        <v>6353.7604276736247</v>
      </c>
      <c r="O732" s="36">
        <v>5.0298127012544267</v>
      </c>
      <c r="P732" s="42">
        <f t="shared" si="137"/>
        <v>9138.7778458813118</v>
      </c>
      <c r="Q732" s="42"/>
      <c r="R732">
        <v>0.7491988891262551</v>
      </c>
      <c r="S732">
        <v>0.75005340739158299</v>
      </c>
    </row>
    <row r="733" spans="1:19" x14ac:dyDescent="0.25">
      <c r="A733" s="40">
        <f t="shared" si="138"/>
        <v>0</v>
      </c>
      <c r="B733" s="40">
        <f t="shared" si="139"/>
        <v>50</v>
      </c>
      <c r="C733" s="41">
        <f t="shared" si="132"/>
        <v>1.0313000000000001</v>
      </c>
      <c r="D733" s="41">
        <f t="shared" si="133"/>
        <v>0.88000000000000012</v>
      </c>
      <c r="E733" s="39">
        <f>IF(_xlfn.NORM.INV(R733,C733,'Regressão Grupo 2'!$B$7)&lt;=0,0,IF(_xlfn.NORM.INV(R733,C733,'Regressão Grupo 2'!$B$7)&gt;100%,100%,_xlfn.NORM.INV(R733,C733,'Regressão Grupo 2'!$B$7)))</f>
        <v>1</v>
      </c>
      <c r="F733" s="39">
        <f>IF(_xlfn.NORM.INV(S733,D733,'Regressão Grupo 2'!$B$7)&lt;=0,0,IF(_xlfn.NORM.INV(S733,D733,'Regressão Grupo 2'!$B$7)&gt;100%,100%,_xlfn.NORM.INV(S733,D733,'Regressão Grupo 2'!$B$7)))</f>
        <v>1</v>
      </c>
      <c r="G733" s="41">
        <v>1.9599160501446233E-2</v>
      </c>
      <c r="H733" s="41">
        <v>3.2116956720657426E-3</v>
      </c>
      <c r="I733" s="40">
        <f t="shared" si="134"/>
        <v>0</v>
      </c>
      <c r="J733" s="40">
        <f t="shared" si="135"/>
        <v>64.233913441314854</v>
      </c>
      <c r="K733" s="36">
        <v>0.27319372417453475</v>
      </c>
      <c r="L733" s="42">
        <f t="shared" si="141"/>
        <v>0</v>
      </c>
      <c r="M733" s="42">
        <f t="shared" si="141"/>
        <v>20000</v>
      </c>
      <c r="N733" s="42">
        <f t="shared" si="136"/>
        <v>5463.8744834906947</v>
      </c>
      <c r="O733" s="36">
        <v>3.373169721205902</v>
      </c>
      <c r="P733" s="42">
        <f t="shared" si="137"/>
        <v>-2468.8507033197561</v>
      </c>
      <c r="Q733" s="42"/>
      <c r="R733">
        <v>0.49668874172185429</v>
      </c>
      <c r="S733">
        <v>0.8503982665486618</v>
      </c>
    </row>
    <row r="734" spans="1:19" x14ac:dyDescent="0.25">
      <c r="A734" s="40">
        <f t="shared" si="138"/>
        <v>0</v>
      </c>
      <c r="B734" s="40">
        <f t="shared" si="139"/>
        <v>50</v>
      </c>
      <c r="C734" s="41">
        <f t="shared" si="132"/>
        <v>1.0313000000000001</v>
      </c>
      <c r="D734" s="41">
        <f t="shared" si="133"/>
        <v>0.88000000000000012</v>
      </c>
      <c r="E734" s="39">
        <f>IF(_xlfn.NORM.INV(R734,C734,'Regressão Grupo 2'!$B$7)&lt;=0,0,IF(_xlfn.NORM.INV(R734,C734,'Regressão Grupo 2'!$B$7)&gt;100%,100%,_xlfn.NORM.INV(R734,C734,'Regressão Grupo 2'!$B$7)))</f>
        <v>1</v>
      </c>
      <c r="F734" s="39">
        <f>IF(_xlfn.NORM.INV(S734,D734,'Regressão Grupo 2'!$B$7)&lt;=0,0,IF(_xlfn.NORM.INV(S734,D734,'Regressão Grupo 2'!$B$7)&gt;100%,100%,_xlfn.NORM.INV(S734,D734,'Regressão Grupo 2'!$B$7)))</f>
        <v>0.90360225529291804</v>
      </c>
      <c r="G734" s="41">
        <v>2.7228059769874351E-2</v>
      </c>
      <c r="H734" s="41">
        <v>1.68744023535119E-2</v>
      </c>
      <c r="I734" s="40">
        <f t="shared" si="134"/>
        <v>0</v>
      </c>
      <c r="J734" s="40">
        <f t="shared" si="135"/>
        <v>304.95496046706955</v>
      </c>
      <c r="K734" s="36">
        <v>0.2336448348680257</v>
      </c>
      <c r="L734" s="42">
        <f t="shared" si="141"/>
        <v>0</v>
      </c>
      <c r="M734" s="42">
        <f t="shared" si="141"/>
        <v>20000</v>
      </c>
      <c r="N734" s="42">
        <f t="shared" si="136"/>
        <v>4672.8966973605138</v>
      </c>
      <c r="O734" s="36">
        <v>3.4462504050106713</v>
      </c>
      <c r="P734" s="42">
        <f t="shared" si="137"/>
        <v>9523.9001699733126</v>
      </c>
      <c r="Q734" s="42"/>
      <c r="R734">
        <v>0.98461867122409741</v>
      </c>
      <c r="S734">
        <v>0.56776635029145173</v>
      </c>
    </row>
    <row r="735" spans="1:19" x14ac:dyDescent="0.25">
      <c r="A735" s="40">
        <f t="shared" si="138"/>
        <v>0</v>
      </c>
      <c r="B735" s="40">
        <f t="shared" si="139"/>
        <v>50</v>
      </c>
      <c r="C735" s="41">
        <f t="shared" si="132"/>
        <v>1.0313000000000001</v>
      </c>
      <c r="D735" s="41">
        <f t="shared" si="133"/>
        <v>0.88000000000000012</v>
      </c>
      <c r="E735" s="39">
        <f>IF(_xlfn.NORM.INV(R735,C735,'Regressão Grupo 2'!$B$7)&lt;=0,0,IF(_xlfn.NORM.INV(R735,C735,'Regressão Grupo 2'!$B$7)&gt;100%,100%,_xlfn.NORM.INV(R735,C735,'Regressão Grupo 2'!$B$7)))</f>
        <v>1</v>
      </c>
      <c r="F735" s="39">
        <f>IF(_xlfn.NORM.INV(S735,D735,'Regressão Grupo 2'!$B$7)&lt;=0,0,IF(_xlfn.NORM.INV(S735,D735,'Regressão Grupo 2'!$B$7)&gt;100%,100%,_xlfn.NORM.INV(S735,D735,'Regressão Grupo 2'!$B$7)))</f>
        <v>0.68223571736675659</v>
      </c>
      <c r="G735" s="41">
        <v>1.5302733595993519E-2</v>
      </c>
      <c r="H735" s="41">
        <v>2.6747730717261865E-2</v>
      </c>
      <c r="I735" s="40">
        <f t="shared" si="134"/>
        <v>0</v>
      </c>
      <c r="J735" s="40">
        <f t="shared" si="135"/>
        <v>364.96514507647959</v>
      </c>
      <c r="K735" s="36">
        <v>0.39012734414996586</v>
      </c>
      <c r="L735" s="42">
        <f t="shared" si="141"/>
        <v>0</v>
      </c>
      <c r="M735" s="42">
        <f t="shared" si="141"/>
        <v>20000</v>
      </c>
      <c r="N735" s="42">
        <f t="shared" si="136"/>
        <v>7802.5468829993169</v>
      </c>
      <c r="O735" s="36">
        <v>4.2824739412698314</v>
      </c>
      <c r="P735" s="42">
        <f t="shared" si="137"/>
        <v>8882.7566475628755</v>
      </c>
      <c r="Q735" s="42"/>
      <c r="R735">
        <v>0.64555803094576858</v>
      </c>
      <c r="S735">
        <v>7.6326792199468974E-2</v>
      </c>
    </row>
    <row r="736" spans="1:19" x14ac:dyDescent="0.25">
      <c r="A736" s="40">
        <f t="shared" si="138"/>
        <v>0</v>
      </c>
      <c r="B736" s="40">
        <f t="shared" si="139"/>
        <v>50</v>
      </c>
      <c r="C736" s="41">
        <f t="shared" si="132"/>
        <v>1.0313000000000001</v>
      </c>
      <c r="D736" s="41">
        <f t="shared" si="133"/>
        <v>0.88000000000000012</v>
      </c>
      <c r="E736" s="39">
        <f>IF(_xlfn.NORM.INV(R736,C736,'Regressão Grupo 2'!$B$7)&lt;=0,0,IF(_xlfn.NORM.INV(R736,C736,'Regressão Grupo 2'!$B$7)&gt;100%,100%,_xlfn.NORM.INV(R736,C736,'Regressão Grupo 2'!$B$7)))</f>
        <v>1</v>
      </c>
      <c r="F736" s="39">
        <f>IF(_xlfn.NORM.INV(S736,D736,'Regressão Grupo 2'!$B$7)&lt;=0,0,IF(_xlfn.NORM.INV(S736,D736,'Regressão Grupo 2'!$B$7)&gt;100%,100%,_xlfn.NORM.INV(S736,D736,'Regressão Grupo 2'!$B$7)))</f>
        <v>0.92457915008267388</v>
      </c>
      <c r="G736" s="41">
        <v>2.5330721986899903E-2</v>
      </c>
      <c r="H736" s="41">
        <v>1.8637565150617173E-2</v>
      </c>
      <c r="I736" s="40">
        <f t="shared" si="134"/>
        <v>0</v>
      </c>
      <c r="J736" s="40">
        <f t="shared" si="135"/>
        <v>344.63808293136174</v>
      </c>
      <c r="K736" s="36">
        <v>0.30605591681217892</v>
      </c>
      <c r="L736" s="42">
        <f t="shared" si="141"/>
        <v>0</v>
      </c>
      <c r="M736" s="42">
        <f t="shared" si="141"/>
        <v>20000</v>
      </c>
      <c r="N736" s="42">
        <f t="shared" si="136"/>
        <v>6121.1183362435786</v>
      </c>
      <c r="O736" s="36">
        <v>8.0753489335653494</v>
      </c>
      <c r="P736" s="42">
        <f t="shared" si="137"/>
        <v>8327.7130348587289</v>
      </c>
      <c r="Q736" s="42"/>
      <c r="R736">
        <v>0.85369426557206951</v>
      </c>
      <c r="S736">
        <v>0.62642292550431833</v>
      </c>
    </row>
    <row r="737" spans="1:19" x14ac:dyDescent="0.25">
      <c r="A737" s="40">
        <f t="shared" si="138"/>
        <v>0</v>
      </c>
      <c r="B737" s="40">
        <f t="shared" si="139"/>
        <v>50</v>
      </c>
      <c r="C737" s="41">
        <f t="shared" si="132"/>
        <v>1.0313000000000001</v>
      </c>
      <c r="D737" s="41">
        <f t="shared" si="133"/>
        <v>0.88000000000000012</v>
      </c>
      <c r="E737" s="39">
        <f>IF(_xlfn.NORM.INV(R737,C737,'Regressão Grupo 2'!$B$7)&lt;=0,0,IF(_xlfn.NORM.INV(R737,C737,'Regressão Grupo 2'!$B$7)&gt;100%,100%,_xlfn.NORM.INV(R737,C737,'Regressão Grupo 2'!$B$7)))</f>
        <v>1</v>
      </c>
      <c r="F737" s="39">
        <f>IF(_xlfn.NORM.INV(S737,D737,'Regressão Grupo 2'!$B$7)&lt;=0,0,IF(_xlfn.NORM.INV(S737,D737,'Regressão Grupo 2'!$B$7)&gt;100%,100%,_xlfn.NORM.INV(S737,D737,'Regressão Grupo 2'!$B$7)))</f>
        <v>1</v>
      </c>
      <c r="G737" s="41">
        <v>1.4209071208255937E-2</v>
      </c>
      <c r="H737" s="41">
        <v>2.2388263011516883E-2</v>
      </c>
      <c r="I737" s="40">
        <f t="shared" si="134"/>
        <v>0</v>
      </c>
      <c r="J737" s="40">
        <f t="shared" si="135"/>
        <v>447.76526023033767</v>
      </c>
      <c r="K737" s="36">
        <v>0.25353410527085907</v>
      </c>
      <c r="L737" s="42">
        <f t="shared" si="141"/>
        <v>0</v>
      </c>
      <c r="M737" s="42">
        <f t="shared" si="141"/>
        <v>20000</v>
      </c>
      <c r="N737" s="42">
        <f t="shared" si="136"/>
        <v>5070.6821054171814</v>
      </c>
      <c r="O737" s="36">
        <v>4.5151090981461515</v>
      </c>
      <c r="P737" s="42">
        <f t="shared" si="137"/>
        <v>15295.871905799926</v>
      </c>
      <c r="Q737" s="42"/>
      <c r="R737">
        <v>0.5518356883449812</v>
      </c>
      <c r="S737">
        <v>0.87041840876491594</v>
      </c>
    </row>
    <row r="738" spans="1:19" x14ac:dyDescent="0.25">
      <c r="A738" s="40">
        <f t="shared" si="138"/>
        <v>0</v>
      </c>
      <c r="B738" s="40">
        <f t="shared" si="139"/>
        <v>50</v>
      </c>
      <c r="C738" s="41">
        <f t="shared" si="132"/>
        <v>1.0313000000000001</v>
      </c>
      <c r="D738" s="41">
        <f t="shared" si="133"/>
        <v>0.88000000000000012</v>
      </c>
      <c r="E738" s="39">
        <f>IF(_xlfn.NORM.INV(R738,C738,'Regressão Grupo 2'!$B$7)&lt;=0,0,IF(_xlfn.NORM.INV(R738,C738,'Regressão Grupo 2'!$B$7)&gt;100%,100%,_xlfn.NORM.INV(R738,C738,'Regressão Grupo 2'!$B$7)))</f>
        <v>1</v>
      </c>
      <c r="F738" s="39">
        <f>IF(_xlfn.NORM.INV(S738,D738,'Regressão Grupo 2'!$B$7)&lt;=0,0,IF(_xlfn.NORM.INV(S738,D738,'Regressão Grupo 2'!$B$7)&gt;100%,100%,_xlfn.NORM.INV(S738,D738,'Regressão Grupo 2'!$B$7)))</f>
        <v>0.88726504419161623</v>
      </c>
      <c r="G738" s="41">
        <v>2.0089302652145188E-2</v>
      </c>
      <c r="H738" s="41">
        <v>1.5368695199193129E-2</v>
      </c>
      <c r="I738" s="40">
        <f t="shared" si="134"/>
        <v>0</v>
      </c>
      <c r="J738" s="40">
        <f t="shared" si="135"/>
        <v>272.72212050159146</v>
      </c>
      <c r="K738" s="36">
        <v>0.20965812007062823</v>
      </c>
      <c r="L738" s="42">
        <f t="shared" si="141"/>
        <v>0</v>
      </c>
      <c r="M738" s="42">
        <f t="shared" si="141"/>
        <v>20000</v>
      </c>
      <c r="N738" s="42">
        <f t="shared" si="136"/>
        <v>4193.1624014125646</v>
      </c>
      <c r="O738" s="36">
        <v>6.199809844088132</v>
      </c>
      <c r="P738" s="42">
        <f t="shared" si="137"/>
        <v>7752.1183362806514</v>
      </c>
      <c r="Q738" s="42"/>
      <c r="R738">
        <v>0.65312662129581589</v>
      </c>
      <c r="S738">
        <v>0.52095095675527203</v>
      </c>
    </row>
    <row r="739" spans="1:19" x14ac:dyDescent="0.25">
      <c r="A739" s="40">
        <f t="shared" si="138"/>
        <v>0</v>
      </c>
      <c r="B739" s="40">
        <f t="shared" si="139"/>
        <v>50</v>
      </c>
      <c r="C739" s="41">
        <f t="shared" si="132"/>
        <v>1.0313000000000001</v>
      </c>
      <c r="D739" s="41">
        <f t="shared" si="133"/>
        <v>0.88000000000000012</v>
      </c>
      <c r="E739" s="39">
        <f>IF(_xlfn.NORM.INV(R739,C739,'Regressão Grupo 2'!$B$7)&lt;=0,0,IF(_xlfn.NORM.INV(R739,C739,'Regressão Grupo 2'!$B$7)&gt;100%,100%,_xlfn.NORM.INV(R739,C739,'Regressão Grupo 2'!$B$7)))</f>
        <v>1</v>
      </c>
      <c r="F739" s="39">
        <f>IF(_xlfn.NORM.INV(S739,D739,'Regressão Grupo 2'!$B$7)&lt;=0,0,IF(_xlfn.NORM.INV(S739,D739,'Regressão Grupo 2'!$B$7)&gt;100%,100%,_xlfn.NORM.INV(S739,D739,'Regressão Grupo 2'!$B$7)))</f>
        <v>1</v>
      </c>
      <c r="G739" s="41">
        <v>1.8990156447201551E-2</v>
      </c>
      <c r="H739" s="41">
        <v>2.7578008100808269E-2</v>
      </c>
      <c r="I739" s="40">
        <f t="shared" si="134"/>
        <v>0</v>
      </c>
      <c r="J739" s="40">
        <f t="shared" si="135"/>
        <v>551.56016201616535</v>
      </c>
      <c r="K739" s="36">
        <v>0.33101403521519757</v>
      </c>
      <c r="L739" s="42">
        <f t="shared" si="141"/>
        <v>0</v>
      </c>
      <c r="M739" s="42">
        <f t="shared" si="141"/>
        <v>20000</v>
      </c>
      <c r="N739" s="42">
        <f t="shared" si="136"/>
        <v>6620.2807043039511</v>
      </c>
      <c r="O739" s="36">
        <v>4.6610595245068733</v>
      </c>
      <c r="P739" s="42">
        <f t="shared" si="137"/>
        <v>18386.872650000314</v>
      </c>
      <c r="Q739" s="42"/>
      <c r="R739">
        <v>0.4761803033539842</v>
      </c>
      <c r="S739">
        <v>0.81472212897122109</v>
      </c>
    </row>
    <row r="740" spans="1:19" x14ac:dyDescent="0.25">
      <c r="A740" s="40">
        <f t="shared" si="138"/>
        <v>0</v>
      </c>
      <c r="B740" s="40">
        <f t="shared" si="139"/>
        <v>50</v>
      </c>
      <c r="C740" s="41">
        <f t="shared" si="132"/>
        <v>1.0313000000000001</v>
      </c>
      <c r="D740" s="41">
        <f t="shared" si="133"/>
        <v>0.88000000000000012</v>
      </c>
      <c r="E740" s="39">
        <f>IF(_xlfn.NORM.INV(R740,C740,'Regressão Grupo 2'!$B$7)&lt;=0,0,IF(_xlfn.NORM.INV(R740,C740,'Regressão Grupo 2'!$B$7)&gt;100%,100%,_xlfn.NORM.INV(R740,C740,'Regressão Grupo 2'!$B$7)))</f>
        <v>0.79742228348673494</v>
      </c>
      <c r="F740" s="39">
        <f>IF(_xlfn.NORM.INV(S740,D740,'Regressão Grupo 2'!$B$7)&lt;=0,0,IF(_xlfn.NORM.INV(S740,D740,'Regressão Grupo 2'!$B$7)&gt;100%,100%,_xlfn.NORM.INV(S740,D740,'Regressão Grupo 2'!$B$7)))</f>
        <v>0.89309909363829665</v>
      </c>
      <c r="G740" s="41">
        <v>1.152145316932437E-2</v>
      </c>
      <c r="H740" s="41">
        <v>2.1479172502191703E-2</v>
      </c>
      <c r="I740" s="40">
        <f t="shared" si="134"/>
        <v>0</v>
      </c>
      <c r="J740" s="40">
        <f t="shared" si="135"/>
        <v>383.66058987616066</v>
      </c>
      <c r="K740" s="36">
        <v>0.25306647603115034</v>
      </c>
      <c r="L740" s="42">
        <f t="shared" si="141"/>
        <v>0</v>
      </c>
      <c r="M740" s="42">
        <f t="shared" si="141"/>
        <v>20000</v>
      </c>
      <c r="N740" s="42">
        <f t="shared" si="136"/>
        <v>5061.3295206230068</v>
      </c>
      <c r="O740" s="36">
        <v>6.8883094929181601</v>
      </c>
      <c r="P740" s="42">
        <f t="shared" si="137"/>
        <v>11478.927089882487</v>
      </c>
      <c r="Q740" s="42"/>
      <c r="R740">
        <v>4.5381023590807826E-2</v>
      </c>
      <c r="S740">
        <v>0.53773613696707057</v>
      </c>
    </row>
    <row r="741" spans="1:19" x14ac:dyDescent="0.25">
      <c r="A741" s="40">
        <f t="shared" si="138"/>
        <v>0</v>
      </c>
      <c r="B741" s="40">
        <f t="shared" si="139"/>
        <v>50</v>
      </c>
      <c r="C741" s="41">
        <f t="shared" si="132"/>
        <v>1.0313000000000001</v>
      </c>
      <c r="D741" s="41">
        <f t="shared" si="133"/>
        <v>0.88000000000000012</v>
      </c>
      <c r="E741" s="39">
        <f>IF(_xlfn.NORM.INV(R741,C741,'Regressão Grupo 2'!$B$7)&lt;=0,0,IF(_xlfn.NORM.INV(R741,C741,'Regressão Grupo 2'!$B$7)&gt;100%,100%,_xlfn.NORM.INV(R741,C741,'Regressão Grupo 2'!$B$7)))</f>
        <v>0.93257299373184743</v>
      </c>
      <c r="F741" s="39">
        <f>IF(_xlfn.NORM.INV(S741,D741,'Regressão Grupo 2'!$B$7)&lt;=0,0,IF(_xlfn.NORM.INV(S741,D741,'Regressão Grupo 2'!$B$7)&gt;100%,100%,_xlfn.NORM.INV(S741,D741,'Regressão Grupo 2'!$B$7)))</f>
        <v>1</v>
      </c>
      <c r="G741" s="41">
        <v>1.3773683611769278E-2</v>
      </c>
      <c r="H741" s="41">
        <v>2.1345405268645489E-2</v>
      </c>
      <c r="I741" s="40">
        <f t="shared" si="134"/>
        <v>0</v>
      </c>
      <c r="J741" s="40">
        <f t="shared" si="135"/>
        <v>426.9081053729098</v>
      </c>
      <c r="K741" s="36">
        <v>0.16610065829920223</v>
      </c>
      <c r="L741" s="42">
        <f t="shared" si="141"/>
        <v>0</v>
      </c>
      <c r="M741" s="42">
        <f t="shared" si="141"/>
        <v>20000</v>
      </c>
      <c r="N741" s="42">
        <f t="shared" si="136"/>
        <v>3322.0131659840445</v>
      </c>
      <c r="O741" s="36">
        <v>4.0823853926932543</v>
      </c>
      <c r="P741" s="42">
        <f t="shared" si="137"/>
        <v>16280.588689264725</v>
      </c>
      <c r="Q741" s="42"/>
      <c r="R741">
        <v>0.23761711478011413</v>
      </c>
      <c r="S741">
        <v>0.91717276528214364</v>
      </c>
    </row>
    <row r="742" spans="1:19" x14ac:dyDescent="0.25">
      <c r="A742" s="40">
        <f t="shared" si="138"/>
        <v>0</v>
      </c>
      <c r="B742" s="40">
        <f t="shared" si="139"/>
        <v>50</v>
      </c>
      <c r="C742" s="41">
        <f t="shared" si="132"/>
        <v>1.0313000000000001</v>
      </c>
      <c r="D742" s="41">
        <f t="shared" si="133"/>
        <v>0.88000000000000012</v>
      </c>
      <c r="E742" s="39">
        <f>IF(_xlfn.NORM.INV(R742,C742,'Regressão Grupo 2'!$B$7)&lt;=0,0,IF(_xlfn.NORM.INV(R742,C742,'Regressão Grupo 2'!$B$7)&gt;100%,100%,_xlfn.NORM.INV(R742,C742,'Regressão Grupo 2'!$B$7)))</f>
        <v>0.86227516057174636</v>
      </c>
      <c r="F742" s="39">
        <f>IF(_xlfn.NORM.INV(S742,D742,'Regressão Grupo 2'!$B$7)&lt;=0,0,IF(_xlfn.NORM.INV(S742,D742,'Regressão Grupo 2'!$B$7)&gt;100%,100%,_xlfn.NORM.INV(S742,D742,'Regressão Grupo 2'!$B$7)))</f>
        <v>0.92365534294222873</v>
      </c>
      <c r="G742" s="41">
        <v>9.8955607460358263E-3</v>
      </c>
      <c r="H742" s="41">
        <v>2.2917253247407784E-2</v>
      </c>
      <c r="I742" s="40">
        <f t="shared" si="134"/>
        <v>0</v>
      </c>
      <c r="J742" s="40">
        <f t="shared" si="135"/>
        <v>423.35286815056679</v>
      </c>
      <c r="K742" s="36">
        <v>0.25556286594076555</v>
      </c>
      <c r="L742" s="42">
        <f t="shared" si="141"/>
        <v>0</v>
      </c>
      <c r="M742" s="42">
        <f t="shared" si="141"/>
        <v>20000</v>
      </c>
      <c r="N742" s="42">
        <f t="shared" si="136"/>
        <v>5111.257318815311</v>
      </c>
      <c r="O742" s="36">
        <v>6.3536710247997377</v>
      </c>
      <c r="P742" s="42">
        <f t="shared" si="137"/>
        <v>13366.541237078909</v>
      </c>
      <c r="Q742" s="42"/>
      <c r="R742">
        <v>0.11078218939786981</v>
      </c>
      <c r="S742">
        <v>0.62388988921781063</v>
      </c>
    </row>
    <row r="743" spans="1:19" x14ac:dyDescent="0.25">
      <c r="A743" s="40">
        <f t="shared" si="138"/>
        <v>0</v>
      </c>
      <c r="B743" s="40">
        <f t="shared" si="139"/>
        <v>50</v>
      </c>
      <c r="C743" s="41">
        <f t="shared" si="132"/>
        <v>1.0313000000000001</v>
      </c>
      <c r="D743" s="41">
        <f t="shared" si="133"/>
        <v>0.88000000000000012</v>
      </c>
      <c r="E743" s="39">
        <f>IF(_xlfn.NORM.INV(R743,C743,'Regressão Grupo 2'!$B$7)&lt;=0,0,IF(_xlfn.NORM.INV(R743,C743,'Regressão Grupo 2'!$B$7)&gt;100%,100%,_xlfn.NORM.INV(R743,C743,'Regressão Grupo 2'!$B$7)))</f>
        <v>1</v>
      </c>
      <c r="F743" s="39">
        <f>IF(_xlfn.NORM.INV(S743,D743,'Regressão Grupo 2'!$B$7)&lt;=0,0,IF(_xlfn.NORM.INV(S743,D743,'Regressão Grupo 2'!$B$7)&gt;100%,100%,_xlfn.NORM.INV(S743,D743,'Regressão Grupo 2'!$B$7)))</f>
        <v>0.90992941511393866</v>
      </c>
      <c r="G743" s="41">
        <v>2.1881847699606476E-2</v>
      </c>
      <c r="H743" s="41">
        <v>1.4195266866321936E-2</v>
      </c>
      <c r="I743" s="40">
        <f t="shared" si="134"/>
        <v>0</v>
      </c>
      <c r="J743" s="40">
        <f t="shared" si="135"/>
        <v>258.33381754117187</v>
      </c>
      <c r="K743" s="36">
        <v>0.24862658854823497</v>
      </c>
      <c r="L743" s="42">
        <f t="shared" ref="L743:M758" si="142">L742</f>
        <v>0</v>
      </c>
      <c r="M743" s="42">
        <f t="shared" si="142"/>
        <v>20000</v>
      </c>
      <c r="N743" s="42">
        <f t="shared" si="136"/>
        <v>4972.5317709646997</v>
      </c>
      <c r="O743" s="36">
        <v>4.9690837170607969</v>
      </c>
      <c r="P743" s="42">
        <f t="shared" si="137"/>
        <v>6660.4767397839032</v>
      </c>
      <c r="Q743" s="42"/>
      <c r="R743">
        <v>0.93090609454634232</v>
      </c>
      <c r="S743">
        <v>0.58568071535386212</v>
      </c>
    </row>
    <row r="744" spans="1:19" x14ac:dyDescent="0.25">
      <c r="A744" s="40">
        <f t="shared" si="138"/>
        <v>0</v>
      </c>
      <c r="B744" s="40">
        <f t="shared" si="139"/>
        <v>50</v>
      </c>
      <c r="C744" s="41">
        <f t="shared" si="132"/>
        <v>1.0313000000000001</v>
      </c>
      <c r="D744" s="41">
        <f t="shared" si="133"/>
        <v>0.88000000000000012</v>
      </c>
      <c r="E744" s="39">
        <f>IF(_xlfn.NORM.INV(R744,C744,'Regressão Grupo 2'!$B$7)&lt;=0,0,IF(_xlfn.NORM.INV(R744,C744,'Regressão Grupo 2'!$B$7)&gt;100%,100%,_xlfn.NORM.INV(R744,C744,'Regressão Grupo 2'!$B$7)))</f>
        <v>0.80335048279798149</v>
      </c>
      <c r="F744" s="39">
        <f>IF(_xlfn.NORM.INV(S744,D744,'Regressão Grupo 2'!$B$7)&lt;=0,0,IF(_xlfn.NORM.INV(S744,D744,'Regressão Grupo 2'!$B$7)&gt;100%,100%,_xlfn.NORM.INV(S744,D744,'Regressão Grupo 2'!$B$7)))</f>
        <v>0.84694405211688684</v>
      </c>
      <c r="G744" s="41">
        <v>1.0969510239558668E-2</v>
      </c>
      <c r="H744" s="41">
        <v>2.4001458881832936E-2</v>
      </c>
      <c r="I744" s="40">
        <f t="shared" si="134"/>
        <v>0</v>
      </c>
      <c r="J744" s="40">
        <f t="shared" si="135"/>
        <v>406.55785684192864</v>
      </c>
      <c r="K744" s="36">
        <v>0.27216627928304649</v>
      </c>
      <c r="L744" s="42">
        <f t="shared" si="142"/>
        <v>0</v>
      </c>
      <c r="M744" s="42">
        <f t="shared" si="142"/>
        <v>20000</v>
      </c>
      <c r="N744" s="42">
        <f t="shared" si="136"/>
        <v>5443.3255856609294</v>
      </c>
      <c r="O744" s="36">
        <v>5.3430179943157148</v>
      </c>
      <c r="P744" s="42">
        <f t="shared" si="137"/>
        <v>12712.321311598647</v>
      </c>
      <c r="Q744" s="42"/>
      <c r="R744">
        <v>4.9623096407971433E-2</v>
      </c>
      <c r="S744">
        <v>0.40552995391705071</v>
      </c>
    </row>
    <row r="745" spans="1:19" x14ac:dyDescent="0.25">
      <c r="A745" s="40">
        <f t="shared" si="138"/>
        <v>0</v>
      </c>
      <c r="B745" s="40">
        <f t="shared" si="139"/>
        <v>50</v>
      </c>
      <c r="C745" s="41">
        <f t="shared" si="132"/>
        <v>1.0313000000000001</v>
      </c>
      <c r="D745" s="41">
        <f t="shared" si="133"/>
        <v>0.88000000000000012</v>
      </c>
      <c r="E745" s="39">
        <f>IF(_xlfn.NORM.INV(R745,C745,'Regressão Grupo 2'!$B$7)&lt;=0,0,IF(_xlfn.NORM.INV(R745,C745,'Regressão Grupo 2'!$B$7)&gt;100%,100%,_xlfn.NORM.INV(R745,C745,'Regressão Grupo 2'!$B$7)))</f>
        <v>1</v>
      </c>
      <c r="F745" s="39">
        <f>IF(_xlfn.NORM.INV(S745,D745,'Regressão Grupo 2'!$B$7)&lt;=0,0,IF(_xlfn.NORM.INV(S745,D745,'Regressão Grupo 2'!$B$7)&gt;100%,100%,_xlfn.NORM.INV(S745,D745,'Regressão Grupo 2'!$B$7)))</f>
        <v>0.64124732822722286</v>
      </c>
      <c r="G745" s="41">
        <v>8.9233314942035145E-3</v>
      </c>
      <c r="H745" s="41">
        <v>1.1696460124797962E-2</v>
      </c>
      <c r="I745" s="40">
        <f t="shared" si="134"/>
        <v>0</v>
      </c>
      <c r="J745" s="40">
        <f t="shared" si="135"/>
        <v>150.00647609485887</v>
      </c>
      <c r="K745" s="36">
        <v>0.1337296686038926</v>
      </c>
      <c r="L745" s="42">
        <f t="shared" si="142"/>
        <v>0</v>
      </c>
      <c r="M745" s="42">
        <f t="shared" si="142"/>
        <v>20000</v>
      </c>
      <c r="N745" s="42">
        <f t="shared" si="136"/>
        <v>2674.5933720778521</v>
      </c>
      <c r="O745" s="36">
        <v>4.715837200815967</v>
      </c>
      <c r="P745" s="42">
        <f t="shared" si="137"/>
        <v>4118.3243123336442</v>
      </c>
      <c r="Q745" s="42"/>
      <c r="R745">
        <v>0.49650563066499831</v>
      </c>
      <c r="S745">
        <v>4.2115543076876129E-2</v>
      </c>
    </row>
    <row r="746" spans="1:19" x14ac:dyDescent="0.25">
      <c r="A746" s="40">
        <f t="shared" si="138"/>
        <v>0</v>
      </c>
      <c r="B746" s="40">
        <f t="shared" si="139"/>
        <v>50</v>
      </c>
      <c r="C746" s="41">
        <f t="shared" si="132"/>
        <v>1.0313000000000001</v>
      </c>
      <c r="D746" s="41">
        <f t="shared" si="133"/>
        <v>0.88000000000000012</v>
      </c>
      <c r="E746" s="39">
        <f>IF(_xlfn.NORM.INV(R746,C746,'Regressão Grupo 2'!$B$7)&lt;=0,0,IF(_xlfn.NORM.INV(R746,C746,'Regressão Grupo 2'!$B$7)&gt;100%,100%,_xlfn.NORM.INV(R746,C746,'Regressão Grupo 2'!$B$7)))</f>
        <v>1</v>
      </c>
      <c r="F746" s="39">
        <f>IF(_xlfn.NORM.INV(S746,D746,'Regressão Grupo 2'!$B$7)&lt;=0,0,IF(_xlfn.NORM.INV(S746,D746,'Regressão Grupo 2'!$B$7)&gt;100%,100%,_xlfn.NORM.INV(S746,D746,'Regressão Grupo 2'!$B$7)))</f>
        <v>0.74303247265907235</v>
      </c>
      <c r="G746" s="41">
        <v>9.1402004828053541E-3</v>
      </c>
      <c r="H746" s="41">
        <v>2.5558909565823122E-2</v>
      </c>
      <c r="I746" s="40">
        <f t="shared" si="134"/>
        <v>0</v>
      </c>
      <c r="J746" s="40">
        <f t="shared" si="135"/>
        <v>379.82199546326348</v>
      </c>
      <c r="K746" s="36">
        <v>0.40475298520258063</v>
      </c>
      <c r="L746" s="42">
        <f t="shared" si="142"/>
        <v>0</v>
      </c>
      <c r="M746" s="42">
        <f t="shared" si="142"/>
        <v>20000</v>
      </c>
      <c r="N746" s="42">
        <f t="shared" si="136"/>
        <v>8095.0597040516122</v>
      </c>
      <c r="O746" s="36">
        <v>7.6457595319949467</v>
      </c>
      <c r="P746" s="42">
        <f t="shared" si="137"/>
        <v>7992.0124268369718</v>
      </c>
      <c r="Q746" s="42"/>
      <c r="R746">
        <v>0.56620990630817591</v>
      </c>
      <c r="S746">
        <v>0.1609546189764092</v>
      </c>
    </row>
    <row r="747" spans="1:19" x14ac:dyDescent="0.25">
      <c r="A747" s="40">
        <f t="shared" si="138"/>
        <v>0</v>
      </c>
      <c r="B747" s="40">
        <f t="shared" si="139"/>
        <v>50</v>
      </c>
      <c r="C747" s="41">
        <f t="shared" si="132"/>
        <v>1.0313000000000001</v>
      </c>
      <c r="D747" s="41">
        <f t="shared" si="133"/>
        <v>0.88000000000000012</v>
      </c>
      <c r="E747" s="39">
        <f>IF(_xlfn.NORM.INV(R747,C747,'Regressão Grupo 2'!$B$7)&lt;=0,0,IF(_xlfn.NORM.INV(R747,C747,'Regressão Grupo 2'!$B$7)&gt;100%,100%,_xlfn.NORM.INV(R747,C747,'Regressão Grupo 2'!$B$7)))</f>
        <v>1</v>
      </c>
      <c r="F747" s="39">
        <f>IF(_xlfn.NORM.INV(S747,D747,'Regressão Grupo 2'!$B$7)&lt;=0,0,IF(_xlfn.NORM.INV(S747,D747,'Regressão Grupo 2'!$B$7)&gt;100%,100%,_xlfn.NORM.INV(S747,D747,'Regressão Grupo 2'!$B$7)))</f>
        <v>0.81972841104916339</v>
      </c>
      <c r="G747" s="41">
        <v>1.0578006152072789E-2</v>
      </c>
      <c r="H747" s="41">
        <v>1.3356835642619162E-2</v>
      </c>
      <c r="I747" s="40">
        <f t="shared" si="134"/>
        <v>0</v>
      </c>
      <c r="J747" s="40">
        <f t="shared" si="135"/>
        <v>218.97955315938074</v>
      </c>
      <c r="K747" s="36">
        <v>0.19214499835444529</v>
      </c>
      <c r="L747" s="42">
        <f t="shared" si="142"/>
        <v>0</v>
      </c>
      <c r="M747" s="42">
        <f t="shared" si="142"/>
        <v>20000</v>
      </c>
      <c r="N747" s="42">
        <f t="shared" si="136"/>
        <v>3842.8999670889057</v>
      </c>
      <c r="O747" s="36">
        <v>3.5434645423597786</v>
      </c>
      <c r="P747" s="42">
        <f t="shared" si="137"/>
        <v>6330.1314087580777</v>
      </c>
      <c r="Q747" s="42"/>
      <c r="R747">
        <v>0.42612994781334879</v>
      </c>
      <c r="S747">
        <v>0.33146153141880552</v>
      </c>
    </row>
    <row r="748" spans="1:19" x14ac:dyDescent="0.25">
      <c r="A748" s="40">
        <f t="shared" si="138"/>
        <v>0</v>
      </c>
      <c r="B748" s="40">
        <f t="shared" si="139"/>
        <v>50</v>
      </c>
      <c r="C748" s="41">
        <f t="shared" si="132"/>
        <v>1.0313000000000001</v>
      </c>
      <c r="D748" s="41">
        <f t="shared" si="133"/>
        <v>0.88000000000000012</v>
      </c>
      <c r="E748" s="39">
        <f>IF(_xlfn.NORM.INV(R748,C748,'Regressão Grupo 2'!$B$7)&lt;=0,0,IF(_xlfn.NORM.INV(R748,C748,'Regressão Grupo 2'!$B$7)&gt;100%,100%,_xlfn.NORM.INV(R748,C748,'Regressão Grupo 2'!$B$7)))</f>
        <v>1</v>
      </c>
      <c r="F748" s="39">
        <f>IF(_xlfn.NORM.INV(S748,D748,'Regressão Grupo 2'!$B$7)&lt;=0,0,IF(_xlfn.NORM.INV(S748,D748,'Regressão Grupo 2'!$B$7)&gt;100%,100%,_xlfn.NORM.INV(S748,D748,'Regressão Grupo 2'!$B$7)))</f>
        <v>0.73981654143889319</v>
      </c>
      <c r="G748" s="41">
        <v>3.1432761773758128E-3</v>
      </c>
      <c r="H748" s="41">
        <v>1.2195481841080352E-2</v>
      </c>
      <c r="I748" s="40">
        <f t="shared" si="134"/>
        <v>0</v>
      </c>
      <c r="J748" s="40">
        <f t="shared" si="135"/>
        <v>180.44838393697782</v>
      </c>
      <c r="K748" s="36">
        <v>0.34020497935274319</v>
      </c>
      <c r="L748" s="42">
        <f t="shared" si="142"/>
        <v>0</v>
      </c>
      <c r="M748" s="42">
        <f t="shared" si="142"/>
        <v>20000</v>
      </c>
      <c r="N748" s="42">
        <f t="shared" si="136"/>
        <v>6804.0995870548641</v>
      </c>
      <c r="O748" s="36">
        <v>4.8410321652022592</v>
      </c>
      <c r="P748" s="42">
        <f t="shared" si="137"/>
        <v>1344.7631789963498</v>
      </c>
      <c r="Q748" s="42"/>
      <c r="R748">
        <v>0.46549882503738516</v>
      </c>
      <c r="S748">
        <v>0.15533921323282571</v>
      </c>
    </row>
    <row r="749" spans="1:19" x14ac:dyDescent="0.25">
      <c r="A749" s="40">
        <f t="shared" si="138"/>
        <v>0</v>
      </c>
      <c r="B749" s="40">
        <f t="shared" si="139"/>
        <v>50</v>
      </c>
      <c r="C749" s="41">
        <f t="shared" si="132"/>
        <v>1.0313000000000001</v>
      </c>
      <c r="D749" s="41">
        <f t="shared" si="133"/>
        <v>0.88000000000000012</v>
      </c>
      <c r="E749" s="39">
        <f>IF(_xlfn.NORM.INV(R749,C749,'Regressão Grupo 2'!$B$7)&lt;=0,0,IF(_xlfn.NORM.INV(R749,C749,'Regressão Grupo 2'!$B$7)&gt;100%,100%,_xlfn.NORM.INV(R749,C749,'Regressão Grupo 2'!$B$7)))</f>
        <v>0.99043775801282119</v>
      </c>
      <c r="F749" s="39">
        <f>IF(_xlfn.NORM.INV(S749,D749,'Regressão Grupo 2'!$B$7)&lt;=0,0,IF(_xlfn.NORM.INV(S749,D749,'Regressão Grupo 2'!$B$7)&gt;100%,100%,_xlfn.NORM.INV(S749,D749,'Regressão Grupo 2'!$B$7)))</f>
        <v>0.90905289640416376</v>
      </c>
      <c r="G749" s="41">
        <v>1.6962386734878772E-2</v>
      </c>
      <c r="H749" s="41">
        <v>1.2056610329851175E-2</v>
      </c>
      <c r="I749" s="40">
        <f t="shared" si="134"/>
        <v>0</v>
      </c>
      <c r="J749" s="40">
        <f t="shared" si="135"/>
        <v>219.2019308233514</v>
      </c>
      <c r="K749" s="36">
        <v>0.30116656297386379</v>
      </c>
      <c r="L749" s="42">
        <f t="shared" si="142"/>
        <v>0</v>
      </c>
      <c r="M749" s="42">
        <f t="shared" si="142"/>
        <v>20000</v>
      </c>
      <c r="N749" s="42">
        <f t="shared" si="136"/>
        <v>6023.331259477276</v>
      </c>
      <c r="O749" s="36">
        <v>4.9579545447917397</v>
      </c>
      <c r="P749" s="42">
        <f t="shared" si="137"/>
        <v>3849.9720725375337</v>
      </c>
      <c r="Q749" s="42"/>
      <c r="R749">
        <v>0.38380077517014072</v>
      </c>
      <c r="S749">
        <v>0.58320871608630631</v>
      </c>
    </row>
    <row r="750" spans="1:19" x14ac:dyDescent="0.25">
      <c r="A750" s="40">
        <f t="shared" si="138"/>
        <v>0</v>
      </c>
      <c r="B750" s="40">
        <f t="shared" si="139"/>
        <v>50</v>
      </c>
      <c r="C750" s="41">
        <f t="shared" si="132"/>
        <v>1.0313000000000001</v>
      </c>
      <c r="D750" s="41">
        <f t="shared" si="133"/>
        <v>0.88000000000000012</v>
      </c>
      <c r="E750" s="39">
        <f>IF(_xlfn.NORM.INV(R750,C750,'Regressão Grupo 2'!$B$7)&lt;=0,0,IF(_xlfn.NORM.INV(R750,C750,'Regressão Grupo 2'!$B$7)&gt;100%,100%,_xlfn.NORM.INV(R750,C750,'Regressão Grupo 2'!$B$7)))</f>
        <v>1</v>
      </c>
      <c r="F750" s="39">
        <f>IF(_xlfn.NORM.INV(S750,D750,'Regressão Grupo 2'!$B$7)&lt;=0,0,IF(_xlfn.NORM.INV(S750,D750,'Regressão Grupo 2'!$B$7)&gt;100%,100%,_xlfn.NORM.INV(S750,D750,'Regressão Grupo 2'!$B$7)))</f>
        <v>0.78359309930077425</v>
      </c>
      <c r="G750" s="41">
        <v>1.891942156534519E-2</v>
      </c>
      <c r="H750" s="41">
        <v>1.5275744095704789E-2</v>
      </c>
      <c r="I750" s="40">
        <f t="shared" si="134"/>
        <v>0</v>
      </c>
      <c r="J750" s="40">
        <f t="shared" si="135"/>
        <v>239.39935320157636</v>
      </c>
      <c r="K750" s="36">
        <v>0.2979556383278551</v>
      </c>
      <c r="L750" s="42">
        <f t="shared" si="142"/>
        <v>0</v>
      </c>
      <c r="M750" s="42">
        <f t="shared" si="142"/>
        <v>20000</v>
      </c>
      <c r="N750" s="42">
        <f t="shared" si="136"/>
        <v>5959.1127665571021</v>
      </c>
      <c r="O750" s="36">
        <v>9.2467757023664063</v>
      </c>
      <c r="P750" s="42">
        <f t="shared" si="137"/>
        <v>3797.1827711751466</v>
      </c>
      <c r="Q750" s="42"/>
      <c r="R750">
        <v>0.49418622394482253</v>
      </c>
      <c r="S750">
        <v>0.24283577990050967</v>
      </c>
    </row>
    <row r="751" spans="1:19" x14ac:dyDescent="0.25">
      <c r="A751" s="40">
        <f t="shared" si="138"/>
        <v>0</v>
      </c>
      <c r="B751" s="40">
        <f t="shared" si="139"/>
        <v>50</v>
      </c>
      <c r="C751" s="41">
        <f t="shared" si="132"/>
        <v>1.0313000000000001</v>
      </c>
      <c r="D751" s="41">
        <f t="shared" si="133"/>
        <v>0.88000000000000012</v>
      </c>
      <c r="E751" s="39">
        <f>IF(_xlfn.NORM.INV(R751,C751,'Regressão Grupo 2'!$B$7)&lt;=0,0,IF(_xlfn.NORM.INV(R751,C751,'Regressão Grupo 2'!$B$7)&gt;100%,100%,_xlfn.NORM.INV(R751,C751,'Regressão Grupo 2'!$B$7)))</f>
        <v>0.75873958274753583</v>
      </c>
      <c r="F751" s="39">
        <f>IF(_xlfn.NORM.INV(S751,D751,'Regressão Grupo 2'!$B$7)&lt;=0,0,IF(_xlfn.NORM.INV(S751,D751,'Regressão Grupo 2'!$B$7)&gt;100%,100%,_xlfn.NORM.INV(S751,D751,'Regressão Grupo 2'!$B$7)))</f>
        <v>0.94505425785652764</v>
      </c>
      <c r="G751" s="41">
        <v>2.011107411448057E-2</v>
      </c>
      <c r="H751" s="41">
        <v>2.5934002987569545E-2</v>
      </c>
      <c r="I751" s="40">
        <f t="shared" si="134"/>
        <v>0</v>
      </c>
      <c r="J751" s="40">
        <f t="shared" si="135"/>
        <v>490.1807989333301</v>
      </c>
      <c r="K751" s="36">
        <v>0.2802360057715696</v>
      </c>
      <c r="L751" s="42">
        <f t="shared" si="142"/>
        <v>0</v>
      </c>
      <c r="M751" s="42">
        <f t="shared" si="142"/>
        <v>20000</v>
      </c>
      <c r="N751" s="42">
        <f t="shared" si="136"/>
        <v>5604.7201154313916</v>
      </c>
      <c r="O751" s="36">
        <v>5.4034786163550477</v>
      </c>
      <c r="P751" s="42">
        <f t="shared" si="137"/>
        <v>16255.638366051029</v>
      </c>
      <c r="Q751" s="42"/>
      <c r="R751">
        <v>2.4353770561845761E-2</v>
      </c>
      <c r="S751">
        <v>0.68099002044740131</v>
      </c>
    </row>
    <row r="752" spans="1:19" x14ac:dyDescent="0.25">
      <c r="A752" s="40">
        <f t="shared" si="138"/>
        <v>0</v>
      </c>
      <c r="B752" s="40">
        <f t="shared" si="139"/>
        <v>50</v>
      </c>
      <c r="C752" s="41">
        <f t="shared" si="132"/>
        <v>1.0313000000000001</v>
      </c>
      <c r="D752" s="41">
        <f t="shared" si="133"/>
        <v>0.88000000000000012</v>
      </c>
      <c r="E752" s="39">
        <f>IF(_xlfn.NORM.INV(R752,C752,'Regressão Grupo 2'!$B$7)&lt;=0,0,IF(_xlfn.NORM.INV(R752,C752,'Regressão Grupo 2'!$B$7)&gt;100%,100%,_xlfn.NORM.INV(R752,C752,'Regressão Grupo 2'!$B$7)))</f>
        <v>1</v>
      </c>
      <c r="F752" s="39">
        <f>IF(_xlfn.NORM.INV(S752,D752,'Regressão Grupo 2'!$B$7)&lt;=0,0,IF(_xlfn.NORM.INV(S752,D752,'Regressão Grupo 2'!$B$7)&gt;100%,100%,_xlfn.NORM.INV(S752,D752,'Regressão Grupo 2'!$B$7)))</f>
        <v>0.7321941850919047</v>
      </c>
      <c r="G752" s="41">
        <v>2.6774889406725417E-2</v>
      </c>
      <c r="H752" s="41">
        <v>1.2616528945601198E-2</v>
      </c>
      <c r="I752" s="40">
        <f t="shared" si="134"/>
        <v>0</v>
      </c>
      <c r="J752" s="40">
        <f t="shared" si="135"/>
        <v>184.75498260025793</v>
      </c>
      <c r="K752" s="36">
        <v>0.32545776292486289</v>
      </c>
      <c r="L752" s="42">
        <f t="shared" si="142"/>
        <v>0</v>
      </c>
      <c r="M752" s="42">
        <f t="shared" si="142"/>
        <v>20000</v>
      </c>
      <c r="N752" s="42">
        <f t="shared" si="136"/>
        <v>6509.1552584972578</v>
      </c>
      <c r="O752" s="36">
        <v>3.6223519831120323</v>
      </c>
      <c r="P752" s="42">
        <f t="shared" si="137"/>
        <v>2059.3462939037654</v>
      </c>
      <c r="Q752" s="42"/>
      <c r="R752">
        <v>0.95706045716727195</v>
      </c>
      <c r="S752">
        <v>0.14255195776238289</v>
      </c>
    </row>
    <row r="753" spans="1:19" x14ac:dyDescent="0.25">
      <c r="A753" s="40">
        <f t="shared" si="138"/>
        <v>0</v>
      </c>
      <c r="B753" s="40">
        <f t="shared" si="139"/>
        <v>50</v>
      </c>
      <c r="C753" s="41">
        <f t="shared" si="132"/>
        <v>1.0313000000000001</v>
      </c>
      <c r="D753" s="41">
        <f t="shared" si="133"/>
        <v>0.88000000000000012</v>
      </c>
      <c r="E753" s="39">
        <f>IF(_xlfn.NORM.INV(R753,C753,'Regressão Grupo 2'!$B$7)&lt;=0,0,IF(_xlfn.NORM.INV(R753,C753,'Regressão Grupo 2'!$B$7)&gt;100%,100%,_xlfn.NORM.INV(R753,C753,'Regressão Grupo 2'!$B$7)))</f>
        <v>1</v>
      </c>
      <c r="F753" s="39">
        <f>IF(_xlfn.NORM.INV(S753,D753,'Regressão Grupo 2'!$B$7)&lt;=0,0,IF(_xlfn.NORM.INV(S753,D753,'Regressão Grupo 2'!$B$7)&gt;100%,100%,_xlfn.NORM.INV(S753,D753,'Regressão Grupo 2'!$B$7)))</f>
        <v>1</v>
      </c>
      <c r="G753" s="41">
        <v>1.716346864015892E-2</v>
      </c>
      <c r="H753" s="41">
        <v>2.6613099838944429E-2</v>
      </c>
      <c r="I753" s="40">
        <f t="shared" si="134"/>
        <v>0</v>
      </c>
      <c r="J753" s="40">
        <f t="shared" si="135"/>
        <v>532.2619967788886</v>
      </c>
      <c r="K753" s="36">
        <v>0.27159395301319145</v>
      </c>
      <c r="L753" s="42">
        <f t="shared" si="142"/>
        <v>0</v>
      </c>
      <c r="M753" s="42">
        <f t="shared" si="142"/>
        <v>20000</v>
      </c>
      <c r="N753" s="42">
        <f t="shared" si="136"/>
        <v>5431.8790602638292</v>
      </c>
      <c r="O753" s="36">
        <v>7.793424241402235</v>
      </c>
      <c r="P753" s="42">
        <f t="shared" si="137"/>
        <v>17033.077230206851</v>
      </c>
      <c r="Q753" s="42"/>
      <c r="R753">
        <v>0.79049043244727923</v>
      </c>
      <c r="S753">
        <v>0.99649037141026031</v>
      </c>
    </row>
    <row r="754" spans="1:19" x14ac:dyDescent="0.25">
      <c r="A754" s="40">
        <f t="shared" si="138"/>
        <v>0</v>
      </c>
      <c r="B754" s="40">
        <f t="shared" si="139"/>
        <v>50</v>
      </c>
      <c r="C754" s="41">
        <f t="shared" si="132"/>
        <v>1.0313000000000001</v>
      </c>
      <c r="D754" s="41">
        <f t="shared" si="133"/>
        <v>0.88000000000000012</v>
      </c>
      <c r="E754" s="39">
        <f>IF(_xlfn.NORM.INV(R754,C754,'Regressão Grupo 2'!$B$7)&lt;=0,0,IF(_xlfn.NORM.INV(R754,C754,'Regressão Grupo 2'!$B$7)&gt;100%,100%,_xlfn.NORM.INV(R754,C754,'Regressão Grupo 2'!$B$7)))</f>
        <v>0.88174052652855028</v>
      </c>
      <c r="F754" s="39">
        <f>IF(_xlfn.NORM.INV(S754,D754,'Regressão Grupo 2'!$B$7)&lt;=0,0,IF(_xlfn.NORM.INV(S754,D754,'Regressão Grupo 2'!$B$7)&gt;100%,100%,_xlfn.NORM.INV(S754,D754,'Regressão Grupo 2'!$B$7)))</f>
        <v>0.80540340201652938</v>
      </c>
      <c r="G754" s="41">
        <v>1.9577250821141812E-2</v>
      </c>
      <c r="H754" s="41">
        <v>2.0536092806876939E-2</v>
      </c>
      <c r="I754" s="40">
        <f t="shared" si="134"/>
        <v>0</v>
      </c>
      <c r="J754" s="40">
        <f t="shared" si="135"/>
        <v>330.79678021571732</v>
      </c>
      <c r="K754" s="36">
        <v>0.23499084229668057</v>
      </c>
      <c r="L754" s="42">
        <f t="shared" si="142"/>
        <v>0</v>
      </c>
      <c r="M754" s="42">
        <f t="shared" si="142"/>
        <v>20000</v>
      </c>
      <c r="N754" s="42">
        <f t="shared" si="136"/>
        <v>4699.8168459336111</v>
      </c>
      <c r="O754" s="36">
        <v>4.186113299484914</v>
      </c>
      <c r="P754" s="42">
        <f t="shared" si="137"/>
        <v>10455.269363764452</v>
      </c>
      <c r="Q754" s="42"/>
      <c r="R754">
        <v>0.13971373638111514</v>
      </c>
      <c r="S754">
        <v>0.29477828302865688</v>
      </c>
    </row>
    <row r="755" spans="1:19" x14ac:dyDescent="0.25">
      <c r="A755" s="40">
        <f t="shared" si="138"/>
        <v>0</v>
      </c>
      <c r="B755" s="40">
        <f t="shared" si="139"/>
        <v>50</v>
      </c>
      <c r="C755" s="41">
        <f t="shared" si="132"/>
        <v>1.0313000000000001</v>
      </c>
      <c r="D755" s="41">
        <f t="shared" si="133"/>
        <v>0.88000000000000012</v>
      </c>
      <c r="E755" s="39">
        <f>IF(_xlfn.NORM.INV(R755,C755,'Regressão Grupo 2'!$B$7)&lt;=0,0,IF(_xlfn.NORM.INV(R755,C755,'Regressão Grupo 2'!$B$7)&gt;100%,100%,_xlfn.NORM.INV(R755,C755,'Regressão Grupo 2'!$B$7)))</f>
        <v>1</v>
      </c>
      <c r="F755" s="39">
        <f>IF(_xlfn.NORM.INV(S755,D755,'Regressão Grupo 2'!$B$7)&lt;=0,0,IF(_xlfn.NORM.INV(S755,D755,'Regressão Grupo 2'!$B$7)&gt;100%,100%,_xlfn.NORM.INV(S755,D755,'Regressão Grupo 2'!$B$7)))</f>
        <v>0.82457760270674252</v>
      </c>
      <c r="G755" s="41">
        <v>2.2663137134744341E-2</v>
      </c>
      <c r="H755" s="41">
        <v>2.2730245225705457E-2</v>
      </c>
      <c r="I755" s="40">
        <f t="shared" si="134"/>
        <v>0</v>
      </c>
      <c r="J755" s="40">
        <f t="shared" si="135"/>
        <v>374.85702234297173</v>
      </c>
      <c r="K755" s="36">
        <v>0.30195354634768068</v>
      </c>
      <c r="L755" s="42">
        <f t="shared" si="142"/>
        <v>0</v>
      </c>
      <c r="M755" s="42">
        <f t="shared" si="142"/>
        <v>20000</v>
      </c>
      <c r="N755" s="42">
        <f t="shared" si="136"/>
        <v>6039.0709269536137</v>
      </c>
      <c r="O755" s="36">
        <v>6.0831083184885628</v>
      </c>
      <c r="P755" s="42">
        <f t="shared" si="137"/>
        <v>10423.484319336592</v>
      </c>
      <c r="Q755" s="42"/>
      <c r="R755">
        <v>0.9693899349955748</v>
      </c>
      <c r="S755">
        <v>0.34427930539872431</v>
      </c>
    </row>
    <row r="756" spans="1:19" x14ac:dyDescent="0.25">
      <c r="A756" s="40">
        <f t="shared" si="138"/>
        <v>0</v>
      </c>
      <c r="B756" s="40">
        <f t="shared" si="139"/>
        <v>50</v>
      </c>
      <c r="C756" s="41">
        <f t="shared" si="132"/>
        <v>1.0313000000000001</v>
      </c>
      <c r="D756" s="41">
        <f t="shared" si="133"/>
        <v>0.88000000000000012</v>
      </c>
      <c r="E756" s="39">
        <f>IF(_xlfn.NORM.INV(R756,C756,'Regressão Grupo 2'!$B$7)&lt;=0,0,IF(_xlfn.NORM.INV(R756,C756,'Regressão Grupo 2'!$B$7)&gt;100%,100%,_xlfn.NORM.INV(R756,C756,'Regressão Grupo 2'!$B$7)))</f>
        <v>0.82705551033640534</v>
      </c>
      <c r="F756" s="39">
        <f>IF(_xlfn.NORM.INV(S756,D756,'Regressão Grupo 2'!$B$7)&lt;=0,0,IF(_xlfn.NORM.INV(S756,D756,'Regressão Grupo 2'!$B$7)&gt;100%,100%,_xlfn.NORM.INV(S756,D756,'Regressão Grupo 2'!$B$7)))</f>
        <v>0.95376597579386058</v>
      </c>
      <c r="G756" s="41">
        <v>1.0042466354712605E-2</v>
      </c>
      <c r="H756" s="41">
        <v>1.9320235841863563E-2</v>
      </c>
      <c r="I756" s="40">
        <f t="shared" si="134"/>
        <v>0</v>
      </c>
      <c r="J756" s="40">
        <f t="shared" si="135"/>
        <v>368.53967180565041</v>
      </c>
      <c r="K756" s="36">
        <v>0.30182192481444137</v>
      </c>
      <c r="L756" s="42">
        <f t="shared" si="142"/>
        <v>0</v>
      </c>
      <c r="M756" s="42">
        <f t="shared" si="142"/>
        <v>20000</v>
      </c>
      <c r="N756" s="42">
        <f t="shared" si="136"/>
        <v>6036.4384962888271</v>
      </c>
      <c r="O756" s="36">
        <v>5.1641226162617198</v>
      </c>
      <c r="P756" s="42">
        <f t="shared" si="137"/>
        <v>10487.361039832462</v>
      </c>
      <c r="Q756" s="42"/>
      <c r="R756">
        <v>6.9826349681081576E-2</v>
      </c>
      <c r="S756">
        <v>0.70314645832697531</v>
      </c>
    </row>
    <row r="757" spans="1:19" x14ac:dyDescent="0.25">
      <c r="A757" s="40">
        <f t="shared" si="138"/>
        <v>0</v>
      </c>
      <c r="B757" s="40">
        <f t="shared" si="139"/>
        <v>50</v>
      </c>
      <c r="C757" s="41">
        <f t="shared" si="132"/>
        <v>1.0313000000000001</v>
      </c>
      <c r="D757" s="41">
        <f t="shared" si="133"/>
        <v>0.88000000000000012</v>
      </c>
      <c r="E757" s="39">
        <f>IF(_xlfn.NORM.INV(R757,C757,'Regressão Grupo 2'!$B$7)&lt;=0,0,IF(_xlfn.NORM.INV(R757,C757,'Regressão Grupo 2'!$B$7)&gt;100%,100%,_xlfn.NORM.INV(R757,C757,'Regressão Grupo 2'!$B$7)))</f>
        <v>1</v>
      </c>
      <c r="F757" s="39">
        <f>IF(_xlfn.NORM.INV(S757,D757,'Regressão Grupo 2'!$B$7)&lt;=0,0,IF(_xlfn.NORM.INV(S757,D757,'Regressão Grupo 2'!$B$7)&gt;100%,100%,_xlfn.NORM.INV(S757,D757,'Regressão Grupo 2'!$B$7)))</f>
        <v>1</v>
      </c>
      <c r="G757" s="41">
        <v>1.807965163211761E-2</v>
      </c>
      <c r="H757" s="41">
        <v>1.5856440230308433E-3</v>
      </c>
      <c r="I757" s="40">
        <f t="shared" si="134"/>
        <v>0</v>
      </c>
      <c r="J757" s="40">
        <f t="shared" si="135"/>
        <v>31.712880460616866</v>
      </c>
      <c r="K757" s="36">
        <v>0.16518209041046722</v>
      </c>
      <c r="L757" s="42">
        <f t="shared" si="142"/>
        <v>0</v>
      </c>
      <c r="M757" s="42">
        <f t="shared" si="142"/>
        <v>20000</v>
      </c>
      <c r="N757" s="42">
        <f t="shared" si="136"/>
        <v>3303.6418082093442</v>
      </c>
      <c r="O757" s="36">
        <v>5.1938725918673381</v>
      </c>
      <c r="P757" s="42">
        <f t="shared" si="137"/>
        <v>-1882.7104458120641</v>
      </c>
      <c r="Q757" s="42"/>
      <c r="R757">
        <v>0.79067354350413521</v>
      </c>
      <c r="S757">
        <v>0.81337931455427714</v>
      </c>
    </row>
    <row r="758" spans="1:19" x14ac:dyDescent="0.25">
      <c r="A758" s="40">
        <f t="shared" si="138"/>
        <v>0</v>
      </c>
      <c r="B758" s="40">
        <f t="shared" si="139"/>
        <v>50</v>
      </c>
      <c r="C758" s="41">
        <f t="shared" si="132"/>
        <v>1.0313000000000001</v>
      </c>
      <c r="D758" s="41">
        <f t="shared" si="133"/>
        <v>0.88000000000000012</v>
      </c>
      <c r="E758" s="39">
        <f>IF(_xlfn.NORM.INV(R758,C758,'Regressão Grupo 2'!$B$7)&lt;=0,0,IF(_xlfn.NORM.INV(R758,C758,'Regressão Grupo 2'!$B$7)&gt;100%,100%,_xlfn.NORM.INV(R758,C758,'Regressão Grupo 2'!$B$7)))</f>
        <v>1</v>
      </c>
      <c r="F758" s="39">
        <f>IF(_xlfn.NORM.INV(S758,D758,'Regressão Grupo 2'!$B$7)&lt;=0,0,IF(_xlfn.NORM.INV(S758,D758,'Regressão Grupo 2'!$B$7)&gt;100%,100%,_xlfn.NORM.INV(S758,D758,'Regressão Grupo 2'!$B$7)))</f>
        <v>0.94078381124863875</v>
      </c>
      <c r="G758" s="41">
        <v>1.5000041723193315E-2</v>
      </c>
      <c r="H758" s="41">
        <v>1.5162247326562505E-2</v>
      </c>
      <c r="I758" s="40">
        <f t="shared" si="134"/>
        <v>0</v>
      </c>
      <c r="J758" s="40">
        <f t="shared" si="135"/>
        <v>285.28793653955915</v>
      </c>
      <c r="K758" s="36">
        <v>0.28493962875125978</v>
      </c>
      <c r="L758" s="42">
        <f t="shared" si="142"/>
        <v>0</v>
      </c>
      <c r="M758" s="42">
        <f t="shared" si="142"/>
        <v>20000</v>
      </c>
      <c r="N758" s="42">
        <f t="shared" si="136"/>
        <v>5698.7925750251952</v>
      </c>
      <c r="O758" s="36">
        <v>5.5015076622929184</v>
      </c>
      <c r="P758" s="42">
        <f t="shared" si="137"/>
        <v>6996.0904831206417</v>
      </c>
      <c r="Q758" s="42"/>
      <c r="R758">
        <v>0.64680928983428454</v>
      </c>
      <c r="S758">
        <v>0.66988128299813832</v>
      </c>
    </row>
    <row r="759" spans="1:19" x14ac:dyDescent="0.25">
      <c r="A759" s="40">
        <f t="shared" si="138"/>
        <v>0</v>
      </c>
      <c r="B759" s="40">
        <f t="shared" si="139"/>
        <v>50</v>
      </c>
      <c r="C759" s="41">
        <f t="shared" si="132"/>
        <v>1.0313000000000001</v>
      </c>
      <c r="D759" s="41">
        <f t="shared" si="133"/>
        <v>0.88000000000000012</v>
      </c>
      <c r="E759" s="39">
        <f>IF(_xlfn.NORM.INV(R759,C759,'Regressão Grupo 2'!$B$7)&lt;=0,0,IF(_xlfn.NORM.INV(R759,C759,'Regressão Grupo 2'!$B$7)&gt;100%,100%,_xlfn.NORM.INV(R759,C759,'Regressão Grupo 2'!$B$7)))</f>
        <v>1</v>
      </c>
      <c r="F759" s="39">
        <f>IF(_xlfn.NORM.INV(S759,D759,'Regressão Grupo 2'!$B$7)&lt;=0,0,IF(_xlfn.NORM.INV(S759,D759,'Regressão Grupo 2'!$B$7)&gt;100%,100%,_xlfn.NORM.INV(S759,D759,'Regressão Grupo 2'!$B$7)))</f>
        <v>0.92666788321999616</v>
      </c>
      <c r="G759" s="41">
        <v>2.735856203032265E-2</v>
      </c>
      <c r="H759" s="41">
        <v>1.4505199338772061E-2</v>
      </c>
      <c r="I759" s="40">
        <f t="shared" si="134"/>
        <v>0</v>
      </c>
      <c r="J759" s="40">
        <f t="shared" si="135"/>
        <v>268.83004733887987</v>
      </c>
      <c r="K759" s="36">
        <v>0.21462431203787552</v>
      </c>
      <c r="L759" s="42">
        <f t="shared" ref="L759:M774" si="143">L758</f>
        <v>0</v>
      </c>
      <c r="M759" s="42">
        <f t="shared" si="143"/>
        <v>20000</v>
      </c>
      <c r="N759" s="42">
        <f t="shared" si="136"/>
        <v>4292.4862407575101</v>
      </c>
      <c r="O759" s="36">
        <v>9.8619054880722175</v>
      </c>
      <c r="P759" s="42">
        <f t="shared" si="137"/>
        <v>6497.8396069764685</v>
      </c>
      <c r="Q759" s="42"/>
      <c r="R759">
        <v>0.84636982329783017</v>
      </c>
      <c r="S759">
        <v>0.63212988677632986</v>
      </c>
    </row>
    <row r="760" spans="1:19" x14ac:dyDescent="0.25">
      <c r="A760" s="40">
        <f t="shared" si="138"/>
        <v>0</v>
      </c>
      <c r="B760" s="40">
        <f t="shared" si="139"/>
        <v>50</v>
      </c>
      <c r="C760" s="41">
        <f t="shared" si="132"/>
        <v>1.0313000000000001</v>
      </c>
      <c r="D760" s="41">
        <f t="shared" si="133"/>
        <v>0.88000000000000012</v>
      </c>
      <c r="E760" s="39">
        <f>IF(_xlfn.NORM.INV(R760,C760,'Regressão Grupo 2'!$B$7)&lt;=0,0,IF(_xlfn.NORM.INV(R760,C760,'Regressão Grupo 2'!$B$7)&gt;100%,100%,_xlfn.NORM.INV(R760,C760,'Regressão Grupo 2'!$B$7)))</f>
        <v>1</v>
      </c>
      <c r="F760" s="39">
        <f>IF(_xlfn.NORM.INV(S760,D760,'Regressão Grupo 2'!$B$7)&lt;=0,0,IF(_xlfn.NORM.INV(S760,D760,'Regressão Grupo 2'!$B$7)&gt;100%,100%,_xlfn.NORM.INV(S760,D760,'Regressão Grupo 2'!$B$7)))</f>
        <v>1</v>
      </c>
      <c r="G760" s="41">
        <v>1.7873494971878488E-2</v>
      </c>
      <c r="H760" s="41">
        <v>2.0727256550203757E-2</v>
      </c>
      <c r="I760" s="40">
        <f t="shared" si="134"/>
        <v>0</v>
      </c>
      <c r="J760" s="40">
        <f t="shared" si="135"/>
        <v>414.54513100407513</v>
      </c>
      <c r="K760" s="36">
        <v>0.30835732872831156</v>
      </c>
      <c r="L760" s="42">
        <f t="shared" si="143"/>
        <v>0</v>
      </c>
      <c r="M760" s="42">
        <f t="shared" si="143"/>
        <v>20000</v>
      </c>
      <c r="N760" s="42">
        <f t="shared" si="136"/>
        <v>6167.1465745662317</v>
      </c>
      <c r="O760" s="36">
        <v>6.4927867051348072</v>
      </c>
      <c r="P760" s="42">
        <f t="shared" si="137"/>
        <v>11868.556860375898</v>
      </c>
      <c r="Q760" s="42"/>
      <c r="R760">
        <v>0.67235328226569413</v>
      </c>
      <c r="S760">
        <v>0.82943205053865166</v>
      </c>
    </row>
    <row r="761" spans="1:19" x14ac:dyDescent="0.25">
      <c r="A761" s="40">
        <f t="shared" si="138"/>
        <v>0</v>
      </c>
      <c r="B761" s="40">
        <f t="shared" si="139"/>
        <v>50</v>
      </c>
      <c r="C761" s="41">
        <f t="shared" si="132"/>
        <v>1.0313000000000001</v>
      </c>
      <c r="D761" s="41">
        <f t="shared" si="133"/>
        <v>0.88000000000000012</v>
      </c>
      <c r="E761" s="39">
        <f>IF(_xlfn.NORM.INV(R761,C761,'Regressão Grupo 2'!$B$7)&lt;=0,0,IF(_xlfn.NORM.INV(R761,C761,'Regressão Grupo 2'!$B$7)&gt;100%,100%,_xlfn.NORM.INV(R761,C761,'Regressão Grupo 2'!$B$7)))</f>
        <v>1</v>
      </c>
      <c r="F761" s="39">
        <f>IF(_xlfn.NORM.INV(S761,D761,'Regressão Grupo 2'!$B$7)&lt;=0,0,IF(_xlfn.NORM.INV(S761,D761,'Regressão Grupo 2'!$B$7)&gt;100%,100%,_xlfn.NORM.INV(S761,D761,'Regressão Grupo 2'!$B$7)))</f>
        <v>0.96167015295264258</v>
      </c>
      <c r="G761" s="41">
        <v>1.480370349683788E-2</v>
      </c>
      <c r="H761" s="41">
        <v>2.2274051979978449E-2</v>
      </c>
      <c r="I761" s="40">
        <f t="shared" si="134"/>
        <v>0</v>
      </c>
      <c r="J761" s="40">
        <f t="shared" si="135"/>
        <v>428.40581948921971</v>
      </c>
      <c r="K761" s="36">
        <v>0.25003504343765287</v>
      </c>
      <c r="L761" s="42">
        <f t="shared" si="143"/>
        <v>0</v>
      </c>
      <c r="M761" s="42">
        <f t="shared" si="143"/>
        <v>20000</v>
      </c>
      <c r="N761" s="42">
        <f t="shared" si="136"/>
        <v>5000.700868753057</v>
      </c>
      <c r="O761" s="36">
        <v>8.3308289808621829</v>
      </c>
      <c r="P761" s="42">
        <f t="shared" si="137"/>
        <v>12850.614489137122</v>
      </c>
      <c r="Q761" s="42"/>
      <c r="R761">
        <v>0.61445966978972744</v>
      </c>
      <c r="S761">
        <v>0.72261726737266152</v>
      </c>
    </row>
    <row r="762" spans="1:19" x14ac:dyDescent="0.25">
      <c r="A762" s="40">
        <f t="shared" si="138"/>
        <v>0</v>
      </c>
      <c r="B762" s="40">
        <f t="shared" si="139"/>
        <v>50</v>
      </c>
      <c r="C762" s="41">
        <f t="shared" si="132"/>
        <v>1.0313000000000001</v>
      </c>
      <c r="D762" s="41">
        <f t="shared" si="133"/>
        <v>0.88000000000000012</v>
      </c>
      <c r="E762" s="39">
        <f>IF(_xlfn.NORM.INV(R762,C762,'Regressão Grupo 2'!$B$7)&lt;=0,0,IF(_xlfn.NORM.INV(R762,C762,'Regressão Grupo 2'!$B$7)&gt;100%,100%,_xlfn.NORM.INV(R762,C762,'Regressão Grupo 2'!$B$7)))</f>
        <v>1</v>
      </c>
      <c r="F762" s="39">
        <f>IF(_xlfn.NORM.INV(S762,D762,'Regressão Grupo 2'!$B$7)&lt;=0,0,IF(_xlfn.NORM.INV(S762,D762,'Regressão Grupo 2'!$B$7)&gt;100%,100%,_xlfn.NORM.INV(S762,D762,'Regressão Grupo 2'!$B$7)))</f>
        <v>0.84042884030437159</v>
      </c>
      <c r="G762" s="41">
        <v>1.5017848125148558E-2</v>
      </c>
      <c r="H762" s="41">
        <v>6.9101924086638761E-3</v>
      </c>
      <c r="I762" s="40">
        <f t="shared" si="134"/>
        <v>0</v>
      </c>
      <c r="J762" s="40">
        <f t="shared" si="135"/>
        <v>116.15049984586908</v>
      </c>
      <c r="K762" s="36">
        <v>0.37823430585869289</v>
      </c>
      <c r="L762" s="42">
        <f t="shared" si="143"/>
        <v>0</v>
      </c>
      <c r="M762" s="42">
        <f t="shared" si="143"/>
        <v>20000</v>
      </c>
      <c r="N762" s="42">
        <f t="shared" si="136"/>
        <v>7564.6861171738574</v>
      </c>
      <c r="O762" s="36">
        <v>5.1713162196593601</v>
      </c>
      <c r="P762" s="42">
        <f t="shared" si="137"/>
        <v>-2357.8120886548886</v>
      </c>
      <c r="Q762" s="42"/>
      <c r="R762">
        <v>0.81243324076052126</v>
      </c>
      <c r="S762">
        <v>0.38737144077883234</v>
      </c>
    </row>
    <row r="763" spans="1:19" x14ac:dyDescent="0.25">
      <c r="A763" s="40">
        <f t="shared" si="138"/>
        <v>0</v>
      </c>
      <c r="B763" s="40">
        <f t="shared" si="139"/>
        <v>50</v>
      </c>
      <c r="C763" s="41">
        <f t="shared" si="132"/>
        <v>1.0313000000000001</v>
      </c>
      <c r="D763" s="41">
        <f t="shared" si="133"/>
        <v>0.88000000000000012</v>
      </c>
      <c r="E763" s="39">
        <f>IF(_xlfn.NORM.INV(R763,C763,'Regressão Grupo 2'!$B$7)&lt;=0,0,IF(_xlfn.NORM.INV(R763,C763,'Regressão Grupo 2'!$B$7)&gt;100%,100%,_xlfn.NORM.INV(R763,C763,'Regressão Grupo 2'!$B$7)))</f>
        <v>0.98436328146213636</v>
      </c>
      <c r="F763" s="39">
        <f>IF(_xlfn.NORM.INV(S763,D763,'Regressão Grupo 2'!$B$7)&lt;=0,0,IF(_xlfn.NORM.INV(S763,D763,'Regressão Grupo 2'!$B$7)&gt;100%,100%,_xlfn.NORM.INV(S763,D763,'Regressão Grupo 2'!$B$7)))</f>
        <v>0.70323217919525427</v>
      </c>
      <c r="G763" s="41">
        <v>1.5463400407015092E-2</v>
      </c>
      <c r="H763" s="41">
        <v>1.0717984208313359E-2</v>
      </c>
      <c r="I763" s="40">
        <f t="shared" si="134"/>
        <v>0</v>
      </c>
      <c r="J763" s="40">
        <f t="shared" si="135"/>
        <v>150.74462782785054</v>
      </c>
      <c r="K763" s="36">
        <v>0.21584914879352407</v>
      </c>
      <c r="L763" s="42">
        <f t="shared" si="143"/>
        <v>0</v>
      </c>
      <c r="M763" s="42">
        <f t="shared" si="143"/>
        <v>20000</v>
      </c>
      <c r="N763" s="42">
        <f t="shared" si="136"/>
        <v>4316.9829758704818</v>
      </c>
      <c r="O763" s="36">
        <v>4.9638116118045499</v>
      </c>
      <c r="P763" s="42">
        <f t="shared" si="137"/>
        <v>2471.9804814930048</v>
      </c>
      <c r="Q763" s="42"/>
      <c r="R763">
        <v>0.36713766899624622</v>
      </c>
      <c r="S763">
        <v>0.10055848872341075</v>
      </c>
    </row>
    <row r="764" spans="1:19" x14ac:dyDescent="0.25">
      <c r="A764" s="40">
        <f t="shared" si="138"/>
        <v>0</v>
      </c>
      <c r="B764" s="40">
        <f t="shared" si="139"/>
        <v>50</v>
      </c>
      <c r="C764" s="41">
        <f t="shared" si="132"/>
        <v>1.0313000000000001</v>
      </c>
      <c r="D764" s="41">
        <f t="shared" si="133"/>
        <v>0.88000000000000012</v>
      </c>
      <c r="E764" s="39">
        <f>IF(_xlfn.NORM.INV(R764,C764,'Regressão Grupo 2'!$B$7)&lt;=0,0,IF(_xlfn.NORM.INV(R764,C764,'Regressão Grupo 2'!$B$7)&gt;100%,100%,_xlfn.NORM.INV(R764,C764,'Regressão Grupo 2'!$B$7)))</f>
        <v>0.75353079887262964</v>
      </c>
      <c r="F764" s="39">
        <f>IF(_xlfn.NORM.INV(S764,D764,'Regressão Grupo 2'!$B$7)&lt;=0,0,IF(_xlfn.NORM.INV(S764,D764,'Regressão Grupo 2'!$B$7)&gt;100%,100%,_xlfn.NORM.INV(S764,D764,'Regressão Grupo 2'!$B$7)))</f>
        <v>1</v>
      </c>
      <c r="G764" s="41">
        <v>1.607707669146469E-2</v>
      </c>
      <c r="H764" s="41">
        <v>1.7052702385865082E-2</v>
      </c>
      <c r="I764" s="40">
        <f t="shared" si="134"/>
        <v>0</v>
      </c>
      <c r="J764" s="40">
        <f t="shared" si="135"/>
        <v>341.05404771730167</v>
      </c>
      <c r="K764" s="36">
        <v>0.30883033894026912</v>
      </c>
      <c r="L764" s="42">
        <f t="shared" si="143"/>
        <v>0</v>
      </c>
      <c r="M764" s="42">
        <f t="shared" si="143"/>
        <v>20000</v>
      </c>
      <c r="N764" s="42">
        <f t="shared" si="136"/>
        <v>6176.6067788053824</v>
      </c>
      <c r="O764" s="36">
        <v>4.5522817430766995</v>
      </c>
      <c r="P764" s="42">
        <f t="shared" si="137"/>
        <v>9323.5214922338182</v>
      </c>
      <c r="Q764" s="42"/>
      <c r="R764">
        <v>2.2278511917477952E-2</v>
      </c>
      <c r="S764">
        <v>0.97085482345042273</v>
      </c>
    </row>
    <row r="765" spans="1:19" x14ac:dyDescent="0.25">
      <c r="A765" s="40">
        <f t="shared" si="138"/>
        <v>0</v>
      </c>
      <c r="B765" s="40">
        <f t="shared" si="139"/>
        <v>50</v>
      </c>
      <c r="C765" s="41">
        <f t="shared" si="132"/>
        <v>1.0313000000000001</v>
      </c>
      <c r="D765" s="41">
        <f t="shared" si="133"/>
        <v>0.88000000000000012</v>
      </c>
      <c r="E765" s="39">
        <f>IF(_xlfn.NORM.INV(R765,C765,'Regressão Grupo 2'!$B$7)&lt;=0,0,IF(_xlfn.NORM.INV(R765,C765,'Regressão Grupo 2'!$B$7)&gt;100%,100%,_xlfn.NORM.INV(R765,C765,'Regressão Grupo 2'!$B$7)))</f>
        <v>0.9360094828766039</v>
      </c>
      <c r="F765" s="39">
        <f>IF(_xlfn.NORM.INV(S765,D765,'Regressão Grupo 2'!$B$7)&lt;=0,0,IF(_xlfn.NORM.INV(S765,D765,'Regressão Grupo 2'!$B$7)&gt;100%,100%,_xlfn.NORM.INV(S765,D765,'Regressão Grupo 2'!$B$7)))</f>
        <v>0.98557837997819364</v>
      </c>
      <c r="G765" s="41">
        <v>9.3490584995921579E-3</v>
      </c>
      <c r="H765" s="41">
        <v>1.9566478239426987E-2</v>
      </c>
      <c r="I765" s="40">
        <f t="shared" si="134"/>
        <v>0</v>
      </c>
      <c r="J765" s="40">
        <f t="shared" si="135"/>
        <v>385.68595850186057</v>
      </c>
      <c r="K765" s="36">
        <v>0.27141299489189863</v>
      </c>
      <c r="L765" s="42">
        <f t="shared" si="143"/>
        <v>0</v>
      </c>
      <c r="M765" s="42">
        <f t="shared" si="143"/>
        <v>20000</v>
      </c>
      <c r="N765" s="42">
        <f t="shared" si="136"/>
        <v>5428.2598978379729</v>
      </c>
      <c r="O765" s="36">
        <v>4.3364115460479358</v>
      </c>
      <c r="P765" s="42">
        <f t="shared" si="137"/>
        <v>12183.544983659023</v>
      </c>
      <c r="Q765" s="42"/>
      <c r="R765">
        <v>0.24536881618701742</v>
      </c>
      <c r="S765">
        <v>0.77742851039155247</v>
      </c>
    </row>
    <row r="766" spans="1:19" x14ac:dyDescent="0.25">
      <c r="A766" s="40">
        <f t="shared" si="138"/>
        <v>0</v>
      </c>
      <c r="B766" s="40">
        <f t="shared" si="139"/>
        <v>50</v>
      </c>
      <c r="C766" s="41">
        <f t="shared" si="132"/>
        <v>1.0313000000000001</v>
      </c>
      <c r="D766" s="41">
        <f t="shared" si="133"/>
        <v>0.88000000000000012</v>
      </c>
      <c r="E766" s="39">
        <f>IF(_xlfn.NORM.INV(R766,C766,'Regressão Grupo 2'!$B$7)&lt;=0,0,IF(_xlfn.NORM.INV(R766,C766,'Regressão Grupo 2'!$B$7)&gt;100%,100%,_xlfn.NORM.INV(R766,C766,'Regressão Grupo 2'!$B$7)))</f>
        <v>1</v>
      </c>
      <c r="F766" s="39">
        <f>IF(_xlfn.NORM.INV(S766,D766,'Regressão Grupo 2'!$B$7)&lt;=0,0,IF(_xlfn.NORM.INV(S766,D766,'Regressão Grupo 2'!$B$7)&gt;100%,100%,_xlfn.NORM.INV(S766,D766,'Regressão Grupo 2'!$B$7)))</f>
        <v>1</v>
      </c>
      <c r="G766" s="41">
        <v>1.7641956654133754E-2</v>
      </c>
      <c r="H766" s="41">
        <v>1.1001792501573581E-2</v>
      </c>
      <c r="I766" s="40">
        <f t="shared" si="134"/>
        <v>0</v>
      </c>
      <c r="J766" s="40">
        <f t="shared" si="135"/>
        <v>220.03585003147163</v>
      </c>
      <c r="K766" s="36">
        <v>0.21151167879395544</v>
      </c>
      <c r="L766" s="42">
        <f t="shared" si="143"/>
        <v>0</v>
      </c>
      <c r="M766" s="42">
        <f t="shared" si="143"/>
        <v>20000</v>
      </c>
      <c r="N766" s="42">
        <f t="shared" si="136"/>
        <v>4230.2335758791087</v>
      </c>
      <c r="O766" s="36">
        <v>7.0211331462132769</v>
      </c>
      <c r="P766" s="42">
        <f t="shared" si="137"/>
        <v>5226.6579256832938</v>
      </c>
      <c r="Q766" s="42"/>
      <c r="R766">
        <v>0.46540726950895717</v>
      </c>
      <c r="S766">
        <v>0.99600207525864437</v>
      </c>
    </row>
    <row r="767" spans="1:19" x14ac:dyDescent="0.25">
      <c r="A767" s="40">
        <f t="shared" si="138"/>
        <v>0</v>
      </c>
      <c r="B767" s="40">
        <f t="shared" si="139"/>
        <v>50</v>
      </c>
      <c r="C767" s="41">
        <f t="shared" si="132"/>
        <v>1.0313000000000001</v>
      </c>
      <c r="D767" s="41">
        <f t="shared" si="133"/>
        <v>0.88000000000000012</v>
      </c>
      <c r="E767" s="39">
        <f>IF(_xlfn.NORM.INV(R767,C767,'Regressão Grupo 2'!$B$7)&lt;=0,0,IF(_xlfn.NORM.INV(R767,C767,'Regressão Grupo 2'!$B$7)&gt;100%,100%,_xlfn.NORM.INV(R767,C767,'Regressão Grupo 2'!$B$7)))</f>
        <v>1</v>
      </c>
      <c r="F767" s="39">
        <f>IF(_xlfn.NORM.INV(S767,D767,'Regressão Grupo 2'!$B$7)&lt;=0,0,IF(_xlfn.NORM.INV(S767,D767,'Regressão Grupo 2'!$B$7)&gt;100%,100%,_xlfn.NORM.INV(S767,D767,'Regressão Grupo 2'!$B$7)))</f>
        <v>0.8154769721430245</v>
      </c>
      <c r="G767" s="41">
        <v>4.8813486575268426E-3</v>
      </c>
      <c r="H767" s="41">
        <v>7.0002904218645096E-3</v>
      </c>
      <c r="I767" s="40">
        <f t="shared" si="134"/>
        <v>0</v>
      </c>
      <c r="J767" s="40">
        <f t="shared" si="135"/>
        <v>114.17151274687771</v>
      </c>
      <c r="K767" s="36">
        <v>0.38907206401949057</v>
      </c>
      <c r="L767" s="42">
        <f t="shared" si="143"/>
        <v>0</v>
      </c>
      <c r="M767" s="42">
        <f t="shared" si="143"/>
        <v>20000</v>
      </c>
      <c r="N767" s="42">
        <f t="shared" si="136"/>
        <v>7781.4412803898113</v>
      </c>
      <c r="O767" s="36">
        <v>4.2608311547061346</v>
      </c>
      <c r="P767" s="42">
        <f t="shared" si="137"/>
        <v>-2559.331181537751</v>
      </c>
      <c r="Q767" s="42"/>
      <c r="R767">
        <v>0.78026673177282024</v>
      </c>
      <c r="S767">
        <v>0.32038331247901852</v>
      </c>
    </row>
    <row r="768" spans="1:19" x14ac:dyDescent="0.25">
      <c r="A768" s="40">
        <f t="shared" si="138"/>
        <v>0</v>
      </c>
      <c r="B768" s="40">
        <f t="shared" si="139"/>
        <v>50</v>
      </c>
      <c r="C768" s="41">
        <f t="shared" si="132"/>
        <v>1.0313000000000001</v>
      </c>
      <c r="D768" s="41">
        <f t="shared" si="133"/>
        <v>0.88000000000000012</v>
      </c>
      <c r="E768" s="39">
        <f>IF(_xlfn.NORM.INV(R768,C768,'Regressão Grupo 2'!$B$7)&lt;=0,0,IF(_xlfn.NORM.INV(R768,C768,'Regressão Grupo 2'!$B$7)&gt;100%,100%,_xlfn.NORM.INV(R768,C768,'Regressão Grupo 2'!$B$7)))</f>
        <v>1</v>
      </c>
      <c r="F768" s="39">
        <f>IF(_xlfn.NORM.INV(S768,D768,'Regressão Grupo 2'!$B$7)&lt;=0,0,IF(_xlfn.NORM.INV(S768,D768,'Regressão Grupo 2'!$B$7)&gt;100%,100%,_xlfn.NORM.INV(S768,D768,'Regressão Grupo 2'!$B$7)))</f>
        <v>1</v>
      </c>
      <c r="G768" s="41">
        <v>2.4162436838103728E-2</v>
      </c>
      <c r="H768" s="41">
        <v>1.9476504696462997E-2</v>
      </c>
      <c r="I768" s="40">
        <f t="shared" si="134"/>
        <v>0</v>
      </c>
      <c r="J768" s="40">
        <f t="shared" si="135"/>
        <v>389.53009392925992</v>
      </c>
      <c r="K768" s="36">
        <v>0.13610839018392823</v>
      </c>
      <c r="L768" s="42">
        <f t="shared" si="143"/>
        <v>0</v>
      </c>
      <c r="M768" s="42">
        <f t="shared" si="143"/>
        <v>20000</v>
      </c>
      <c r="N768" s="42">
        <f t="shared" si="136"/>
        <v>2722.1678036785647</v>
      </c>
      <c r="O768" s="36">
        <v>7.6203507022133241</v>
      </c>
      <c r="P768" s="42">
        <f t="shared" si="137"/>
        <v>13785.98096797737</v>
      </c>
      <c r="Q768" s="42"/>
      <c r="R768">
        <v>0.45805230872524189</v>
      </c>
      <c r="S768">
        <v>0.95986816003906372</v>
      </c>
    </row>
    <row r="769" spans="1:19" x14ac:dyDescent="0.25">
      <c r="A769" s="40">
        <f t="shared" si="138"/>
        <v>0</v>
      </c>
      <c r="B769" s="40">
        <f t="shared" si="139"/>
        <v>50</v>
      </c>
      <c r="C769" s="41">
        <f t="shared" si="132"/>
        <v>1.0313000000000001</v>
      </c>
      <c r="D769" s="41">
        <f t="shared" si="133"/>
        <v>0.88000000000000012</v>
      </c>
      <c r="E769" s="39">
        <f>IF(_xlfn.NORM.INV(R769,C769,'Regressão Grupo 2'!$B$7)&lt;=0,0,IF(_xlfn.NORM.INV(R769,C769,'Regressão Grupo 2'!$B$7)&gt;100%,100%,_xlfn.NORM.INV(R769,C769,'Regressão Grupo 2'!$B$7)))</f>
        <v>1</v>
      </c>
      <c r="F769" s="39">
        <f>IF(_xlfn.NORM.INV(S769,D769,'Regressão Grupo 2'!$B$7)&lt;=0,0,IF(_xlfn.NORM.INV(S769,D769,'Regressão Grupo 2'!$B$7)&gt;100%,100%,_xlfn.NORM.INV(S769,D769,'Regressão Grupo 2'!$B$7)))</f>
        <v>0.96360500827001672</v>
      </c>
      <c r="G769" s="41">
        <v>2.1955415625820318E-2</v>
      </c>
      <c r="H769" s="41">
        <v>1.1370638294068569E-2</v>
      </c>
      <c r="I769" s="40">
        <f t="shared" si="134"/>
        <v>0</v>
      </c>
      <c r="J769" s="40">
        <f t="shared" si="135"/>
        <v>219.13608014782625</v>
      </c>
      <c r="K769" s="36">
        <v>0.2839387419979823</v>
      </c>
      <c r="L769" s="42">
        <f t="shared" si="143"/>
        <v>0</v>
      </c>
      <c r="M769" s="42">
        <f t="shared" si="143"/>
        <v>20000</v>
      </c>
      <c r="N769" s="42">
        <f t="shared" si="136"/>
        <v>5678.7748399596458</v>
      </c>
      <c r="O769" s="36">
        <v>4.7777606313229226</v>
      </c>
      <c r="P769" s="42">
        <f t="shared" si="137"/>
        <v>4231.0494307989575</v>
      </c>
      <c r="Q769" s="42"/>
      <c r="R769">
        <v>0.64326914273506886</v>
      </c>
      <c r="S769">
        <v>0.72728659932248907</v>
      </c>
    </row>
    <row r="770" spans="1:19" x14ac:dyDescent="0.25">
      <c r="A770" s="40">
        <f t="shared" si="138"/>
        <v>0</v>
      </c>
      <c r="B770" s="40">
        <f t="shared" si="139"/>
        <v>50</v>
      </c>
      <c r="C770" s="41">
        <f t="shared" si="132"/>
        <v>1.0313000000000001</v>
      </c>
      <c r="D770" s="41">
        <f t="shared" si="133"/>
        <v>0.88000000000000012</v>
      </c>
      <c r="E770" s="39">
        <f>IF(_xlfn.NORM.INV(R770,C770,'Regressão Grupo 2'!$B$7)&lt;=0,0,IF(_xlfn.NORM.INV(R770,C770,'Regressão Grupo 2'!$B$7)&gt;100%,100%,_xlfn.NORM.INV(R770,C770,'Regressão Grupo 2'!$B$7)))</f>
        <v>1</v>
      </c>
      <c r="F770" s="39">
        <f>IF(_xlfn.NORM.INV(S770,D770,'Regressão Grupo 2'!$B$7)&lt;=0,0,IF(_xlfn.NORM.INV(S770,D770,'Regressão Grupo 2'!$B$7)&gt;100%,100%,_xlfn.NORM.INV(S770,D770,'Regressão Grupo 2'!$B$7)))</f>
        <v>0.90158687288378636</v>
      </c>
      <c r="G770" s="41">
        <v>2.3993897977939029E-2</v>
      </c>
      <c r="H770" s="41">
        <v>2.5630343839786008E-2</v>
      </c>
      <c r="I770" s="40">
        <f t="shared" si="134"/>
        <v>0</v>
      </c>
      <c r="J770" s="40">
        <f t="shared" si="135"/>
        <v>462.15963106897766</v>
      </c>
      <c r="K770" s="36">
        <v>0.33348207594289558</v>
      </c>
      <c r="L770" s="42">
        <f t="shared" si="143"/>
        <v>0</v>
      </c>
      <c r="M770" s="42">
        <f t="shared" si="143"/>
        <v>20000</v>
      </c>
      <c r="N770" s="42">
        <f t="shared" si="136"/>
        <v>6669.6415188579113</v>
      </c>
      <c r="O770" s="36">
        <v>4.0689839400815409</v>
      </c>
      <c r="P770" s="42">
        <f t="shared" si="137"/>
        <v>14557.819918017292</v>
      </c>
      <c r="Q770" s="42"/>
      <c r="R770">
        <v>0.47032074953459274</v>
      </c>
      <c r="S770">
        <v>0.56202887050996431</v>
      </c>
    </row>
    <row r="771" spans="1:19" x14ac:dyDescent="0.25">
      <c r="A771" s="40">
        <f t="shared" si="138"/>
        <v>0</v>
      </c>
      <c r="B771" s="40">
        <f t="shared" si="139"/>
        <v>50</v>
      </c>
      <c r="C771" s="41">
        <f t="shared" si="132"/>
        <v>1.0313000000000001</v>
      </c>
      <c r="D771" s="41">
        <f t="shared" si="133"/>
        <v>0.88000000000000012</v>
      </c>
      <c r="E771" s="39">
        <f>IF(_xlfn.NORM.INV(R771,C771,'Regressão Grupo 2'!$B$7)&lt;=0,0,IF(_xlfn.NORM.INV(R771,C771,'Regressão Grupo 2'!$B$7)&gt;100%,100%,_xlfn.NORM.INV(R771,C771,'Regressão Grupo 2'!$B$7)))</f>
        <v>1</v>
      </c>
      <c r="F771" s="39">
        <f>IF(_xlfn.NORM.INV(S771,D771,'Regressão Grupo 2'!$B$7)&lt;=0,0,IF(_xlfn.NORM.INV(S771,D771,'Regressão Grupo 2'!$B$7)&gt;100%,100%,_xlfn.NORM.INV(S771,D771,'Regressão Grupo 2'!$B$7)))</f>
        <v>0.98293594346637747</v>
      </c>
      <c r="G771" s="41">
        <v>2.7169125497215438E-2</v>
      </c>
      <c r="H771" s="41">
        <v>2.2374172708958882E-2</v>
      </c>
      <c r="I771" s="40">
        <f t="shared" si="134"/>
        <v>0</v>
      </c>
      <c r="J771" s="40">
        <f t="shared" si="135"/>
        <v>439.84757121920347</v>
      </c>
      <c r="K771" s="36">
        <v>0.29941333318533991</v>
      </c>
      <c r="L771" s="42">
        <f t="shared" si="143"/>
        <v>0</v>
      </c>
      <c r="M771" s="42">
        <f t="shared" si="143"/>
        <v>20000</v>
      </c>
      <c r="N771" s="42">
        <f t="shared" si="136"/>
        <v>5988.2666637067987</v>
      </c>
      <c r="O771" s="36">
        <v>6.7411546612464415</v>
      </c>
      <c r="P771" s="42">
        <f t="shared" si="137"/>
        <v>13039.031392291112</v>
      </c>
      <c r="Q771" s="42"/>
      <c r="R771">
        <v>0.90615558336130864</v>
      </c>
      <c r="S771">
        <v>0.77169103061006505</v>
      </c>
    </row>
    <row r="772" spans="1:19" x14ac:dyDescent="0.25">
      <c r="A772" s="40">
        <f t="shared" si="138"/>
        <v>0</v>
      </c>
      <c r="B772" s="40">
        <f t="shared" si="139"/>
        <v>50</v>
      </c>
      <c r="C772" s="41">
        <f t="shared" si="132"/>
        <v>1.0313000000000001</v>
      </c>
      <c r="D772" s="41">
        <f t="shared" si="133"/>
        <v>0.88000000000000012</v>
      </c>
      <c r="E772" s="39">
        <f>IF(_xlfn.NORM.INV(R772,C772,'Regressão Grupo 2'!$B$7)&lt;=0,0,IF(_xlfn.NORM.INV(R772,C772,'Regressão Grupo 2'!$B$7)&gt;100%,100%,_xlfn.NORM.INV(R772,C772,'Regressão Grupo 2'!$B$7)))</f>
        <v>1</v>
      </c>
      <c r="F772" s="39">
        <f>IF(_xlfn.NORM.INV(S772,D772,'Regressão Grupo 2'!$B$7)&lt;=0,0,IF(_xlfn.NORM.INV(S772,D772,'Regressão Grupo 2'!$B$7)&gt;100%,100%,_xlfn.NORM.INV(S772,D772,'Regressão Grupo 2'!$B$7)))</f>
        <v>0.66793972449862471</v>
      </c>
      <c r="G772" s="41">
        <v>1.3910538087278455E-2</v>
      </c>
      <c r="H772" s="41">
        <v>1.4043414834355936E-2</v>
      </c>
      <c r="I772" s="40">
        <f t="shared" si="134"/>
        <v>0</v>
      </c>
      <c r="J772" s="40">
        <f t="shared" si="135"/>
        <v>187.60309270959206</v>
      </c>
      <c r="K772" s="36">
        <v>0.21969605099084405</v>
      </c>
      <c r="L772" s="42">
        <f t="shared" si="143"/>
        <v>0</v>
      </c>
      <c r="M772" s="42">
        <f t="shared" si="143"/>
        <v>20000</v>
      </c>
      <c r="N772" s="42">
        <f t="shared" si="136"/>
        <v>4393.9210198168812</v>
      </c>
      <c r="O772" s="36">
        <v>8.6710428534601576</v>
      </c>
      <c r="P772" s="42">
        <f t="shared" si="137"/>
        <v>3359.5191593361897</v>
      </c>
      <c r="Q772" s="42"/>
      <c r="R772">
        <v>0.71517075106051819</v>
      </c>
      <c r="S772">
        <v>6.2562944425794242E-2</v>
      </c>
    </row>
    <row r="773" spans="1:19" x14ac:dyDescent="0.25">
      <c r="A773" s="40">
        <f t="shared" si="138"/>
        <v>0</v>
      </c>
      <c r="B773" s="40">
        <f t="shared" si="139"/>
        <v>50</v>
      </c>
      <c r="C773" s="41">
        <f t="shared" si="132"/>
        <v>1.0313000000000001</v>
      </c>
      <c r="D773" s="41">
        <f t="shared" si="133"/>
        <v>0.88000000000000012</v>
      </c>
      <c r="E773" s="39">
        <f>IF(_xlfn.NORM.INV(R773,C773,'Regressão Grupo 2'!$B$7)&lt;=0,0,IF(_xlfn.NORM.INV(R773,C773,'Regressão Grupo 2'!$B$7)&gt;100%,100%,_xlfn.NORM.INV(R773,C773,'Regressão Grupo 2'!$B$7)))</f>
        <v>1</v>
      </c>
      <c r="F773" s="39">
        <f>IF(_xlfn.NORM.INV(S773,D773,'Regressão Grupo 2'!$B$7)&lt;=0,0,IF(_xlfn.NORM.INV(S773,D773,'Regressão Grupo 2'!$B$7)&gt;100%,100%,_xlfn.NORM.INV(S773,D773,'Regressão Grupo 2'!$B$7)))</f>
        <v>0.8714211414781643</v>
      </c>
      <c r="G773" s="41">
        <v>1.8607319600631139E-2</v>
      </c>
      <c r="H773" s="41">
        <v>2.2674404426284267E-2</v>
      </c>
      <c r="I773" s="40">
        <f t="shared" si="134"/>
        <v>0</v>
      </c>
      <c r="J773" s="40">
        <f t="shared" si="135"/>
        <v>395.17910774980356</v>
      </c>
      <c r="K773" s="36">
        <v>0.27924387694984515</v>
      </c>
      <c r="L773" s="42">
        <f t="shared" si="143"/>
        <v>0</v>
      </c>
      <c r="M773" s="42">
        <f t="shared" si="143"/>
        <v>20000</v>
      </c>
      <c r="N773" s="42">
        <f t="shared" si="136"/>
        <v>5584.8775389969032</v>
      </c>
      <c r="O773" s="36">
        <v>4.4991228233690066</v>
      </c>
      <c r="P773" s="42">
        <f t="shared" si="137"/>
        <v>12396.118505497534</v>
      </c>
      <c r="Q773" s="42"/>
      <c r="R773">
        <v>0.59172338023010951</v>
      </c>
      <c r="S773">
        <v>0.47526474806970426</v>
      </c>
    </row>
    <row r="774" spans="1:19" x14ac:dyDescent="0.25">
      <c r="A774" s="40">
        <f t="shared" si="138"/>
        <v>0</v>
      </c>
      <c r="B774" s="40">
        <f t="shared" si="139"/>
        <v>50</v>
      </c>
      <c r="C774" s="41">
        <f t="shared" ref="C774:C837" si="144">-0.0071*A774 + 1.0313</f>
        <v>1.0313000000000001</v>
      </c>
      <c r="D774" s="41">
        <f t="shared" ref="D774:D837" si="145">-0.0059*B774+1.175</f>
        <v>0.88000000000000012</v>
      </c>
      <c r="E774" s="39">
        <f>IF(_xlfn.NORM.INV(R774,C774,'Regressão Grupo 2'!$B$7)&lt;=0,0,IF(_xlfn.NORM.INV(R774,C774,'Regressão Grupo 2'!$B$7)&gt;100%,100%,_xlfn.NORM.INV(R774,C774,'Regressão Grupo 2'!$B$7)))</f>
        <v>0.98043325806563475</v>
      </c>
      <c r="F774" s="39">
        <f>IF(_xlfn.NORM.INV(S774,D774,'Regressão Grupo 2'!$B$7)&lt;=0,0,IF(_xlfn.NORM.INV(S774,D774,'Regressão Grupo 2'!$B$7)&gt;100%,100%,_xlfn.NORM.INV(S774,D774,'Regressão Grupo 2'!$B$7)))</f>
        <v>0.98810193121828416</v>
      </c>
      <c r="G774" s="41">
        <v>2.7518091094210922E-2</v>
      </c>
      <c r="H774" s="41">
        <v>7.4440514376163261E-3</v>
      </c>
      <c r="I774" s="40">
        <f t="shared" ref="I774:I837" si="146">IF(E774*G774*L774&gt;0,E774*G774*L774,0)</f>
        <v>0</v>
      </c>
      <c r="J774" s="40">
        <f t="shared" ref="J774:J837" si="147">IF(F774*H774*M774&gt;0,F774*H774*M774,0)</f>
        <v>147.10963203193873</v>
      </c>
      <c r="K774" s="36">
        <v>0.34521351908098374</v>
      </c>
      <c r="L774" s="42">
        <f t="shared" si="143"/>
        <v>0</v>
      </c>
      <c r="M774" s="42">
        <f t="shared" si="143"/>
        <v>20000</v>
      </c>
      <c r="N774" s="42">
        <f t="shared" ref="N774:N837" si="148">(L774+M774)*K774</f>
        <v>6904.2703816196745</v>
      </c>
      <c r="O774" s="36">
        <v>6.3618274580021659</v>
      </c>
      <c r="P774" s="42">
        <f t="shared" ref="P774:P837" si="149">SUMPRODUCT(A774:B774,I774:J774)-SUM(I774:J774)*O774-N774</f>
        <v>-484.67487642012111</v>
      </c>
      <c r="Q774" s="42"/>
      <c r="R774">
        <v>0.35648670918912323</v>
      </c>
      <c r="S774">
        <v>0.78283028656880393</v>
      </c>
    </row>
    <row r="775" spans="1:19" x14ac:dyDescent="0.25">
      <c r="A775" s="40">
        <f t="shared" ref="A775:A838" si="150">A774</f>
        <v>0</v>
      </c>
      <c r="B775" s="40">
        <f t="shared" ref="B775:B838" si="151">B774</f>
        <v>50</v>
      </c>
      <c r="C775" s="41">
        <f t="shared" si="144"/>
        <v>1.0313000000000001</v>
      </c>
      <c r="D775" s="41">
        <f t="shared" si="145"/>
        <v>0.88000000000000012</v>
      </c>
      <c r="E775" s="39">
        <f>IF(_xlfn.NORM.INV(R775,C775,'Regressão Grupo 2'!$B$7)&lt;=0,0,IF(_xlfn.NORM.INV(R775,C775,'Regressão Grupo 2'!$B$7)&gt;100%,100%,_xlfn.NORM.INV(R775,C775,'Regressão Grupo 2'!$B$7)))</f>
        <v>1</v>
      </c>
      <c r="F775" s="39">
        <f>IF(_xlfn.NORM.INV(S775,D775,'Regressão Grupo 2'!$B$7)&lt;=0,0,IF(_xlfn.NORM.INV(S775,D775,'Regressão Grupo 2'!$B$7)&gt;100%,100%,_xlfn.NORM.INV(S775,D775,'Regressão Grupo 2'!$B$7)))</f>
        <v>1</v>
      </c>
      <c r="G775" s="41">
        <v>1.9907083742416769E-2</v>
      </c>
      <c r="H775" s="41">
        <v>1.3594414267259438E-2</v>
      </c>
      <c r="I775" s="40">
        <f t="shared" si="146"/>
        <v>0</v>
      </c>
      <c r="J775" s="40">
        <f t="shared" si="147"/>
        <v>271.88828534518876</v>
      </c>
      <c r="K775" s="36">
        <v>0.39303310129094332</v>
      </c>
      <c r="L775" s="42">
        <f t="shared" ref="L775:M790" si="152">L774</f>
        <v>0</v>
      </c>
      <c r="M775" s="42">
        <f t="shared" si="152"/>
        <v>20000</v>
      </c>
      <c r="N775" s="42">
        <f t="shared" si="148"/>
        <v>7860.6620258188668</v>
      </c>
      <c r="O775" s="36">
        <v>5.4219031775408872</v>
      </c>
      <c r="P775" s="42">
        <f t="shared" si="149"/>
        <v>4259.6002831913502</v>
      </c>
      <c r="Q775" s="42"/>
      <c r="R775">
        <v>0.79726554155095064</v>
      </c>
      <c r="S775">
        <v>0.86336863307596057</v>
      </c>
    </row>
    <row r="776" spans="1:19" x14ac:dyDescent="0.25">
      <c r="A776" s="40">
        <f t="shared" si="150"/>
        <v>0</v>
      </c>
      <c r="B776" s="40">
        <f t="shared" si="151"/>
        <v>50</v>
      </c>
      <c r="C776" s="41">
        <f t="shared" si="144"/>
        <v>1.0313000000000001</v>
      </c>
      <c r="D776" s="41">
        <f t="shared" si="145"/>
        <v>0.88000000000000012</v>
      </c>
      <c r="E776" s="39">
        <f>IF(_xlfn.NORM.INV(R776,C776,'Regressão Grupo 2'!$B$7)&lt;=0,0,IF(_xlfn.NORM.INV(R776,C776,'Regressão Grupo 2'!$B$7)&gt;100%,100%,_xlfn.NORM.INV(R776,C776,'Regressão Grupo 2'!$B$7)))</f>
        <v>1</v>
      </c>
      <c r="F776" s="39">
        <f>IF(_xlfn.NORM.INV(S776,D776,'Regressão Grupo 2'!$B$7)&lt;=0,0,IF(_xlfn.NORM.INV(S776,D776,'Regressão Grupo 2'!$B$7)&gt;100%,100%,_xlfn.NORM.INV(S776,D776,'Regressão Grupo 2'!$B$7)))</f>
        <v>0.73940920205359051</v>
      </c>
      <c r="G776" s="41">
        <v>2.0413868801143271E-2</v>
      </c>
      <c r="H776" s="41">
        <v>2.4114297125469614E-2</v>
      </c>
      <c r="I776" s="40">
        <f t="shared" si="146"/>
        <v>0</v>
      </c>
      <c r="J776" s="40">
        <f t="shared" si="147"/>
        <v>356.60666391253358</v>
      </c>
      <c r="K776" s="36">
        <v>0.39191363192396933</v>
      </c>
      <c r="L776" s="42">
        <f t="shared" si="152"/>
        <v>0</v>
      </c>
      <c r="M776" s="42">
        <f t="shared" si="152"/>
        <v>20000</v>
      </c>
      <c r="N776" s="42">
        <f t="shared" si="148"/>
        <v>7838.2726384793868</v>
      </c>
      <c r="O776" s="36">
        <v>9.1077558026669241</v>
      </c>
      <c r="P776" s="42">
        <f t="shared" si="149"/>
        <v>6744.1741446282203</v>
      </c>
      <c r="Q776" s="42"/>
      <c r="R776">
        <v>0.86767174291207616</v>
      </c>
      <c r="S776">
        <v>0.15463728751487776</v>
      </c>
    </row>
    <row r="777" spans="1:19" x14ac:dyDescent="0.25">
      <c r="A777" s="40">
        <f t="shared" si="150"/>
        <v>0</v>
      </c>
      <c r="B777" s="40">
        <f t="shared" si="151"/>
        <v>50</v>
      </c>
      <c r="C777" s="41">
        <f t="shared" si="144"/>
        <v>1.0313000000000001</v>
      </c>
      <c r="D777" s="41">
        <f t="shared" si="145"/>
        <v>0.88000000000000012</v>
      </c>
      <c r="E777" s="39">
        <f>IF(_xlfn.NORM.INV(R777,C777,'Regressão Grupo 2'!$B$7)&lt;=0,0,IF(_xlfn.NORM.INV(R777,C777,'Regressão Grupo 2'!$B$7)&gt;100%,100%,_xlfn.NORM.INV(R777,C777,'Regressão Grupo 2'!$B$7)))</f>
        <v>0.89985543082433295</v>
      </c>
      <c r="F777" s="39">
        <f>IF(_xlfn.NORM.INV(S777,D777,'Regressão Grupo 2'!$B$7)&lt;=0,0,IF(_xlfn.NORM.INV(S777,D777,'Regressão Grupo 2'!$B$7)&gt;100%,100%,_xlfn.NORM.INV(S777,D777,'Regressão Grupo 2'!$B$7)))</f>
        <v>0.9369733602189112</v>
      </c>
      <c r="G777" s="41">
        <v>2.6596651665735875E-2</v>
      </c>
      <c r="H777" s="41">
        <v>1.6629873751667478E-2</v>
      </c>
      <c r="I777" s="40">
        <f t="shared" si="146"/>
        <v>0</v>
      </c>
      <c r="J777" s="40">
        <f t="shared" si="147"/>
        <v>311.63497378232296</v>
      </c>
      <c r="K777" s="36">
        <v>0.34386718566757102</v>
      </c>
      <c r="L777" s="42">
        <f t="shared" si="152"/>
        <v>0</v>
      </c>
      <c r="M777" s="42">
        <f t="shared" si="152"/>
        <v>20000</v>
      </c>
      <c r="N777" s="42">
        <f t="shared" si="148"/>
        <v>6877.3437133514208</v>
      </c>
      <c r="O777" s="36">
        <v>4.1044593755372407</v>
      </c>
      <c r="P777" s="42">
        <f t="shared" si="149"/>
        <v>7425.3118858785701</v>
      </c>
      <c r="Q777" s="42"/>
      <c r="R777">
        <v>0.17090365306558428</v>
      </c>
      <c r="S777">
        <v>0.6598406933805353</v>
      </c>
    </row>
    <row r="778" spans="1:19" x14ac:dyDescent="0.25">
      <c r="A778" s="40">
        <f t="shared" si="150"/>
        <v>0</v>
      </c>
      <c r="B778" s="40">
        <f t="shared" si="151"/>
        <v>50</v>
      </c>
      <c r="C778" s="41">
        <f t="shared" si="144"/>
        <v>1.0313000000000001</v>
      </c>
      <c r="D778" s="41">
        <f t="shared" si="145"/>
        <v>0.88000000000000012</v>
      </c>
      <c r="E778" s="39">
        <f>IF(_xlfn.NORM.INV(R778,C778,'Regressão Grupo 2'!$B$7)&lt;=0,0,IF(_xlfn.NORM.INV(R778,C778,'Regressão Grupo 2'!$B$7)&gt;100%,100%,_xlfn.NORM.INV(R778,C778,'Regressão Grupo 2'!$B$7)))</f>
        <v>1</v>
      </c>
      <c r="F778" s="39">
        <f>IF(_xlfn.NORM.INV(S778,D778,'Regressão Grupo 2'!$B$7)&lt;=0,0,IF(_xlfn.NORM.INV(S778,D778,'Regressão Grupo 2'!$B$7)&gt;100%,100%,_xlfn.NORM.INV(S778,D778,'Regressão Grupo 2'!$B$7)))</f>
        <v>0.7755647904840679</v>
      </c>
      <c r="G778" s="41">
        <v>1.890925958812862E-2</v>
      </c>
      <c r="H778" s="41">
        <v>2.4260854164269534E-2</v>
      </c>
      <c r="I778" s="40">
        <f t="shared" si="146"/>
        <v>0</v>
      </c>
      <c r="J778" s="40">
        <f t="shared" si="147"/>
        <v>376.31728553752458</v>
      </c>
      <c r="K778" s="36">
        <v>0.4366947172612598</v>
      </c>
      <c r="L778" s="42">
        <f t="shared" si="152"/>
        <v>0</v>
      </c>
      <c r="M778" s="42">
        <f t="shared" si="152"/>
        <v>20000</v>
      </c>
      <c r="N778" s="42">
        <f t="shared" si="148"/>
        <v>8733.8943452251951</v>
      </c>
      <c r="O778" s="36">
        <v>6.7559239497315744</v>
      </c>
      <c r="P778" s="42">
        <f t="shared" si="149"/>
        <v>7539.5989695900971</v>
      </c>
      <c r="Q778" s="42"/>
      <c r="R778">
        <v>0.57170323801385536</v>
      </c>
      <c r="S778">
        <v>0.22504348887600328</v>
      </c>
    </row>
    <row r="779" spans="1:19" x14ac:dyDescent="0.25">
      <c r="A779" s="40">
        <f t="shared" si="150"/>
        <v>0</v>
      </c>
      <c r="B779" s="40">
        <f t="shared" si="151"/>
        <v>50</v>
      </c>
      <c r="C779" s="41">
        <f t="shared" si="144"/>
        <v>1.0313000000000001</v>
      </c>
      <c r="D779" s="41">
        <f t="shared" si="145"/>
        <v>0.88000000000000012</v>
      </c>
      <c r="E779" s="39">
        <f>IF(_xlfn.NORM.INV(R779,C779,'Regressão Grupo 2'!$B$7)&lt;=0,0,IF(_xlfn.NORM.INV(R779,C779,'Regressão Grupo 2'!$B$7)&gt;100%,100%,_xlfn.NORM.INV(R779,C779,'Regressão Grupo 2'!$B$7)))</f>
        <v>0.75618398252073304</v>
      </c>
      <c r="F779" s="39">
        <f>IF(_xlfn.NORM.INV(S779,D779,'Regressão Grupo 2'!$B$7)&lt;=0,0,IF(_xlfn.NORM.INV(S779,D779,'Regressão Grupo 2'!$B$7)&gt;100%,100%,_xlfn.NORM.INV(S779,D779,'Regressão Grupo 2'!$B$7)))</f>
        <v>0.68355046507129613</v>
      </c>
      <c r="G779" s="41">
        <v>1.7937222561701039E-2</v>
      </c>
      <c r="H779" s="41">
        <v>9.3325588864365018E-3</v>
      </c>
      <c r="I779" s="40">
        <f t="shared" si="146"/>
        <v>0</v>
      </c>
      <c r="J779" s="40">
        <f t="shared" si="147"/>
        <v>127.58549934257856</v>
      </c>
      <c r="K779" s="36">
        <v>0.36031252252975748</v>
      </c>
      <c r="L779" s="42">
        <f t="shared" si="152"/>
        <v>0</v>
      </c>
      <c r="M779" s="42">
        <f t="shared" si="152"/>
        <v>20000</v>
      </c>
      <c r="N779" s="42">
        <f t="shared" si="148"/>
        <v>7206.2504505951492</v>
      </c>
      <c r="O779" s="36">
        <v>4.8915258704948865</v>
      </c>
      <c r="P779" s="42">
        <f t="shared" si="149"/>
        <v>-1451.0632542004532</v>
      </c>
      <c r="Q779" s="42"/>
      <c r="R779">
        <v>2.3316141239661855E-2</v>
      </c>
      <c r="S779">
        <v>7.770012512588885E-2</v>
      </c>
    </row>
    <row r="780" spans="1:19" x14ac:dyDescent="0.25">
      <c r="A780" s="40">
        <f t="shared" si="150"/>
        <v>0</v>
      </c>
      <c r="B780" s="40">
        <f t="shared" si="151"/>
        <v>50</v>
      </c>
      <c r="C780" s="41">
        <f t="shared" si="144"/>
        <v>1.0313000000000001</v>
      </c>
      <c r="D780" s="41">
        <f t="shared" si="145"/>
        <v>0.88000000000000012</v>
      </c>
      <c r="E780" s="39">
        <f>IF(_xlfn.NORM.INV(R780,C780,'Regressão Grupo 2'!$B$7)&lt;=0,0,IF(_xlfn.NORM.INV(R780,C780,'Regressão Grupo 2'!$B$7)&gt;100%,100%,_xlfn.NORM.INV(R780,C780,'Regressão Grupo 2'!$B$7)))</f>
        <v>1</v>
      </c>
      <c r="F780" s="39">
        <f>IF(_xlfn.NORM.INV(S780,D780,'Regressão Grupo 2'!$B$7)&lt;=0,0,IF(_xlfn.NORM.INV(S780,D780,'Regressão Grupo 2'!$B$7)&gt;100%,100%,_xlfn.NORM.INV(S780,D780,'Regressão Grupo 2'!$B$7)))</f>
        <v>0.6014306285978781</v>
      </c>
      <c r="G780" s="41">
        <v>2.0959724184589551E-2</v>
      </c>
      <c r="H780" s="41">
        <v>1.5131174167220863E-2</v>
      </c>
      <c r="I780" s="40">
        <f t="shared" si="146"/>
        <v>0</v>
      </c>
      <c r="J780" s="40">
        <f t="shared" si="147"/>
        <v>182.00703181631238</v>
      </c>
      <c r="K780" s="36">
        <v>0.28176199846921912</v>
      </c>
      <c r="L780" s="42">
        <f t="shared" si="152"/>
        <v>0</v>
      </c>
      <c r="M780" s="42">
        <f t="shared" si="152"/>
        <v>20000</v>
      </c>
      <c r="N780" s="42">
        <f t="shared" si="148"/>
        <v>5635.2399693843827</v>
      </c>
      <c r="O780" s="36">
        <v>4.7864008151859014</v>
      </c>
      <c r="P780" s="42">
        <f t="shared" si="149"/>
        <v>2593.9530159760716</v>
      </c>
      <c r="Q780" s="42"/>
      <c r="R780">
        <v>0.89440595721304972</v>
      </c>
      <c r="S780">
        <v>2.1973326822717978E-2</v>
      </c>
    </row>
    <row r="781" spans="1:19" x14ac:dyDescent="0.25">
      <c r="A781" s="40">
        <f t="shared" si="150"/>
        <v>0</v>
      </c>
      <c r="B781" s="40">
        <f t="shared" si="151"/>
        <v>50</v>
      </c>
      <c r="C781" s="41">
        <f t="shared" si="144"/>
        <v>1.0313000000000001</v>
      </c>
      <c r="D781" s="41">
        <f t="shared" si="145"/>
        <v>0.88000000000000012</v>
      </c>
      <c r="E781" s="39">
        <f>IF(_xlfn.NORM.INV(R781,C781,'Regressão Grupo 2'!$B$7)&lt;=0,0,IF(_xlfn.NORM.INV(R781,C781,'Regressão Grupo 2'!$B$7)&gt;100%,100%,_xlfn.NORM.INV(R781,C781,'Regressão Grupo 2'!$B$7)))</f>
        <v>1</v>
      </c>
      <c r="F781" s="39">
        <f>IF(_xlfn.NORM.INV(S781,D781,'Regressão Grupo 2'!$B$7)&lt;=0,0,IF(_xlfn.NORM.INV(S781,D781,'Regressão Grupo 2'!$B$7)&gt;100%,100%,_xlfn.NORM.INV(S781,D781,'Regressão Grupo 2'!$B$7)))</f>
        <v>0.83114261651074306</v>
      </c>
      <c r="G781" s="41">
        <v>9.6217118133255768E-3</v>
      </c>
      <c r="H781" s="41">
        <v>1.8001115923304667E-2</v>
      </c>
      <c r="I781" s="40">
        <f t="shared" si="146"/>
        <v>0</v>
      </c>
      <c r="J781" s="40">
        <f t="shared" si="147"/>
        <v>299.22989177217283</v>
      </c>
      <c r="K781" s="36">
        <v>0.40624598193831923</v>
      </c>
      <c r="L781" s="42">
        <f t="shared" si="152"/>
        <v>0</v>
      </c>
      <c r="M781" s="42">
        <f t="shared" si="152"/>
        <v>20000</v>
      </c>
      <c r="N781" s="42">
        <f t="shared" si="148"/>
        <v>8124.9196387663851</v>
      </c>
      <c r="O781" s="36">
        <v>4.922620168308705</v>
      </c>
      <c r="P781" s="42">
        <f t="shared" si="149"/>
        <v>5363.5798496437292</v>
      </c>
      <c r="Q781" s="42"/>
      <c r="R781">
        <v>0.85512863551744134</v>
      </c>
      <c r="S781">
        <v>0.36191900387585069</v>
      </c>
    </row>
    <row r="782" spans="1:19" x14ac:dyDescent="0.25">
      <c r="A782" s="40">
        <f t="shared" si="150"/>
        <v>0</v>
      </c>
      <c r="B782" s="40">
        <f t="shared" si="151"/>
        <v>50</v>
      </c>
      <c r="C782" s="41">
        <f t="shared" si="144"/>
        <v>1.0313000000000001</v>
      </c>
      <c r="D782" s="41">
        <f t="shared" si="145"/>
        <v>0.88000000000000012</v>
      </c>
      <c r="E782" s="39">
        <f>IF(_xlfn.NORM.INV(R782,C782,'Regressão Grupo 2'!$B$7)&lt;=0,0,IF(_xlfn.NORM.INV(R782,C782,'Regressão Grupo 2'!$B$7)&gt;100%,100%,_xlfn.NORM.INV(R782,C782,'Regressão Grupo 2'!$B$7)))</f>
        <v>0.98222863306011043</v>
      </c>
      <c r="F782" s="39">
        <f>IF(_xlfn.NORM.INV(S782,D782,'Regressão Grupo 2'!$B$7)&lt;=0,0,IF(_xlfn.NORM.INV(S782,D782,'Regressão Grupo 2'!$B$7)&gt;100%,100%,_xlfn.NORM.INV(S782,D782,'Regressão Grupo 2'!$B$7)))</f>
        <v>0.94770121584052469</v>
      </c>
      <c r="G782" s="41">
        <v>1.5096552760373297E-2</v>
      </c>
      <c r="H782" s="41">
        <v>1.2729707108100089E-2</v>
      </c>
      <c r="I782" s="40">
        <f t="shared" si="146"/>
        <v>0</v>
      </c>
      <c r="J782" s="40">
        <f t="shared" si="147"/>
        <v>241.27917807280448</v>
      </c>
      <c r="K782" s="36">
        <v>0.17182821326658027</v>
      </c>
      <c r="L782" s="42">
        <f t="shared" si="152"/>
        <v>0</v>
      </c>
      <c r="M782" s="42">
        <f t="shared" si="152"/>
        <v>20000</v>
      </c>
      <c r="N782" s="42">
        <f t="shared" si="148"/>
        <v>3436.5642653316054</v>
      </c>
      <c r="O782" s="36">
        <v>6.2691154883190015</v>
      </c>
      <c r="P782" s="42">
        <f t="shared" si="149"/>
        <v>7114.7876060435219</v>
      </c>
      <c r="Q782" s="42"/>
      <c r="R782">
        <v>0.36133915219580676</v>
      </c>
      <c r="S782">
        <v>0.68779564806054871</v>
      </c>
    </row>
    <row r="783" spans="1:19" x14ac:dyDescent="0.25">
      <c r="A783" s="40">
        <f t="shared" si="150"/>
        <v>0</v>
      </c>
      <c r="B783" s="40">
        <f t="shared" si="151"/>
        <v>50</v>
      </c>
      <c r="C783" s="41">
        <f t="shared" si="144"/>
        <v>1.0313000000000001</v>
      </c>
      <c r="D783" s="41">
        <f t="shared" si="145"/>
        <v>0.88000000000000012</v>
      </c>
      <c r="E783" s="39">
        <f>IF(_xlfn.NORM.INV(R783,C783,'Regressão Grupo 2'!$B$7)&lt;=0,0,IF(_xlfn.NORM.INV(R783,C783,'Regressão Grupo 2'!$B$7)&gt;100%,100%,_xlfn.NORM.INV(R783,C783,'Regressão Grupo 2'!$B$7)))</f>
        <v>1</v>
      </c>
      <c r="F783" s="39">
        <f>IF(_xlfn.NORM.INV(S783,D783,'Regressão Grupo 2'!$B$7)&lt;=0,0,IF(_xlfn.NORM.INV(S783,D783,'Regressão Grupo 2'!$B$7)&gt;100%,100%,_xlfn.NORM.INV(S783,D783,'Regressão Grupo 2'!$B$7)))</f>
        <v>0.78230754579092687</v>
      </c>
      <c r="G783" s="41">
        <v>1.9438753449480969E-2</v>
      </c>
      <c r="H783" s="41">
        <v>2.1572717919667701E-2</v>
      </c>
      <c r="I783" s="40">
        <f t="shared" si="146"/>
        <v>0</v>
      </c>
      <c r="J783" s="40">
        <f t="shared" si="147"/>
        <v>337.53000023550373</v>
      </c>
      <c r="K783" s="36">
        <v>0.2361166113868795</v>
      </c>
      <c r="L783" s="42">
        <f t="shared" si="152"/>
        <v>0</v>
      </c>
      <c r="M783" s="42">
        <f t="shared" si="152"/>
        <v>20000</v>
      </c>
      <c r="N783" s="42">
        <f t="shared" si="148"/>
        <v>4722.3322277375901</v>
      </c>
      <c r="O783" s="36">
        <v>5.703350645837415</v>
      </c>
      <c r="P783" s="42">
        <f t="shared" si="149"/>
        <v>10229.115839204935</v>
      </c>
      <c r="Q783" s="42"/>
      <c r="R783">
        <v>0.58146916104617452</v>
      </c>
      <c r="S783">
        <v>0.23993652150028993</v>
      </c>
    </row>
    <row r="784" spans="1:19" x14ac:dyDescent="0.25">
      <c r="A784" s="40">
        <f t="shared" si="150"/>
        <v>0</v>
      </c>
      <c r="B784" s="40">
        <f t="shared" si="151"/>
        <v>50</v>
      </c>
      <c r="C784" s="41">
        <f t="shared" si="144"/>
        <v>1.0313000000000001</v>
      </c>
      <c r="D784" s="41">
        <f t="shared" si="145"/>
        <v>0.88000000000000012</v>
      </c>
      <c r="E784" s="39">
        <f>IF(_xlfn.NORM.INV(R784,C784,'Regressão Grupo 2'!$B$7)&lt;=0,0,IF(_xlfn.NORM.INV(R784,C784,'Regressão Grupo 2'!$B$7)&gt;100%,100%,_xlfn.NORM.INV(R784,C784,'Regressão Grupo 2'!$B$7)))</f>
        <v>1</v>
      </c>
      <c r="F784" s="39">
        <f>IF(_xlfn.NORM.INV(S784,D784,'Regressão Grupo 2'!$B$7)&lt;=0,0,IF(_xlfn.NORM.INV(S784,D784,'Regressão Grupo 2'!$B$7)&gt;100%,100%,_xlfn.NORM.INV(S784,D784,'Regressão Grupo 2'!$B$7)))</f>
        <v>0.98984797579529216</v>
      </c>
      <c r="G784" s="41">
        <v>1.6704995745533021E-2</v>
      </c>
      <c r="H784" s="41">
        <v>2.1225887552137154E-2</v>
      </c>
      <c r="I784" s="40">
        <f t="shared" si="146"/>
        <v>0</v>
      </c>
      <c r="J784" s="40">
        <f t="shared" si="147"/>
        <v>420.20803655882901</v>
      </c>
      <c r="K784" s="36">
        <v>0.34412441098982949</v>
      </c>
      <c r="L784" s="42">
        <f t="shared" si="152"/>
        <v>0</v>
      </c>
      <c r="M784" s="42">
        <f t="shared" si="152"/>
        <v>20000</v>
      </c>
      <c r="N784" s="42">
        <f t="shared" si="148"/>
        <v>6882.4882197965899</v>
      </c>
      <c r="O784" s="36">
        <v>4.3310092239197386</v>
      </c>
      <c r="P784" s="42">
        <f t="shared" si="149"/>
        <v>12307.988725843374</v>
      </c>
      <c r="Q784" s="42"/>
      <c r="R784">
        <v>0.87066255684072391</v>
      </c>
      <c r="S784">
        <v>0.7865230262153996</v>
      </c>
    </row>
    <row r="785" spans="1:19" x14ac:dyDescent="0.25">
      <c r="A785" s="40">
        <f t="shared" si="150"/>
        <v>0</v>
      </c>
      <c r="B785" s="40">
        <f t="shared" si="151"/>
        <v>50</v>
      </c>
      <c r="C785" s="41">
        <f t="shared" si="144"/>
        <v>1.0313000000000001</v>
      </c>
      <c r="D785" s="41">
        <f t="shared" si="145"/>
        <v>0.88000000000000012</v>
      </c>
      <c r="E785" s="39">
        <f>IF(_xlfn.NORM.INV(R785,C785,'Regressão Grupo 2'!$B$7)&lt;=0,0,IF(_xlfn.NORM.INV(R785,C785,'Regressão Grupo 2'!$B$7)&gt;100%,100%,_xlfn.NORM.INV(R785,C785,'Regressão Grupo 2'!$B$7)))</f>
        <v>0.93161520397632125</v>
      </c>
      <c r="F785" s="39">
        <f>IF(_xlfn.NORM.INV(S785,D785,'Regressão Grupo 2'!$B$7)&lt;=0,0,IF(_xlfn.NORM.INV(S785,D785,'Regressão Grupo 2'!$B$7)&gt;100%,100%,_xlfn.NORM.INV(S785,D785,'Regressão Grupo 2'!$B$7)))</f>
        <v>1</v>
      </c>
      <c r="G785" s="41">
        <v>2.1854537907284977E-2</v>
      </c>
      <c r="H785" s="41">
        <v>2.5709720471559058E-2</v>
      </c>
      <c r="I785" s="40">
        <f t="shared" si="146"/>
        <v>0</v>
      </c>
      <c r="J785" s="40">
        <f t="shared" si="147"/>
        <v>514.19440943118116</v>
      </c>
      <c r="K785" s="36">
        <v>0.29903995643771636</v>
      </c>
      <c r="L785" s="42">
        <f t="shared" si="152"/>
        <v>0</v>
      </c>
      <c r="M785" s="42">
        <f t="shared" si="152"/>
        <v>20000</v>
      </c>
      <c r="N785" s="42">
        <f t="shared" si="148"/>
        <v>5980.7991287543273</v>
      </c>
      <c r="O785" s="36">
        <v>5.4550833384668369</v>
      </c>
      <c r="P785" s="42">
        <f t="shared" si="149"/>
        <v>16923.947987183899</v>
      </c>
      <c r="Q785" s="42"/>
      <c r="R785">
        <v>0.23548081911679433</v>
      </c>
      <c r="S785">
        <v>0.93713187047944579</v>
      </c>
    </row>
    <row r="786" spans="1:19" x14ac:dyDescent="0.25">
      <c r="A786" s="40">
        <f t="shared" si="150"/>
        <v>0</v>
      </c>
      <c r="B786" s="40">
        <f t="shared" si="151"/>
        <v>50</v>
      </c>
      <c r="C786" s="41">
        <f t="shared" si="144"/>
        <v>1.0313000000000001</v>
      </c>
      <c r="D786" s="41">
        <f t="shared" si="145"/>
        <v>0.88000000000000012</v>
      </c>
      <c r="E786" s="39">
        <f>IF(_xlfn.NORM.INV(R786,C786,'Regressão Grupo 2'!$B$7)&lt;=0,0,IF(_xlfn.NORM.INV(R786,C786,'Regressão Grupo 2'!$B$7)&gt;100%,100%,_xlfn.NORM.INV(R786,C786,'Regressão Grupo 2'!$B$7)))</f>
        <v>0.94744086355005552</v>
      </c>
      <c r="F786" s="39">
        <f>IF(_xlfn.NORM.INV(S786,D786,'Regressão Grupo 2'!$B$7)&lt;=0,0,IF(_xlfn.NORM.INV(S786,D786,'Regressão Grupo 2'!$B$7)&gt;100%,100%,_xlfn.NORM.INV(S786,D786,'Regressão Grupo 2'!$B$7)))</f>
        <v>0.94899206229378485</v>
      </c>
      <c r="G786" s="41">
        <v>1.8411189234240479E-2</v>
      </c>
      <c r="H786" s="41">
        <v>1.1617847149404763E-2</v>
      </c>
      <c r="I786" s="40">
        <f t="shared" si="146"/>
        <v>0</v>
      </c>
      <c r="J786" s="40">
        <f t="shared" si="147"/>
        <v>220.50489451455192</v>
      </c>
      <c r="K786" s="36">
        <v>0.10439290334431348</v>
      </c>
      <c r="L786" s="42">
        <f t="shared" si="152"/>
        <v>0</v>
      </c>
      <c r="M786" s="42">
        <f t="shared" si="152"/>
        <v>20000</v>
      </c>
      <c r="N786" s="42">
        <f t="shared" si="148"/>
        <v>2087.8580668862696</v>
      </c>
      <c r="O786" s="36">
        <v>4.4745006100809359</v>
      </c>
      <c r="P786" s="42">
        <f t="shared" si="149"/>
        <v>7950.7373738101314</v>
      </c>
      <c r="Q786" s="42"/>
      <c r="R786">
        <v>0.27210303048799095</v>
      </c>
      <c r="S786">
        <v>0.69109164708395643</v>
      </c>
    </row>
    <row r="787" spans="1:19" x14ac:dyDescent="0.25">
      <c r="A787" s="40">
        <f t="shared" si="150"/>
        <v>0</v>
      </c>
      <c r="B787" s="40">
        <f t="shared" si="151"/>
        <v>50</v>
      </c>
      <c r="C787" s="41">
        <f t="shared" si="144"/>
        <v>1.0313000000000001</v>
      </c>
      <c r="D787" s="41">
        <f t="shared" si="145"/>
        <v>0.88000000000000012</v>
      </c>
      <c r="E787" s="39">
        <f>IF(_xlfn.NORM.INV(R787,C787,'Regressão Grupo 2'!$B$7)&lt;=0,0,IF(_xlfn.NORM.INV(R787,C787,'Regressão Grupo 2'!$B$7)&gt;100%,100%,_xlfn.NORM.INV(R787,C787,'Regressão Grupo 2'!$B$7)))</f>
        <v>1</v>
      </c>
      <c r="F787" s="39">
        <f>IF(_xlfn.NORM.INV(S787,D787,'Regressão Grupo 2'!$B$7)&lt;=0,0,IF(_xlfn.NORM.INV(S787,D787,'Regressão Grupo 2'!$B$7)&gt;100%,100%,_xlfn.NORM.INV(S787,D787,'Regressão Grupo 2'!$B$7)))</f>
        <v>1</v>
      </c>
      <c r="G787" s="41">
        <v>1.065265590432778E-2</v>
      </c>
      <c r="H787" s="41">
        <v>1.3502717221509312E-2</v>
      </c>
      <c r="I787" s="40">
        <f t="shared" si="146"/>
        <v>0</v>
      </c>
      <c r="J787" s="40">
        <f t="shared" si="147"/>
        <v>270.05434443018623</v>
      </c>
      <c r="K787" s="36">
        <v>0.32396742413459911</v>
      </c>
      <c r="L787" s="42">
        <f t="shared" si="152"/>
        <v>0</v>
      </c>
      <c r="M787" s="42">
        <f t="shared" si="152"/>
        <v>20000</v>
      </c>
      <c r="N787" s="42">
        <f t="shared" si="148"/>
        <v>6479.3484826919821</v>
      </c>
      <c r="O787" s="36">
        <v>7.0509396366898853</v>
      </c>
      <c r="P787" s="42">
        <f t="shared" si="149"/>
        <v>5119.231857614227</v>
      </c>
      <c r="Q787" s="42"/>
      <c r="R787">
        <v>0.43122653889584034</v>
      </c>
      <c r="S787">
        <v>0.91265602587969608</v>
      </c>
    </row>
    <row r="788" spans="1:19" x14ac:dyDescent="0.25">
      <c r="A788" s="40">
        <f t="shared" si="150"/>
        <v>0</v>
      </c>
      <c r="B788" s="40">
        <f t="shared" si="151"/>
        <v>50</v>
      </c>
      <c r="C788" s="41">
        <f t="shared" si="144"/>
        <v>1.0313000000000001</v>
      </c>
      <c r="D788" s="41">
        <f t="shared" si="145"/>
        <v>0.88000000000000012</v>
      </c>
      <c r="E788" s="39">
        <f>IF(_xlfn.NORM.INV(R788,C788,'Regressão Grupo 2'!$B$7)&lt;=0,0,IF(_xlfn.NORM.INV(R788,C788,'Regressão Grupo 2'!$B$7)&gt;100%,100%,_xlfn.NORM.INV(R788,C788,'Regressão Grupo 2'!$B$7)))</f>
        <v>1</v>
      </c>
      <c r="F788" s="39">
        <f>IF(_xlfn.NORM.INV(S788,D788,'Regressão Grupo 2'!$B$7)&lt;=0,0,IF(_xlfn.NORM.INV(S788,D788,'Regressão Grupo 2'!$B$7)&gt;100%,100%,_xlfn.NORM.INV(S788,D788,'Regressão Grupo 2'!$B$7)))</f>
        <v>0.86509341259653905</v>
      </c>
      <c r="G788" s="41">
        <v>1.772507949079544E-2</v>
      </c>
      <c r="H788" s="41">
        <v>2.9075580294376641E-2</v>
      </c>
      <c r="I788" s="40">
        <f t="shared" si="146"/>
        <v>0</v>
      </c>
      <c r="J788" s="40">
        <f t="shared" si="147"/>
        <v>503.06185960173946</v>
      </c>
      <c r="K788" s="36">
        <v>0.20129161215095093</v>
      </c>
      <c r="L788" s="42">
        <f t="shared" si="152"/>
        <v>0</v>
      </c>
      <c r="M788" s="42">
        <f t="shared" si="152"/>
        <v>20000</v>
      </c>
      <c r="N788" s="42">
        <f t="shared" si="148"/>
        <v>4025.8322430190187</v>
      </c>
      <c r="O788" s="36">
        <v>4.2620964327906208</v>
      </c>
      <c r="P788" s="42">
        <f t="shared" si="149"/>
        <v>18983.162579786363</v>
      </c>
      <c r="Q788" s="42"/>
      <c r="R788">
        <v>0.78435621204260386</v>
      </c>
      <c r="S788">
        <v>0.45707571642200995</v>
      </c>
    </row>
    <row r="789" spans="1:19" x14ac:dyDescent="0.25">
      <c r="A789" s="40">
        <f t="shared" si="150"/>
        <v>0</v>
      </c>
      <c r="B789" s="40">
        <f t="shared" si="151"/>
        <v>50</v>
      </c>
      <c r="C789" s="41">
        <f t="shared" si="144"/>
        <v>1.0313000000000001</v>
      </c>
      <c r="D789" s="41">
        <f t="shared" si="145"/>
        <v>0.88000000000000012</v>
      </c>
      <c r="E789" s="39">
        <f>IF(_xlfn.NORM.INV(R789,C789,'Regressão Grupo 2'!$B$7)&lt;=0,0,IF(_xlfn.NORM.INV(R789,C789,'Regressão Grupo 2'!$B$7)&gt;100%,100%,_xlfn.NORM.INV(R789,C789,'Regressão Grupo 2'!$B$7)))</f>
        <v>0.98454252465624781</v>
      </c>
      <c r="F789" s="39">
        <f>IF(_xlfn.NORM.INV(S789,D789,'Regressão Grupo 2'!$B$7)&lt;=0,0,IF(_xlfn.NORM.INV(S789,D789,'Regressão Grupo 2'!$B$7)&gt;100%,100%,_xlfn.NORM.INV(S789,D789,'Regressão Grupo 2'!$B$7)))</f>
        <v>1</v>
      </c>
      <c r="G789" s="41">
        <v>2.2705850297362211E-2</v>
      </c>
      <c r="H789" s="41">
        <v>1.8584243524040461E-2</v>
      </c>
      <c r="I789" s="40">
        <f t="shared" si="146"/>
        <v>0</v>
      </c>
      <c r="J789" s="40">
        <f t="shared" si="147"/>
        <v>371.6848704808092</v>
      </c>
      <c r="K789" s="36">
        <v>0.26487718577523134</v>
      </c>
      <c r="L789" s="42">
        <f t="shared" si="152"/>
        <v>0</v>
      </c>
      <c r="M789" s="42">
        <f t="shared" si="152"/>
        <v>20000</v>
      </c>
      <c r="N789" s="42">
        <f t="shared" si="148"/>
        <v>5297.5437155046266</v>
      </c>
      <c r="O789" s="36">
        <v>5.441012923859387</v>
      </c>
      <c r="P789" s="42">
        <f t="shared" si="149"/>
        <v>11264.357624646746</v>
      </c>
      <c r="Q789" s="42"/>
      <c r="R789">
        <v>0.36762596514786217</v>
      </c>
      <c r="S789">
        <v>0.97247230445265054</v>
      </c>
    </row>
    <row r="790" spans="1:19" x14ac:dyDescent="0.25">
      <c r="A790" s="40">
        <f t="shared" si="150"/>
        <v>0</v>
      </c>
      <c r="B790" s="40">
        <f t="shared" si="151"/>
        <v>50</v>
      </c>
      <c r="C790" s="41">
        <f t="shared" si="144"/>
        <v>1.0313000000000001</v>
      </c>
      <c r="D790" s="41">
        <f t="shared" si="145"/>
        <v>0.88000000000000012</v>
      </c>
      <c r="E790" s="39">
        <f>IF(_xlfn.NORM.INV(R790,C790,'Regressão Grupo 2'!$B$7)&lt;=0,0,IF(_xlfn.NORM.INV(R790,C790,'Regressão Grupo 2'!$B$7)&gt;100%,100%,_xlfn.NORM.INV(R790,C790,'Regressão Grupo 2'!$B$7)))</f>
        <v>0.95113625078798869</v>
      </c>
      <c r="F790" s="39">
        <f>IF(_xlfn.NORM.INV(S790,D790,'Regressão Grupo 2'!$B$7)&lt;=0,0,IF(_xlfn.NORM.INV(S790,D790,'Regressão Grupo 2'!$B$7)&gt;100%,100%,_xlfn.NORM.INV(S790,D790,'Regressão Grupo 2'!$B$7)))</f>
        <v>0.69371852222759367</v>
      </c>
      <c r="G790" s="41">
        <v>2.0732229252878522E-2</v>
      </c>
      <c r="H790" s="41">
        <v>2.0730199728527979E-2</v>
      </c>
      <c r="I790" s="40">
        <f t="shared" si="146"/>
        <v>0</v>
      </c>
      <c r="J790" s="40">
        <f t="shared" si="147"/>
        <v>287.61847042314588</v>
      </c>
      <c r="K790" s="36">
        <v>0.26289737239191413</v>
      </c>
      <c r="L790" s="42">
        <f t="shared" si="152"/>
        <v>0</v>
      </c>
      <c r="M790" s="42">
        <f t="shared" si="152"/>
        <v>20000</v>
      </c>
      <c r="N790" s="42">
        <f t="shared" si="148"/>
        <v>5257.9474478382826</v>
      </c>
      <c r="O790" s="36">
        <v>8.812787156560498</v>
      </c>
      <c r="P790" s="42">
        <f t="shared" si="149"/>
        <v>6588.2557111843353</v>
      </c>
      <c r="Q790" s="42"/>
      <c r="R790">
        <v>0.28104495376445815</v>
      </c>
      <c r="S790">
        <v>8.8961455122531813E-2</v>
      </c>
    </row>
    <row r="791" spans="1:19" x14ac:dyDescent="0.25">
      <c r="A791" s="40">
        <f t="shared" si="150"/>
        <v>0</v>
      </c>
      <c r="B791" s="40">
        <f t="shared" si="151"/>
        <v>50</v>
      </c>
      <c r="C791" s="41">
        <f t="shared" si="144"/>
        <v>1.0313000000000001</v>
      </c>
      <c r="D791" s="41">
        <f t="shared" si="145"/>
        <v>0.88000000000000012</v>
      </c>
      <c r="E791" s="39">
        <f>IF(_xlfn.NORM.INV(R791,C791,'Regressão Grupo 2'!$B$7)&lt;=0,0,IF(_xlfn.NORM.INV(R791,C791,'Regressão Grupo 2'!$B$7)&gt;100%,100%,_xlfn.NORM.INV(R791,C791,'Regressão Grupo 2'!$B$7)))</f>
        <v>1</v>
      </c>
      <c r="F791" s="39">
        <f>IF(_xlfn.NORM.INV(S791,D791,'Regressão Grupo 2'!$B$7)&lt;=0,0,IF(_xlfn.NORM.INV(S791,D791,'Regressão Grupo 2'!$B$7)&gt;100%,100%,_xlfn.NORM.INV(S791,D791,'Regressão Grupo 2'!$B$7)))</f>
        <v>1</v>
      </c>
      <c r="G791" s="41">
        <v>1.7804401966197345E-2</v>
      </c>
      <c r="H791" s="41">
        <v>2.4991264226032577E-2</v>
      </c>
      <c r="I791" s="40">
        <f t="shared" si="146"/>
        <v>0</v>
      </c>
      <c r="J791" s="40">
        <f t="shared" si="147"/>
        <v>499.82528452065156</v>
      </c>
      <c r="K791" s="36">
        <v>0.37265709251261259</v>
      </c>
      <c r="L791" s="42">
        <f t="shared" ref="L791:M806" si="153">L790</f>
        <v>0</v>
      </c>
      <c r="M791" s="42">
        <f t="shared" si="153"/>
        <v>20000</v>
      </c>
      <c r="N791" s="42">
        <f t="shared" si="148"/>
        <v>7453.141850252252</v>
      </c>
      <c r="O791" s="36">
        <v>5.8503252858977444</v>
      </c>
      <c r="P791" s="42">
        <f t="shared" si="149"/>
        <v>14613.981875218122</v>
      </c>
      <c r="Q791" s="42"/>
      <c r="R791">
        <v>0.65489669484542379</v>
      </c>
      <c r="S791">
        <v>0.91537217322305975</v>
      </c>
    </row>
    <row r="792" spans="1:19" x14ac:dyDescent="0.25">
      <c r="A792" s="40">
        <f t="shared" si="150"/>
        <v>0</v>
      </c>
      <c r="B792" s="40">
        <f t="shared" si="151"/>
        <v>50</v>
      </c>
      <c r="C792" s="41">
        <f t="shared" si="144"/>
        <v>1.0313000000000001</v>
      </c>
      <c r="D792" s="41">
        <f t="shared" si="145"/>
        <v>0.88000000000000012</v>
      </c>
      <c r="E792" s="39">
        <f>IF(_xlfn.NORM.INV(R792,C792,'Regressão Grupo 2'!$B$7)&lt;=0,0,IF(_xlfn.NORM.INV(R792,C792,'Regressão Grupo 2'!$B$7)&gt;100%,100%,_xlfn.NORM.INV(R792,C792,'Regressão Grupo 2'!$B$7)))</f>
        <v>1</v>
      </c>
      <c r="F792" s="39">
        <f>IF(_xlfn.NORM.INV(S792,D792,'Regressão Grupo 2'!$B$7)&lt;=0,0,IF(_xlfn.NORM.INV(S792,D792,'Regressão Grupo 2'!$B$7)&gt;100%,100%,_xlfn.NORM.INV(S792,D792,'Regressão Grupo 2'!$B$7)))</f>
        <v>0.91686764386168629</v>
      </c>
      <c r="G792" s="41">
        <v>1.4460730948433703E-2</v>
      </c>
      <c r="H792" s="41">
        <v>2.2176792615797206E-2</v>
      </c>
      <c r="I792" s="40">
        <f t="shared" si="146"/>
        <v>0</v>
      </c>
      <c r="J792" s="40">
        <f t="shared" si="147"/>
        <v>406.66367188110451</v>
      </c>
      <c r="K792" s="36">
        <v>0.19184885704064505</v>
      </c>
      <c r="L792" s="42">
        <f t="shared" si="153"/>
        <v>0</v>
      </c>
      <c r="M792" s="42">
        <f t="shared" si="153"/>
        <v>20000</v>
      </c>
      <c r="N792" s="42">
        <f t="shared" si="148"/>
        <v>3836.9771408129009</v>
      </c>
      <c r="O792" s="36">
        <v>5.92998268034468</v>
      </c>
      <c r="P792" s="42">
        <f t="shared" si="149"/>
        <v>14084.697922262003</v>
      </c>
      <c r="Q792" s="42"/>
      <c r="R792">
        <v>0.97759941404461803</v>
      </c>
      <c r="S792">
        <v>0.60512100589007234</v>
      </c>
    </row>
    <row r="793" spans="1:19" x14ac:dyDescent="0.25">
      <c r="A793" s="40">
        <f t="shared" si="150"/>
        <v>0</v>
      </c>
      <c r="B793" s="40">
        <f t="shared" si="151"/>
        <v>50</v>
      </c>
      <c r="C793" s="41">
        <f t="shared" si="144"/>
        <v>1.0313000000000001</v>
      </c>
      <c r="D793" s="41">
        <f t="shared" si="145"/>
        <v>0.88000000000000012</v>
      </c>
      <c r="E793" s="39">
        <f>IF(_xlfn.NORM.INV(R793,C793,'Regressão Grupo 2'!$B$7)&lt;=0,0,IF(_xlfn.NORM.INV(R793,C793,'Regressão Grupo 2'!$B$7)&gt;100%,100%,_xlfn.NORM.INV(R793,C793,'Regressão Grupo 2'!$B$7)))</f>
        <v>1</v>
      </c>
      <c r="F793" s="39">
        <f>IF(_xlfn.NORM.INV(S793,D793,'Regressão Grupo 2'!$B$7)&lt;=0,0,IF(_xlfn.NORM.INV(S793,D793,'Regressão Grupo 2'!$B$7)&gt;100%,100%,_xlfn.NORM.INV(S793,D793,'Regressão Grupo 2'!$B$7)))</f>
        <v>0.83361196613132982</v>
      </c>
      <c r="G793" s="41">
        <v>1.7700982606413236E-2</v>
      </c>
      <c r="H793" s="41">
        <v>2.2348454422099914E-2</v>
      </c>
      <c r="I793" s="40">
        <f t="shared" si="146"/>
        <v>0</v>
      </c>
      <c r="J793" s="40">
        <f t="shared" si="147"/>
        <v>372.59878061606241</v>
      </c>
      <c r="K793" s="36">
        <v>0.48392864711718747</v>
      </c>
      <c r="L793" s="42">
        <f t="shared" si="153"/>
        <v>0</v>
      </c>
      <c r="M793" s="42">
        <f t="shared" si="153"/>
        <v>20000</v>
      </c>
      <c r="N793" s="42">
        <f t="shared" si="148"/>
        <v>9678.5729423437497</v>
      </c>
      <c r="O793" s="36">
        <v>4.8803587915028803</v>
      </c>
      <c r="P793" s="42">
        <f t="shared" si="149"/>
        <v>7132.9503537765177</v>
      </c>
      <c r="Q793" s="42"/>
      <c r="R793">
        <v>0.74425489059114358</v>
      </c>
      <c r="S793">
        <v>0.3686330759605701</v>
      </c>
    </row>
    <row r="794" spans="1:19" x14ac:dyDescent="0.25">
      <c r="A794" s="40">
        <f t="shared" si="150"/>
        <v>0</v>
      </c>
      <c r="B794" s="40">
        <f t="shared" si="151"/>
        <v>50</v>
      </c>
      <c r="C794" s="41">
        <f t="shared" si="144"/>
        <v>1.0313000000000001</v>
      </c>
      <c r="D794" s="41">
        <f t="shared" si="145"/>
        <v>0.88000000000000012</v>
      </c>
      <c r="E794" s="39">
        <f>IF(_xlfn.NORM.INV(R794,C794,'Regressão Grupo 2'!$B$7)&lt;=0,0,IF(_xlfn.NORM.INV(R794,C794,'Regressão Grupo 2'!$B$7)&gt;100%,100%,_xlfn.NORM.INV(R794,C794,'Regressão Grupo 2'!$B$7)))</f>
        <v>1</v>
      </c>
      <c r="F794" s="39">
        <f>IF(_xlfn.NORM.INV(S794,D794,'Regressão Grupo 2'!$B$7)&lt;=0,0,IF(_xlfn.NORM.INV(S794,D794,'Regressão Grupo 2'!$B$7)&gt;100%,100%,_xlfn.NORM.INV(S794,D794,'Regressão Grupo 2'!$B$7)))</f>
        <v>1</v>
      </c>
      <c r="G794" s="41">
        <v>1.6733535574581217E-2</v>
      </c>
      <c r="H794" s="41">
        <v>1.1591584509789907E-2</v>
      </c>
      <c r="I794" s="40">
        <f t="shared" si="146"/>
        <v>0</v>
      </c>
      <c r="J794" s="40">
        <f t="shared" si="147"/>
        <v>231.83169019579813</v>
      </c>
      <c r="K794" s="36">
        <v>0.17691727011110844</v>
      </c>
      <c r="L794" s="42">
        <f t="shared" si="153"/>
        <v>0</v>
      </c>
      <c r="M794" s="42">
        <f t="shared" si="153"/>
        <v>20000</v>
      </c>
      <c r="N794" s="42">
        <f t="shared" si="148"/>
        <v>3538.345402222169</v>
      </c>
      <c r="O794" s="36">
        <v>3.9926958220973656</v>
      </c>
      <c r="P794" s="42">
        <f t="shared" si="149"/>
        <v>7127.6056866932049</v>
      </c>
      <c r="Q794" s="42"/>
      <c r="R794">
        <v>0.5493636890774255</v>
      </c>
      <c r="S794">
        <v>0.80794701986754969</v>
      </c>
    </row>
    <row r="795" spans="1:19" x14ac:dyDescent="0.25">
      <c r="A795" s="40">
        <f t="shared" si="150"/>
        <v>0</v>
      </c>
      <c r="B795" s="40">
        <f t="shared" si="151"/>
        <v>50</v>
      </c>
      <c r="C795" s="41">
        <f t="shared" si="144"/>
        <v>1.0313000000000001</v>
      </c>
      <c r="D795" s="41">
        <f t="shared" si="145"/>
        <v>0.88000000000000012</v>
      </c>
      <c r="E795" s="39">
        <f>IF(_xlfn.NORM.INV(R795,C795,'Regressão Grupo 2'!$B$7)&lt;=0,0,IF(_xlfn.NORM.INV(R795,C795,'Regressão Grupo 2'!$B$7)&gt;100%,100%,_xlfn.NORM.INV(R795,C795,'Regressão Grupo 2'!$B$7)))</f>
        <v>0.93477166845165049</v>
      </c>
      <c r="F795" s="39">
        <f>IF(_xlfn.NORM.INV(S795,D795,'Regressão Grupo 2'!$B$7)&lt;=0,0,IF(_xlfn.NORM.INV(S795,D795,'Regressão Grupo 2'!$B$7)&gt;100%,100%,_xlfn.NORM.INV(S795,D795,'Regressão Grupo 2'!$B$7)))</f>
        <v>1</v>
      </c>
      <c r="G795" s="41">
        <v>1.84271802955378E-2</v>
      </c>
      <c r="H795" s="41">
        <v>2.2114439597320706E-2</v>
      </c>
      <c r="I795" s="40">
        <f t="shared" si="146"/>
        <v>0</v>
      </c>
      <c r="J795" s="40">
        <f t="shared" si="147"/>
        <v>442.28879194641411</v>
      </c>
      <c r="K795" s="36">
        <v>0.33691434026501949</v>
      </c>
      <c r="L795" s="42">
        <f t="shared" si="153"/>
        <v>0</v>
      </c>
      <c r="M795" s="42">
        <f t="shared" si="153"/>
        <v>20000</v>
      </c>
      <c r="N795" s="42">
        <f t="shared" si="148"/>
        <v>6738.2868053003895</v>
      </c>
      <c r="O795" s="36">
        <v>8.5188359551700596</v>
      </c>
      <c r="P795" s="42">
        <f t="shared" si="149"/>
        <v>11608.367128618474</v>
      </c>
      <c r="Q795" s="42"/>
      <c r="R795">
        <v>0.24256111331522567</v>
      </c>
      <c r="S795">
        <v>0.96920682393871882</v>
      </c>
    </row>
    <row r="796" spans="1:19" x14ac:dyDescent="0.25">
      <c r="A796" s="40">
        <f t="shared" si="150"/>
        <v>0</v>
      </c>
      <c r="B796" s="40">
        <f t="shared" si="151"/>
        <v>50</v>
      </c>
      <c r="C796" s="41">
        <f t="shared" si="144"/>
        <v>1.0313000000000001</v>
      </c>
      <c r="D796" s="41">
        <f t="shared" si="145"/>
        <v>0.88000000000000012</v>
      </c>
      <c r="E796" s="39">
        <f>IF(_xlfn.NORM.INV(R796,C796,'Regressão Grupo 2'!$B$7)&lt;=0,0,IF(_xlfn.NORM.INV(R796,C796,'Regressão Grupo 2'!$B$7)&gt;100%,100%,_xlfn.NORM.INV(R796,C796,'Regressão Grupo 2'!$B$7)))</f>
        <v>0.92120530930148625</v>
      </c>
      <c r="F796" s="39">
        <f>IF(_xlfn.NORM.INV(S796,D796,'Regressão Grupo 2'!$B$7)&lt;=0,0,IF(_xlfn.NORM.INV(S796,D796,'Regressão Grupo 2'!$B$7)&gt;100%,100%,_xlfn.NORM.INV(S796,D796,'Regressão Grupo 2'!$B$7)))</f>
        <v>0.74554943878166779</v>
      </c>
      <c r="G796" s="41">
        <v>2.2187311556227787E-2</v>
      </c>
      <c r="H796" s="41">
        <v>2.6723063443078336E-2</v>
      </c>
      <c r="I796" s="40">
        <f t="shared" si="146"/>
        <v>0</v>
      </c>
      <c r="J796" s="40">
        <f t="shared" si="147"/>
        <v>398.46729905027911</v>
      </c>
      <c r="K796" s="36">
        <v>0.22972852678428554</v>
      </c>
      <c r="L796" s="42">
        <f t="shared" si="153"/>
        <v>0</v>
      </c>
      <c r="M796" s="42">
        <f t="shared" si="153"/>
        <v>20000</v>
      </c>
      <c r="N796" s="42">
        <f t="shared" si="148"/>
        <v>4594.5705356857106</v>
      </c>
      <c r="O796" s="36">
        <v>8.0003812555339469</v>
      </c>
      <c r="P796" s="42">
        <f t="shared" si="149"/>
        <v>12140.904106563154</v>
      </c>
      <c r="Q796" s="42"/>
      <c r="R796">
        <v>0.21295815912350841</v>
      </c>
      <c r="S796">
        <v>0.16544083986938077</v>
      </c>
    </row>
    <row r="797" spans="1:19" x14ac:dyDescent="0.25">
      <c r="A797" s="40">
        <f t="shared" si="150"/>
        <v>0</v>
      </c>
      <c r="B797" s="40">
        <f t="shared" si="151"/>
        <v>50</v>
      </c>
      <c r="C797" s="41">
        <f t="shared" si="144"/>
        <v>1.0313000000000001</v>
      </c>
      <c r="D797" s="41">
        <f t="shared" si="145"/>
        <v>0.88000000000000012</v>
      </c>
      <c r="E797" s="39">
        <f>IF(_xlfn.NORM.INV(R797,C797,'Regressão Grupo 2'!$B$7)&lt;=0,0,IF(_xlfn.NORM.INV(R797,C797,'Regressão Grupo 2'!$B$7)&gt;100%,100%,_xlfn.NORM.INV(R797,C797,'Regressão Grupo 2'!$B$7)))</f>
        <v>1</v>
      </c>
      <c r="F797" s="39">
        <f>IF(_xlfn.NORM.INV(S797,D797,'Regressão Grupo 2'!$B$7)&lt;=0,0,IF(_xlfn.NORM.INV(S797,D797,'Regressão Grupo 2'!$B$7)&gt;100%,100%,_xlfn.NORM.INV(S797,D797,'Regressão Grupo 2'!$B$7)))</f>
        <v>0.89632244786019599</v>
      </c>
      <c r="G797" s="41">
        <v>3.1588249655954415E-3</v>
      </c>
      <c r="H797" s="41">
        <v>1.1919970439003766E-2</v>
      </c>
      <c r="I797" s="40">
        <f t="shared" si="146"/>
        <v>0</v>
      </c>
      <c r="J797" s="40">
        <f t="shared" si="147"/>
        <v>213.68274164618063</v>
      </c>
      <c r="K797" s="36">
        <v>0.35084105087155332</v>
      </c>
      <c r="L797" s="42">
        <f t="shared" si="153"/>
        <v>0</v>
      </c>
      <c r="M797" s="42">
        <f t="shared" si="153"/>
        <v>20000</v>
      </c>
      <c r="N797" s="42">
        <f t="shared" si="148"/>
        <v>7016.8210174310661</v>
      </c>
      <c r="O797" s="36">
        <v>4.4773430180977112</v>
      </c>
      <c r="P797" s="42">
        <f t="shared" si="149"/>
        <v>2710.5851334804611</v>
      </c>
      <c r="Q797" s="42"/>
      <c r="R797">
        <v>0.89294106875820189</v>
      </c>
      <c r="S797">
        <v>0.54698324533829767</v>
      </c>
    </row>
    <row r="798" spans="1:19" x14ac:dyDescent="0.25">
      <c r="A798" s="40">
        <f t="shared" si="150"/>
        <v>0</v>
      </c>
      <c r="B798" s="40">
        <f t="shared" si="151"/>
        <v>50</v>
      </c>
      <c r="C798" s="41">
        <f t="shared" si="144"/>
        <v>1.0313000000000001</v>
      </c>
      <c r="D798" s="41">
        <f t="shared" si="145"/>
        <v>0.88000000000000012</v>
      </c>
      <c r="E798" s="39">
        <f>IF(_xlfn.NORM.INV(R798,C798,'Regressão Grupo 2'!$B$7)&lt;=0,0,IF(_xlfn.NORM.INV(R798,C798,'Regressão Grupo 2'!$B$7)&gt;100%,100%,_xlfn.NORM.INV(R798,C798,'Regressão Grupo 2'!$B$7)))</f>
        <v>1</v>
      </c>
      <c r="F798" s="39">
        <f>IF(_xlfn.NORM.INV(S798,D798,'Regressão Grupo 2'!$B$7)&lt;=0,0,IF(_xlfn.NORM.INV(S798,D798,'Regressão Grupo 2'!$B$7)&gt;100%,100%,_xlfn.NORM.INV(S798,D798,'Regressão Grupo 2'!$B$7)))</f>
        <v>0.95658640304214537</v>
      </c>
      <c r="G798" s="41">
        <v>1.7576626523043964E-2</v>
      </c>
      <c r="H798" s="41">
        <v>1.4990697598833229E-2</v>
      </c>
      <c r="I798" s="40">
        <f t="shared" si="146"/>
        <v>0</v>
      </c>
      <c r="J798" s="40">
        <f t="shared" si="147"/>
        <v>286.79794990320806</v>
      </c>
      <c r="K798" s="36">
        <v>0.13873846313027663</v>
      </c>
      <c r="L798" s="42">
        <f t="shared" si="153"/>
        <v>0</v>
      </c>
      <c r="M798" s="42">
        <f t="shared" si="153"/>
        <v>20000</v>
      </c>
      <c r="N798" s="42">
        <f t="shared" si="148"/>
        <v>2774.7692626055327</v>
      </c>
      <c r="O798" s="36">
        <v>7.1676214533004519</v>
      </c>
      <c r="P798" s="42">
        <f t="shared" si="149"/>
        <v>9509.4690940660475</v>
      </c>
      <c r="Q798" s="42"/>
      <c r="R798">
        <v>0.80141605883968625</v>
      </c>
      <c r="S798">
        <v>0.71016571550645469</v>
      </c>
    </row>
    <row r="799" spans="1:19" x14ac:dyDescent="0.25">
      <c r="A799" s="40">
        <f t="shared" si="150"/>
        <v>0</v>
      </c>
      <c r="B799" s="40">
        <f t="shared" si="151"/>
        <v>50</v>
      </c>
      <c r="C799" s="41">
        <f t="shared" si="144"/>
        <v>1.0313000000000001</v>
      </c>
      <c r="D799" s="41">
        <f t="shared" si="145"/>
        <v>0.88000000000000012</v>
      </c>
      <c r="E799" s="39">
        <f>IF(_xlfn.NORM.INV(R799,C799,'Regressão Grupo 2'!$B$7)&lt;=0,0,IF(_xlfn.NORM.INV(R799,C799,'Regressão Grupo 2'!$B$7)&gt;100%,100%,_xlfn.NORM.INV(R799,C799,'Regressão Grupo 2'!$B$7)))</f>
        <v>1</v>
      </c>
      <c r="F799" s="39">
        <f>IF(_xlfn.NORM.INV(S799,D799,'Regressão Grupo 2'!$B$7)&lt;=0,0,IF(_xlfn.NORM.INV(S799,D799,'Regressão Grupo 2'!$B$7)&gt;100%,100%,_xlfn.NORM.INV(S799,D799,'Regressão Grupo 2'!$B$7)))</f>
        <v>0.86827096652133662</v>
      </c>
      <c r="G799" s="41">
        <v>2.1762430843128382E-2</v>
      </c>
      <c r="H799" s="41">
        <v>1.5365343969450539E-2</v>
      </c>
      <c r="I799" s="40">
        <f t="shared" si="146"/>
        <v>0</v>
      </c>
      <c r="J799" s="40">
        <f t="shared" si="147"/>
        <v>266.8256411857522</v>
      </c>
      <c r="K799" s="36">
        <v>0.43944123415653685</v>
      </c>
      <c r="L799" s="42">
        <f t="shared" si="153"/>
        <v>0</v>
      </c>
      <c r="M799" s="42">
        <f t="shared" si="153"/>
        <v>20000</v>
      </c>
      <c r="N799" s="42">
        <f t="shared" si="148"/>
        <v>8788.824683130737</v>
      </c>
      <c r="O799" s="36">
        <v>9.2455892290229436</v>
      </c>
      <c r="P799" s="42">
        <f t="shared" si="149"/>
        <v>2085.4971019827426</v>
      </c>
      <c r="Q799" s="42"/>
      <c r="R799">
        <v>0.50242622150334182</v>
      </c>
      <c r="S799">
        <v>0.46620075075533313</v>
      </c>
    </row>
    <row r="800" spans="1:19" x14ac:dyDescent="0.25">
      <c r="A800" s="40">
        <f t="shared" si="150"/>
        <v>0</v>
      </c>
      <c r="B800" s="40">
        <f t="shared" si="151"/>
        <v>50</v>
      </c>
      <c r="C800" s="41">
        <f t="shared" si="144"/>
        <v>1.0313000000000001</v>
      </c>
      <c r="D800" s="41">
        <f t="shared" si="145"/>
        <v>0.88000000000000012</v>
      </c>
      <c r="E800" s="39">
        <f>IF(_xlfn.NORM.INV(R800,C800,'Regressão Grupo 2'!$B$7)&lt;=0,0,IF(_xlfn.NORM.INV(R800,C800,'Regressão Grupo 2'!$B$7)&gt;100%,100%,_xlfn.NORM.INV(R800,C800,'Regressão Grupo 2'!$B$7)))</f>
        <v>0.98357815982718089</v>
      </c>
      <c r="F800" s="39">
        <f>IF(_xlfn.NORM.INV(S800,D800,'Regressão Grupo 2'!$B$7)&lt;=0,0,IF(_xlfn.NORM.INV(S800,D800,'Regressão Grupo 2'!$B$7)&gt;100%,100%,_xlfn.NORM.INV(S800,D800,'Regressão Grupo 2'!$B$7)))</f>
        <v>0.83119890848294997</v>
      </c>
      <c r="G800" s="41">
        <v>1.9674980179075076E-2</v>
      </c>
      <c r="H800" s="41">
        <v>1.8222832878213524E-2</v>
      </c>
      <c r="I800" s="40">
        <f t="shared" si="146"/>
        <v>0</v>
      </c>
      <c r="J800" s="40">
        <f t="shared" si="147"/>
        <v>302.9359759567659</v>
      </c>
      <c r="K800" s="36">
        <v>0.38432119435769962</v>
      </c>
      <c r="L800" s="42">
        <f t="shared" si="153"/>
        <v>0</v>
      </c>
      <c r="M800" s="42">
        <f t="shared" si="153"/>
        <v>20000</v>
      </c>
      <c r="N800" s="42">
        <f t="shared" si="148"/>
        <v>7686.4238871539928</v>
      </c>
      <c r="O800" s="36">
        <v>5.4491123690185237</v>
      </c>
      <c r="P800" s="42">
        <f t="shared" si="149"/>
        <v>5809.6427370775909</v>
      </c>
      <c r="Q800" s="42"/>
      <c r="R800">
        <v>0.36500137333292643</v>
      </c>
      <c r="S800">
        <v>0.36207159642323067</v>
      </c>
    </row>
    <row r="801" spans="1:19" x14ac:dyDescent="0.25">
      <c r="A801" s="40">
        <f t="shared" si="150"/>
        <v>0</v>
      </c>
      <c r="B801" s="40">
        <f t="shared" si="151"/>
        <v>50</v>
      </c>
      <c r="C801" s="41">
        <f t="shared" si="144"/>
        <v>1.0313000000000001</v>
      </c>
      <c r="D801" s="41">
        <f t="shared" si="145"/>
        <v>0.88000000000000012</v>
      </c>
      <c r="E801" s="39">
        <f>IF(_xlfn.NORM.INV(R801,C801,'Regressão Grupo 2'!$B$7)&lt;=0,0,IF(_xlfn.NORM.INV(R801,C801,'Regressão Grupo 2'!$B$7)&gt;100%,100%,_xlfn.NORM.INV(R801,C801,'Regressão Grupo 2'!$B$7)))</f>
        <v>1</v>
      </c>
      <c r="F801" s="39">
        <f>IF(_xlfn.NORM.INV(S801,D801,'Regressão Grupo 2'!$B$7)&lt;=0,0,IF(_xlfn.NORM.INV(S801,D801,'Regressão Grupo 2'!$B$7)&gt;100%,100%,_xlfn.NORM.INV(S801,D801,'Regressão Grupo 2'!$B$7)))</f>
        <v>0.98745696262276095</v>
      </c>
      <c r="G801" s="41">
        <v>2.3630831973811241E-2</v>
      </c>
      <c r="H801" s="41">
        <v>2.2857971563047065E-2</v>
      </c>
      <c r="I801" s="40">
        <f t="shared" si="146"/>
        <v>0</v>
      </c>
      <c r="J801" s="40">
        <f t="shared" si="147"/>
        <v>451.42526342727803</v>
      </c>
      <c r="K801" s="36">
        <v>0.33811796755951268</v>
      </c>
      <c r="L801" s="42">
        <f t="shared" si="153"/>
        <v>0</v>
      </c>
      <c r="M801" s="42">
        <f t="shared" si="153"/>
        <v>20000</v>
      </c>
      <c r="N801" s="42">
        <f t="shared" si="148"/>
        <v>6762.3593511902536</v>
      </c>
      <c r="O801" s="36">
        <v>6.3596659664859461</v>
      </c>
      <c r="P801" s="42">
        <f t="shared" si="149"/>
        <v>12937.989935943235</v>
      </c>
      <c r="Q801" s="42"/>
      <c r="R801">
        <v>0.5986205633716849</v>
      </c>
      <c r="S801">
        <v>0.7814569536423841</v>
      </c>
    </row>
    <row r="802" spans="1:19" x14ac:dyDescent="0.25">
      <c r="A802" s="40">
        <f t="shared" si="150"/>
        <v>0</v>
      </c>
      <c r="B802" s="40">
        <f t="shared" si="151"/>
        <v>50</v>
      </c>
      <c r="C802" s="41">
        <f t="shared" si="144"/>
        <v>1.0313000000000001</v>
      </c>
      <c r="D802" s="41">
        <f t="shared" si="145"/>
        <v>0.88000000000000012</v>
      </c>
      <c r="E802" s="39">
        <f>IF(_xlfn.NORM.INV(R802,C802,'Regressão Grupo 2'!$B$7)&lt;=0,0,IF(_xlfn.NORM.INV(R802,C802,'Regressão Grupo 2'!$B$7)&gt;100%,100%,_xlfn.NORM.INV(R802,C802,'Regressão Grupo 2'!$B$7)))</f>
        <v>0.96990975724115891</v>
      </c>
      <c r="F802" s="39">
        <f>IF(_xlfn.NORM.INV(S802,D802,'Regressão Grupo 2'!$B$7)&lt;=0,0,IF(_xlfn.NORM.INV(S802,D802,'Regressão Grupo 2'!$B$7)&gt;100%,100%,_xlfn.NORM.INV(S802,D802,'Regressão Grupo 2'!$B$7)))</f>
        <v>0.90850161479934055</v>
      </c>
      <c r="G802" s="41">
        <v>1.2567273784428037E-2</v>
      </c>
      <c r="H802" s="41">
        <v>6.1086765290040233E-3</v>
      </c>
      <c r="I802" s="40">
        <f t="shared" si="146"/>
        <v>0</v>
      </c>
      <c r="J802" s="40">
        <f t="shared" si="147"/>
        <v>110.99484981773971</v>
      </c>
      <c r="K802" s="36">
        <v>0.32024339760715104</v>
      </c>
      <c r="L802" s="42">
        <f t="shared" si="153"/>
        <v>0</v>
      </c>
      <c r="M802" s="42">
        <f t="shared" si="153"/>
        <v>20000</v>
      </c>
      <c r="N802" s="42">
        <f t="shared" si="148"/>
        <v>6404.8679521430204</v>
      </c>
      <c r="O802" s="36">
        <v>7.9222271534932087</v>
      </c>
      <c r="P802" s="42">
        <f t="shared" si="149"/>
        <v>-1734.4518743800336</v>
      </c>
      <c r="Q802" s="42"/>
      <c r="R802">
        <v>0.32853175450910976</v>
      </c>
      <c r="S802">
        <v>0.5816522721030305</v>
      </c>
    </row>
    <row r="803" spans="1:19" x14ac:dyDescent="0.25">
      <c r="A803" s="40">
        <f t="shared" si="150"/>
        <v>0</v>
      </c>
      <c r="B803" s="40">
        <f t="shared" si="151"/>
        <v>50</v>
      </c>
      <c r="C803" s="41">
        <f t="shared" si="144"/>
        <v>1.0313000000000001</v>
      </c>
      <c r="D803" s="41">
        <f t="shared" si="145"/>
        <v>0.88000000000000012</v>
      </c>
      <c r="E803" s="39">
        <f>IF(_xlfn.NORM.INV(R803,C803,'Regressão Grupo 2'!$B$7)&lt;=0,0,IF(_xlfn.NORM.INV(R803,C803,'Regressão Grupo 2'!$B$7)&gt;100%,100%,_xlfn.NORM.INV(R803,C803,'Regressão Grupo 2'!$B$7)))</f>
        <v>0.85060561869813545</v>
      </c>
      <c r="F803" s="39">
        <f>IF(_xlfn.NORM.INV(S803,D803,'Regressão Grupo 2'!$B$7)&lt;=0,0,IF(_xlfn.NORM.INV(S803,D803,'Regressão Grupo 2'!$B$7)&gt;100%,100%,_xlfn.NORM.INV(S803,D803,'Regressão Grupo 2'!$B$7)))</f>
        <v>0.8319187355468205</v>
      </c>
      <c r="G803" s="41">
        <v>1.7402122830102885E-2</v>
      </c>
      <c r="H803" s="41">
        <v>1.8720171089552061E-2</v>
      </c>
      <c r="I803" s="40">
        <f t="shared" si="146"/>
        <v>0</v>
      </c>
      <c r="J803" s="40">
        <f t="shared" si="147"/>
        <v>311.47322124080591</v>
      </c>
      <c r="K803" s="36">
        <v>0.33101831022959577</v>
      </c>
      <c r="L803" s="42">
        <f t="shared" si="153"/>
        <v>0</v>
      </c>
      <c r="M803" s="42">
        <f t="shared" si="153"/>
        <v>20000</v>
      </c>
      <c r="N803" s="42">
        <f t="shared" si="148"/>
        <v>6620.3662045919154</v>
      </c>
      <c r="O803" s="36">
        <v>10.193321173512601</v>
      </c>
      <c r="P803" s="42">
        <f t="shared" si="149"/>
        <v>5778.3482763922984</v>
      </c>
      <c r="Q803" s="42"/>
      <c r="R803">
        <v>9.5645008697775202E-2</v>
      </c>
      <c r="S803">
        <v>0.36402478102969449</v>
      </c>
    </row>
    <row r="804" spans="1:19" x14ac:dyDescent="0.25">
      <c r="A804" s="40">
        <f t="shared" si="150"/>
        <v>0</v>
      </c>
      <c r="B804" s="40">
        <f t="shared" si="151"/>
        <v>50</v>
      </c>
      <c r="C804" s="41">
        <f t="shared" si="144"/>
        <v>1.0313000000000001</v>
      </c>
      <c r="D804" s="41">
        <f t="shared" si="145"/>
        <v>0.88000000000000012</v>
      </c>
      <c r="E804" s="39">
        <f>IF(_xlfn.NORM.INV(R804,C804,'Regressão Grupo 2'!$B$7)&lt;=0,0,IF(_xlfn.NORM.INV(R804,C804,'Regressão Grupo 2'!$B$7)&gt;100%,100%,_xlfn.NORM.INV(R804,C804,'Regressão Grupo 2'!$B$7)))</f>
        <v>1</v>
      </c>
      <c r="F804" s="39">
        <f>IF(_xlfn.NORM.INV(S804,D804,'Regressão Grupo 2'!$B$7)&lt;=0,0,IF(_xlfn.NORM.INV(S804,D804,'Regressão Grupo 2'!$B$7)&gt;100%,100%,_xlfn.NORM.INV(S804,D804,'Regressão Grupo 2'!$B$7)))</f>
        <v>0.97721785216294743</v>
      </c>
      <c r="G804" s="41">
        <v>2.3789664243661909E-2</v>
      </c>
      <c r="H804" s="41">
        <v>1.3268705839280371E-2</v>
      </c>
      <c r="I804" s="40">
        <f t="shared" si="146"/>
        <v>0</v>
      </c>
      <c r="J804" s="40">
        <f t="shared" si="147"/>
        <v>259.32832442487046</v>
      </c>
      <c r="K804" s="36">
        <v>0.35962567100787179</v>
      </c>
      <c r="L804" s="42">
        <f t="shared" si="153"/>
        <v>0</v>
      </c>
      <c r="M804" s="42">
        <f t="shared" si="153"/>
        <v>20000</v>
      </c>
      <c r="N804" s="42">
        <f t="shared" si="148"/>
        <v>7192.5134201574356</v>
      </c>
      <c r="O804" s="36">
        <v>4.7823812455800816</v>
      </c>
      <c r="P804" s="42">
        <f t="shared" si="149"/>
        <v>4533.6958859088782</v>
      </c>
      <c r="Q804" s="42"/>
      <c r="R804">
        <v>0.73662526322214428</v>
      </c>
      <c r="S804">
        <v>0.75899533066805014</v>
      </c>
    </row>
    <row r="805" spans="1:19" x14ac:dyDescent="0.25">
      <c r="A805" s="40">
        <f t="shared" si="150"/>
        <v>0</v>
      </c>
      <c r="B805" s="40">
        <f t="shared" si="151"/>
        <v>50</v>
      </c>
      <c r="C805" s="41">
        <f t="shared" si="144"/>
        <v>1.0313000000000001</v>
      </c>
      <c r="D805" s="41">
        <f t="shared" si="145"/>
        <v>0.88000000000000012</v>
      </c>
      <c r="E805" s="39">
        <f>IF(_xlfn.NORM.INV(R805,C805,'Regressão Grupo 2'!$B$7)&lt;=0,0,IF(_xlfn.NORM.INV(R805,C805,'Regressão Grupo 2'!$B$7)&gt;100%,100%,_xlfn.NORM.INV(R805,C805,'Regressão Grupo 2'!$B$7)))</f>
        <v>1</v>
      </c>
      <c r="F805" s="39">
        <f>IF(_xlfn.NORM.INV(S805,D805,'Regressão Grupo 2'!$B$7)&lt;=0,0,IF(_xlfn.NORM.INV(S805,D805,'Regressão Grupo 2'!$B$7)&gt;100%,100%,_xlfn.NORM.INV(S805,D805,'Regressão Grupo 2'!$B$7)))</f>
        <v>0.93542239729325771</v>
      </c>
      <c r="G805" s="41">
        <v>2.16820927187691E-2</v>
      </c>
      <c r="H805" s="41">
        <v>1.4394607440224074E-2</v>
      </c>
      <c r="I805" s="40">
        <f t="shared" si="146"/>
        <v>0</v>
      </c>
      <c r="J805" s="40">
        <f t="shared" si="147"/>
        <v>269.30076399659538</v>
      </c>
      <c r="K805" s="36">
        <v>0.38209343332292228</v>
      </c>
      <c r="L805" s="42">
        <f t="shared" si="153"/>
        <v>0</v>
      </c>
      <c r="M805" s="42">
        <f t="shared" si="153"/>
        <v>20000</v>
      </c>
      <c r="N805" s="42">
        <f t="shared" si="148"/>
        <v>7641.8686664584457</v>
      </c>
      <c r="O805" s="36">
        <v>6.5483976859322981</v>
      </c>
      <c r="P805" s="42">
        <f t="shared" si="149"/>
        <v>4059.6810335962182</v>
      </c>
      <c r="Q805" s="42"/>
      <c r="R805">
        <v>0.75139622180852683</v>
      </c>
      <c r="S805">
        <v>0.65572069460127569</v>
      </c>
    </row>
    <row r="806" spans="1:19" x14ac:dyDescent="0.25">
      <c r="A806" s="40">
        <f t="shared" si="150"/>
        <v>0</v>
      </c>
      <c r="B806" s="40">
        <f t="shared" si="151"/>
        <v>50</v>
      </c>
      <c r="C806" s="41">
        <f t="shared" si="144"/>
        <v>1.0313000000000001</v>
      </c>
      <c r="D806" s="41">
        <f t="shared" si="145"/>
        <v>0.88000000000000012</v>
      </c>
      <c r="E806" s="39">
        <f>IF(_xlfn.NORM.INV(R806,C806,'Regressão Grupo 2'!$B$7)&lt;=0,0,IF(_xlfn.NORM.INV(R806,C806,'Regressão Grupo 2'!$B$7)&gt;100%,100%,_xlfn.NORM.INV(R806,C806,'Regressão Grupo 2'!$B$7)))</f>
        <v>1</v>
      </c>
      <c r="F806" s="39">
        <f>IF(_xlfn.NORM.INV(S806,D806,'Regressão Grupo 2'!$B$7)&lt;=0,0,IF(_xlfn.NORM.INV(S806,D806,'Regressão Grupo 2'!$B$7)&gt;100%,100%,_xlfn.NORM.INV(S806,D806,'Regressão Grupo 2'!$B$7)))</f>
        <v>0.78489717586683716</v>
      </c>
      <c r="G806" s="41">
        <v>2.4640051180137328E-2</v>
      </c>
      <c r="H806" s="41">
        <v>9.3352792420020054E-3</v>
      </c>
      <c r="I806" s="40">
        <f t="shared" si="146"/>
        <v>0</v>
      </c>
      <c r="J806" s="40">
        <f t="shared" si="147"/>
        <v>146.54468625951364</v>
      </c>
      <c r="K806" s="36">
        <v>0.29175834812657547</v>
      </c>
      <c r="L806" s="42">
        <f t="shared" si="153"/>
        <v>0</v>
      </c>
      <c r="M806" s="42">
        <f t="shared" si="153"/>
        <v>20000</v>
      </c>
      <c r="N806" s="42">
        <f t="shared" si="148"/>
        <v>5835.1669625315099</v>
      </c>
      <c r="O806" s="36">
        <v>4.949473439518167</v>
      </c>
      <c r="P806" s="42">
        <f t="shared" si="149"/>
        <v>766.74831810018622</v>
      </c>
      <c r="Q806" s="42"/>
      <c r="R806">
        <v>0.61803033539841912</v>
      </c>
      <c r="S806">
        <v>0.2457960753196814</v>
      </c>
    </row>
    <row r="807" spans="1:19" x14ac:dyDescent="0.25">
      <c r="A807" s="40">
        <f t="shared" si="150"/>
        <v>0</v>
      </c>
      <c r="B807" s="40">
        <f t="shared" si="151"/>
        <v>50</v>
      </c>
      <c r="C807" s="41">
        <f t="shared" si="144"/>
        <v>1.0313000000000001</v>
      </c>
      <c r="D807" s="41">
        <f t="shared" si="145"/>
        <v>0.88000000000000012</v>
      </c>
      <c r="E807" s="39">
        <f>IF(_xlfn.NORM.INV(R807,C807,'Regressão Grupo 2'!$B$7)&lt;=0,0,IF(_xlfn.NORM.INV(R807,C807,'Regressão Grupo 2'!$B$7)&gt;100%,100%,_xlfn.NORM.INV(R807,C807,'Regressão Grupo 2'!$B$7)))</f>
        <v>1</v>
      </c>
      <c r="F807" s="39">
        <f>IF(_xlfn.NORM.INV(S807,D807,'Regressão Grupo 2'!$B$7)&lt;=0,0,IF(_xlfn.NORM.INV(S807,D807,'Regressão Grupo 2'!$B$7)&gt;100%,100%,_xlfn.NORM.INV(S807,D807,'Regressão Grupo 2'!$B$7)))</f>
        <v>0.76625048768498272</v>
      </c>
      <c r="G807" s="41">
        <v>2.5030153719364515E-2</v>
      </c>
      <c r="H807" s="41">
        <v>1.9746507589378594E-2</v>
      </c>
      <c r="I807" s="40">
        <f t="shared" si="146"/>
        <v>0</v>
      </c>
      <c r="J807" s="40">
        <f t="shared" si="147"/>
        <v>302.61542140873121</v>
      </c>
      <c r="K807" s="36">
        <v>0.19923016339835364</v>
      </c>
      <c r="L807" s="42">
        <f t="shared" ref="L807:M822" si="154">L806</f>
        <v>0</v>
      </c>
      <c r="M807" s="42">
        <f t="shared" si="154"/>
        <v>20000</v>
      </c>
      <c r="N807" s="42">
        <f t="shared" si="148"/>
        <v>3984.603267967073</v>
      </c>
      <c r="O807" s="36">
        <v>7.5107772406121551</v>
      </c>
      <c r="P807" s="42">
        <f t="shared" si="149"/>
        <v>8873.290782694532</v>
      </c>
      <c r="Q807" s="42"/>
      <c r="R807">
        <v>0.69685964537491984</v>
      </c>
      <c r="S807">
        <v>0.2053590502639851</v>
      </c>
    </row>
    <row r="808" spans="1:19" x14ac:dyDescent="0.25">
      <c r="A808" s="40">
        <f t="shared" si="150"/>
        <v>0</v>
      </c>
      <c r="B808" s="40">
        <f t="shared" si="151"/>
        <v>50</v>
      </c>
      <c r="C808" s="41">
        <f t="shared" si="144"/>
        <v>1.0313000000000001</v>
      </c>
      <c r="D808" s="41">
        <f t="shared" si="145"/>
        <v>0.88000000000000012</v>
      </c>
      <c r="E808" s="39">
        <f>IF(_xlfn.NORM.INV(R808,C808,'Regressão Grupo 2'!$B$7)&lt;=0,0,IF(_xlfn.NORM.INV(R808,C808,'Regressão Grupo 2'!$B$7)&gt;100%,100%,_xlfn.NORM.INV(R808,C808,'Regressão Grupo 2'!$B$7)))</f>
        <v>0.57288033162754548</v>
      </c>
      <c r="F808" s="39">
        <f>IF(_xlfn.NORM.INV(S808,D808,'Regressão Grupo 2'!$B$7)&lt;=0,0,IF(_xlfn.NORM.INV(S808,D808,'Regressão Grupo 2'!$B$7)&gt;100%,100%,_xlfn.NORM.INV(S808,D808,'Regressão Grupo 2'!$B$7)))</f>
        <v>0.8577061434413954</v>
      </c>
      <c r="G808" s="41">
        <v>2.2137922808397031E-2</v>
      </c>
      <c r="H808" s="41">
        <v>1.7846727112838832E-2</v>
      </c>
      <c r="I808" s="40">
        <f t="shared" si="146"/>
        <v>0</v>
      </c>
      <c r="J808" s="40">
        <f t="shared" si="147"/>
        <v>306.14494970007968</v>
      </c>
      <c r="K808" s="36">
        <v>0.3685451471353195</v>
      </c>
      <c r="L808" s="42">
        <f t="shared" si="154"/>
        <v>0</v>
      </c>
      <c r="M808" s="42">
        <f t="shared" si="154"/>
        <v>20000</v>
      </c>
      <c r="N808" s="42">
        <f t="shared" si="148"/>
        <v>7370.9029427063897</v>
      </c>
      <c r="O808" s="36">
        <v>5.770460420711065</v>
      </c>
      <c r="P808" s="42">
        <f t="shared" si="149"/>
        <v>6169.7472270527041</v>
      </c>
      <c r="Q808" s="42"/>
      <c r="R808">
        <v>4.5777764213995788E-4</v>
      </c>
      <c r="S808">
        <v>0.43595690786461988</v>
      </c>
    </row>
    <row r="809" spans="1:19" x14ac:dyDescent="0.25">
      <c r="A809" s="40">
        <f t="shared" si="150"/>
        <v>0</v>
      </c>
      <c r="B809" s="40">
        <f t="shared" si="151"/>
        <v>50</v>
      </c>
      <c r="C809" s="41">
        <f t="shared" si="144"/>
        <v>1.0313000000000001</v>
      </c>
      <c r="D809" s="41">
        <f t="shared" si="145"/>
        <v>0.88000000000000012</v>
      </c>
      <c r="E809" s="39">
        <f>IF(_xlfn.NORM.INV(R809,C809,'Regressão Grupo 2'!$B$7)&lt;=0,0,IF(_xlfn.NORM.INV(R809,C809,'Regressão Grupo 2'!$B$7)&gt;100%,100%,_xlfn.NORM.INV(R809,C809,'Regressão Grupo 2'!$B$7)))</f>
        <v>1</v>
      </c>
      <c r="F809" s="39">
        <f>IF(_xlfn.NORM.INV(S809,D809,'Regressão Grupo 2'!$B$7)&lt;=0,0,IF(_xlfn.NORM.INV(S809,D809,'Regressão Grupo 2'!$B$7)&gt;100%,100%,_xlfn.NORM.INV(S809,D809,'Regressão Grupo 2'!$B$7)))</f>
        <v>0.93148976977247377</v>
      </c>
      <c r="G809" s="41">
        <v>7.8192201322096148E-3</v>
      </c>
      <c r="H809" s="41">
        <v>1.7460247256569968E-2</v>
      </c>
      <c r="I809" s="40">
        <f t="shared" si="146"/>
        <v>0</v>
      </c>
      <c r="J809" s="40">
        <f t="shared" si="147"/>
        <v>325.28083394385658</v>
      </c>
      <c r="K809" s="36">
        <v>0.38945426806713984</v>
      </c>
      <c r="L809" s="42">
        <f t="shared" si="154"/>
        <v>0</v>
      </c>
      <c r="M809" s="42">
        <f t="shared" si="154"/>
        <v>20000</v>
      </c>
      <c r="N809" s="42">
        <f t="shared" si="148"/>
        <v>7789.0853613427971</v>
      </c>
      <c r="O809" s="36">
        <v>9.2745042186513391</v>
      </c>
      <c r="P809" s="42">
        <f t="shared" si="149"/>
        <v>5458.1378691913069</v>
      </c>
      <c r="Q809" s="42"/>
      <c r="R809">
        <v>0.81911679433576468</v>
      </c>
      <c r="S809">
        <v>0.64519180883205662</v>
      </c>
    </row>
    <row r="810" spans="1:19" x14ac:dyDescent="0.25">
      <c r="A810" s="40">
        <f t="shared" si="150"/>
        <v>0</v>
      </c>
      <c r="B810" s="40">
        <f t="shared" si="151"/>
        <v>50</v>
      </c>
      <c r="C810" s="41">
        <f t="shared" si="144"/>
        <v>1.0313000000000001</v>
      </c>
      <c r="D810" s="41">
        <f t="shared" si="145"/>
        <v>0.88000000000000012</v>
      </c>
      <c r="E810" s="39">
        <f>IF(_xlfn.NORM.INV(R810,C810,'Regressão Grupo 2'!$B$7)&lt;=0,0,IF(_xlfn.NORM.INV(R810,C810,'Regressão Grupo 2'!$B$7)&gt;100%,100%,_xlfn.NORM.INV(R810,C810,'Regressão Grupo 2'!$B$7)))</f>
        <v>1</v>
      </c>
      <c r="F810" s="39">
        <f>IF(_xlfn.NORM.INV(S810,D810,'Regressão Grupo 2'!$B$7)&lt;=0,0,IF(_xlfn.NORM.INV(S810,D810,'Regressão Grupo 2'!$B$7)&gt;100%,100%,_xlfn.NORM.INV(S810,D810,'Regressão Grupo 2'!$B$7)))</f>
        <v>0.99707634862560912</v>
      </c>
      <c r="G810" s="41">
        <v>2.3773708966858906E-2</v>
      </c>
      <c r="H810" s="41">
        <v>1.9450257790923808E-2</v>
      </c>
      <c r="I810" s="40">
        <f t="shared" si="146"/>
        <v>0</v>
      </c>
      <c r="J810" s="40">
        <f t="shared" si="147"/>
        <v>387.86784036002234</v>
      </c>
      <c r="K810" s="36">
        <v>0.19268239262014353</v>
      </c>
      <c r="L810" s="42">
        <f t="shared" si="154"/>
        <v>0</v>
      </c>
      <c r="M810" s="42">
        <f t="shared" si="154"/>
        <v>20000</v>
      </c>
      <c r="N810" s="42">
        <f t="shared" si="148"/>
        <v>3853.6478524028707</v>
      </c>
      <c r="O810" s="36">
        <v>5.2943579075242253</v>
      </c>
      <c r="P810" s="42">
        <f t="shared" si="149"/>
        <v>13486.232997913816</v>
      </c>
      <c r="Q810" s="42"/>
      <c r="R810">
        <v>0.60698263496810811</v>
      </c>
      <c r="S810">
        <v>0.80141605883968625</v>
      </c>
    </row>
    <row r="811" spans="1:19" x14ac:dyDescent="0.25">
      <c r="A811" s="40">
        <f t="shared" si="150"/>
        <v>0</v>
      </c>
      <c r="B811" s="40">
        <f t="shared" si="151"/>
        <v>50</v>
      </c>
      <c r="C811" s="41">
        <f t="shared" si="144"/>
        <v>1.0313000000000001</v>
      </c>
      <c r="D811" s="41">
        <f t="shared" si="145"/>
        <v>0.88000000000000012</v>
      </c>
      <c r="E811" s="39">
        <f>IF(_xlfn.NORM.INV(R811,C811,'Regressão Grupo 2'!$B$7)&lt;=0,0,IF(_xlfn.NORM.INV(R811,C811,'Regressão Grupo 2'!$B$7)&gt;100%,100%,_xlfn.NORM.INV(R811,C811,'Regressão Grupo 2'!$B$7)))</f>
        <v>0.9503089177836832</v>
      </c>
      <c r="F811" s="39">
        <f>IF(_xlfn.NORM.INV(S811,D811,'Regressão Grupo 2'!$B$7)&lt;=0,0,IF(_xlfn.NORM.INV(S811,D811,'Regressão Grupo 2'!$B$7)&gt;100%,100%,_xlfn.NORM.INV(S811,D811,'Regressão Grupo 2'!$B$7)))</f>
        <v>0.79212584098613426</v>
      </c>
      <c r="G811" s="41">
        <v>2.697741581146644E-2</v>
      </c>
      <c r="H811" s="41">
        <v>1.5666341259126783E-2</v>
      </c>
      <c r="I811" s="40">
        <f t="shared" si="146"/>
        <v>0</v>
      </c>
      <c r="J811" s="40">
        <f t="shared" si="147"/>
        <v>248.19427490123152</v>
      </c>
      <c r="K811" s="36">
        <v>0.25046987055819775</v>
      </c>
      <c r="L811" s="42">
        <f t="shared" si="154"/>
        <v>0</v>
      </c>
      <c r="M811" s="42">
        <f t="shared" si="154"/>
        <v>20000</v>
      </c>
      <c r="N811" s="42">
        <f t="shared" si="148"/>
        <v>5009.3974111639545</v>
      </c>
      <c r="O811" s="36">
        <v>8.2209184506176012</v>
      </c>
      <c r="P811" s="42">
        <f t="shared" si="149"/>
        <v>5359.9314400244293</v>
      </c>
      <c r="Q811" s="42"/>
      <c r="R811">
        <v>0.27903073213904234</v>
      </c>
      <c r="S811">
        <v>0.26255073702200382</v>
      </c>
    </row>
    <row r="812" spans="1:19" x14ac:dyDescent="0.25">
      <c r="A812" s="40">
        <f t="shared" si="150"/>
        <v>0</v>
      </c>
      <c r="B812" s="40">
        <f t="shared" si="151"/>
        <v>50</v>
      </c>
      <c r="C812" s="41">
        <f t="shared" si="144"/>
        <v>1.0313000000000001</v>
      </c>
      <c r="D812" s="41">
        <f t="shared" si="145"/>
        <v>0.88000000000000012</v>
      </c>
      <c r="E812" s="39">
        <f>IF(_xlfn.NORM.INV(R812,C812,'Regressão Grupo 2'!$B$7)&lt;=0,0,IF(_xlfn.NORM.INV(R812,C812,'Regressão Grupo 2'!$B$7)&gt;100%,100%,_xlfn.NORM.INV(R812,C812,'Regressão Grupo 2'!$B$7)))</f>
        <v>1</v>
      </c>
      <c r="F812" s="39">
        <f>IF(_xlfn.NORM.INV(S812,D812,'Regressão Grupo 2'!$B$7)&lt;=0,0,IF(_xlfn.NORM.INV(S812,D812,'Regressão Grupo 2'!$B$7)&gt;100%,100%,_xlfn.NORM.INV(S812,D812,'Regressão Grupo 2'!$B$7)))</f>
        <v>0.8031421584854942</v>
      </c>
      <c r="G812" s="41">
        <v>1.5914071758643983E-2</v>
      </c>
      <c r="H812" s="41">
        <v>4.8458070386379285E-4</v>
      </c>
      <c r="I812" s="40">
        <f t="shared" si="146"/>
        <v>0</v>
      </c>
      <c r="J812" s="40">
        <f t="shared" si="147"/>
        <v>7.7837438492317323</v>
      </c>
      <c r="K812" s="36">
        <v>0.27674194939177477</v>
      </c>
      <c r="L812" s="42">
        <f t="shared" si="154"/>
        <v>0</v>
      </c>
      <c r="M812" s="42">
        <f t="shared" si="154"/>
        <v>20000</v>
      </c>
      <c r="N812" s="42">
        <f t="shared" si="148"/>
        <v>5534.8389878354956</v>
      </c>
      <c r="O812" s="36">
        <v>4.0902468283704136</v>
      </c>
      <c r="P812" s="42">
        <f t="shared" si="149"/>
        <v>-5177.4892289660766</v>
      </c>
      <c r="Q812" s="42"/>
      <c r="R812">
        <v>0.7653126621295816</v>
      </c>
      <c r="S812">
        <v>0.28916287728507339</v>
      </c>
    </row>
    <row r="813" spans="1:19" x14ac:dyDescent="0.25">
      <c r="A813" s="40">
        <f t="shared" si="150"/>
        <v>0</v>
      </c>
      <c r="B813" s="40">
        <f t="shared" si="151"/>
        <v>50</v>
      </c>
      <c r="C813" s="41">
        <f t="shared" si="144"/>
        <v>1.0313000000000001</v>
      </c>
      <c r="D813" s="41">
        <f t="shared" si="145"/>
        <v>0.88000000000000012</v>
      </c>
      <c r="E813" s="39">
        <f>IF(_xlfn.NORM.INV(R813,C813,'Regressão Grupo 2'!$B$7)&lt;=0,0,IF(_xlfn.NORM.INV(R813,C813,'Regressão Grupo 2'!$B$7)&gt;100%,100%,_xlfn.NORM.INV(R813,C813,'Regressão Grupo 2'!$B$7)))</f>
        <v>1</v>
      </c>
      <c r="F813" s="39">
        <f>IF(_xlfn.NORM.INV(S813,D813,'Regressão Grupo 2'!$B$7)&lt;=0,0,IF(_xlfn.NORM.INV(S813,D813,'Regressão Grupo 2'!$B$7)&gt;100%,100%,_xlfn.NORM.INV(S813,D813,'Regressão Grupo 2'!$B$7)))</f>
        <v>1</v>
      </c>
      <c r="G813" s="41">
        <v>6.5742442084650776E-3</v>
      </c>
      <c r="H813" s="41">
        <v>1.6792949838887208E-2</v>
      </c>
      <c r="I813" s="40">
        <f t="shared" si="146"/>
        <v>0</v>
      </c>
      <c r="J813" s="40">
        <f t="shared" si="147"/>
        <v>335.85899677774415</v>
      </c>
      <c r="K813" s="36">
        <v>0.28031556865652718</v>
      </c>
      <c r="L813" s="42">
        <f t="shared" si="154"/>
        <v>0</v>
      </c>
      <c r="M813" s="42">
        <f t="shared" si="154"/>
        <v>20000</v>
      </c>
      <c r="N813" s="42">
        <f t="shared" si="148"/>
        <v>5606.3113731305439</v>
      </c>
      <c r="O813" s="36">
        <v>6.1598169847482112</v>
      </c>
      <c r="P813" s="42">
        <f t="shared" si="149"/>
        <v>9117.8085129246228</v>
      </c>
      <c r="Q813" s="42"/>
      <c r="R813">
        <v>0.94500564592425307</v>
      </c>
      <c r="S813">
        <v>0.8239997558519242</v>
      </c>
    </row>
    <row r="814" spans="1:19" x14ac:dyDescent="0.25">
      <c r="A814" s="40">
        <f t="shared" si="150"/>
        <v>0</v>
      </c>
      <c r="B814" s="40">
        <f t="shared" si="151"/>
        <v>50</v>
      </c>
      <c r="C814" s="41">
        <f t="shared" si="144"/>
        <v>1.0313000000000001</v>
      </c>
      <c r="D814" s="41">
        <f t="shared" si="145"/>
        <v>0.88000000000000012</v>
      </c>
      <c r="E814" s="39">
        <f>IF(_xlfn.NORM.INV(R814,C814,'Regressão Grupo 2'!$B$7)&lt;=0,0,IF(_xlfn.NORM.INV(R814,C814,'Regressão Grupo 2'!$B$7)&gt;100%,100%,_xlfn.NORM.INV(R814,C814,'Regressão Grupo 2'!$B$7)))</f>
        <v>1</v>
      </c>
      <c r="F814" s="39">
        <f>IF(_xlfn.NORM.INV(S814,D814,'Regressão Grupo 2'!$B$7)&lt;=0,0,IF(_xlfn.NORM.INV(S814,D814,'Regressão Grupo 2'!$B$7)&gt;100%,100%,_xlfn.NORM.INV(S814,D814,'Regressão Grupo 2'!$B$7)))</f>
        <v>1</v>
      </c>
      <c r="G814" s="41">
        <v>2.4159440304553335E-2</v>
      </c>
      <c r="H814" s="41">
        <v>1.8703157085496348E-2</v>
      </c>
      <c r="I814" s="40">
        <f t="shared" si="146"/>
        <v>0</v>
      </c>
      <c r="J814" s="40">
        <f t="shared" si="147"/>
        <v>374.06314170992692</v>
      </c>
      <c r="K814" s="36">
        <v>0.30122120088224014</v>
      </c>
      <c r="L814" s="42">
        <f t="shared" si="154"/>
        <v>0</v>
      </c>
      <c r="M814" s="42">
        <f t="shared" si="154"/>
        <v>20000</v>
      </c>
      <c r="N814" s="42">
        <f t="shared" si="148"/>
        <v>6024.4240176448029</v>
      </c>
      <c r="O814" s="36">
        <v>5.9234499395211166</v>
      </c>
      <c r="P814" s="42">
        <f t="shared" si="149"/>
        <v>10462.988773712797</v>
      </c>
      <c r="Q814" s="42"/>
      <c r="R814">
        <v>0.5612353892635884</v>
      </c>
      <c r="S814">
        <v>0.98611407818842123</v>
      </c>
    </row>
    <row r="815" spans="1:19" x14ac:dyDescent="0.25">
      <c r="A815" s="40">
        <f t="shared" si="150"/>
        <v>0</v>
      </c>
      <c r="B815" s="40">
        <f t="shared" si="151"/>
        <v>50</v>
      </c>
      <c r="C815" s="41">
        <f t="shared" si="144"/>
        <v>1.0313000000000001</v>
      </c>
      <c r="D815" s="41">
        <f t="shared" si="145"/>
        <v>0.88000000000000012</v>
      </c>
      <c r="E815" s="39">
        <f>IF(_xlfn.NORM.INV(R815,C815,'Regressão Grupo 2'!$B$7)&lt;=0,0,IF(_xlfn.NORM.INV(R815,C815,'Regressão Grupo 2'!$B$7)&gt;100%,100%,_xlfn.NORM.INV(R815,C815,'Regressão Grupo 2'!$B$7)))</f>
        <v>0.75747347404746912</v>
      </c>
      <c r="F815" s="39">
        <f>IF(_xlfn.NORM.INV(S815,D815,'Regressão Grupo 2'!$B$7)&lt;=0,0,IF(_xlfn.NORM.INV(S815,D815,'Regressão Grupo 2'!$B$7)&gt;100%,100%,_xlfn.NORM.INV(S815,D815,'Regressão Grupo 2'!$B$7)))</f>
        <v>0.99991676470181745</v>
      </c>
      <c r="G815" s="41">
        <v>1.0733861852649261E-2</v>
      </c>
      <c r="H815" s="41">
        <v>2.4301759381527368E-2</v>
      </c>
      <c r="I815" s="40">
        <f t="shared" si="146"/>
        <v>0</v>
      </c>
      <c r="J815" s="40">
        <f t="shared" si="147"/>
        <v>485.99473234677777</v>
      </c>
      <c r="K815" s="36">
        <v>0.28257018111596111</v>
      </c>
      <c r="L815" s="42">
        <f t="shared" si="154"/>
        <v>0</v>
      </c>
      <c r="M815" s="42">
        <f t="shared" si="154"/>
        <v>20000</v>
      </c>
      <c r="N815" s="42">
        <f t="shared" si="148"/>
        <v>5651.4036223192224</v>
      </c>
      <c r="O815" s="36">
        <v>4.9955774431852991</v>
      </c>
      <c r="P815" s="42">
        <f t="shared" si="149"/>
        <v>16220.508672601223</v>
      </c>
      <c r="Q815" s="42"/>
      <c r="R815">
        <v>2.3834955900753806E-2</v>
      </c>
      <c r="S815">
        <v>0.80709250160222179</v>
      </c>
    </row>
    <row r="816" spans="1:19" x14ac:dyDescent="0.25">
      <c r="A816" s="40">
        <f t="shared" si="150"/>
        <v>0</v>
      </c>
      <c r="B816" s="40">
        <f t="shared" si="151"/>
        <v>50</v>
      </c>
      <c r="C816" s="41">
        <f t="shared" si="144"/>
        <v>1.0313000000000001</v>
      </c>
      <c r="D816" s="41">
        <f t="shared" si="145"/>
        <v>0.88000000000000012</v>
      </c>
      <c r="E816" s="39">
        <f>IF(_xlfn.NORM.INV(R816,C816,'Regressão Grupo 2'!$B$7)&lt;=0,0,IF(_xlfn.NORM.INV(R816,C816,'Regressão Grupo 2'!$B$7)&gt;100%,100%,_xlfn.NORM.INV(R816,C816,'Regressão Grupo 2'!$B$7)))</f>
        <v>1</v>
      </c>
      <c r="F816" s="39">
        <f>IF(_xlfn.NORM.INV(S816,D816,'Regressão Grupo 2'!$B$7)&lt;=0,0,IF(_xlfn.NORM.INV(S816,D816,'Regressão Grupo 2'!$B$7)&gt;100%,100%,_xlfn.NORM.INV(S816,D816,'Regressão Grupo 2'!$B$7)))</f>
        <v>0.8651572480588573</v>
      </c>
      <c r="G816" s="41">
        <v>1.9065915411485106E-2</v>
      </c>
      <c r="H816" s="41">
        <v>3.5964623871619331E-3</v>
      </c>
      <c r="I816" s="40">
        <f t="shared" si="146"/>
        <v>0</v>
      </c>
      <c r="J816" s="40">
        <f t="shared" si="147"/>
        <v>62.230110032484134</v>
      </c>
      <c r="K816" s="36">
        <v>0.33374703890347018</v>
      </c>
      <c r="L816" s="42">
        <f t="shared" si="154"/>
        <v>0</v>
      </c>
      <c r="M816" s="42">
        <f t="shared" si="154"/>
        <v>20000</v>
      </c>
      <c r="N816" s="42">
        <f t="shared" si="148"/>
        <v>6674.9407780694037</v>
      </c>
      <c r="O816" s="36">
        <v>5.2827427107532046</v>
      </c>
      <c r="P816" s="42">
        <f t="shared" si="149"/>
        <v>-3892.1809366086723</v>
      </c>
      <c r="Q816" s="42"/>
      <c r="R816">
        <v>0.76754051332132933</v>
      </c>
      <c r="S816">
        <v>0.45725882747886593</v>
      </c>
    </row>
    <row r="817" spans="1:19" x14ac:dyDescent="0.25">
      <c r="A817" s="40">
        <f t="shared" si="150"/>
        <v>0</v>
      </c>
      <c r="B817" s="40">
        <f t="shared" si="151"/>
        <v>50</v>
      </c>
      <c r="C817" s="41">
        <f t="shared" si="144"/>
        <v>1.0313000000000001</v>
      </c>
      <c r="D817" s="41">
        <f t="shared" si="145"/>
        <v>0.88000000000000012</v>
      </c>
      <c r="E817" s="39">
        <f>IF(_xlfn.NORM.INV(R817,C817,'Regressão Grupo 2'!$B$7)&lt;=0,0,IF(_xlfn.NORM.INV(R817,C817,'Regressão Grupo 2'!$B$7)&gt;100%,100%,_xlfn.NORM.INV(R817,C817,'Regressão Grupo 2'!$B$7)))</f>
        <v>1</v>
      </c>
      <c r="F817" s="39">
        <f>IF(_xlfn.NORM.INV(S817,D817,'Regressão Grupo 2'!$B$7)&lt;=0,0,IF(_xlfn.NORM.INV(S817,D817,'Regressão Grupo 2'!$B$7)&gt;100%,100%,_xlfn.NORM.INV(S817,D817,'Regressão Grupo 2'!$B$7)))</f>
        <v>0.95135025811592033</v>
      </c>
      <c r="G817" s="41">
        <v>1.9524852467857512E-2</v>
      </c>
      <c r="H817" s="41">
        <v>1.5804817806353504E-2</v>
      </c>
      <c r="I817" s="40">
        <f t="shared" si="146"/>
        <v>0</v>
      </c>
      <c r="J817" s="40">
        <f t="shared" si="147"/>
        <v>300.71834999099002</v>
      </c>
      <c r="K817" s="36">
        <v>0.30780142219029621</v>
      </c>
      <c r="L817" s="42">
        <f t="shared" si="154"/>
        <v>0</v>
      </c>
      <c r="M817" s="42">
        <f t="shared" si="154"/>
        <v>20000</v>
      </c>
      <c r="N817" s="42">
        <f t="shared" si="148"/>
        <v>6156.0284438059243</v>
      </c>
      <c r="O817" s="36">
        <v>8.2664125759288432</v>
      </c>
      <c r="P817" s="42">
        <f t="shared" si="149"/>
        <v>6394.0271055654848</v>
      </c>
      <c r="Q817" s="42"/>
      <c r="R817">
        <v>0.67040009765923037</v>
      </c>
      <c r="S817">
        <v>0.69707327494125182</v>
      </c>
    </row>
    <row r="818" spans="1:19" x14ac:dyDescent="0.25">
      <c r="A818" s="40">
        <f t="shared" si="150"/>
        <v>0</v>
      </c>
      <c r="B818" s="40">
        <f t="shared" si="151"/>
        <v>50</v>
      </c>
      <c r="C818" s="41">
        <f t="shared" si="144"/>
        <v>1.0313000000000001</v>
      </c>
      <c r="D818" s="41">
        <f t="shared" si="145"/>
        <v>0.88000000000000012</v>
      </c>
      <c r="E818" s="39">
        <f>IF(_xlfn.NORM.INV(R818,C818,'Regressão Grupo 2'!$B$7)&lt;=0,0,IF(_xlfn.NORM.INV(R818,C818,'Regressão Grupo 2'!$B$7)&gt;100%,100%,_xlfn.NORM.INV(R818,C818,'Regressão Grupo 2'!$B$7)))</f>
        <v>1</v>
      </c>
      <c r="F818" s="39">
        <f>IF(_xlfn.NORM.INV(S818,D818,'Regressão Grupo 2'!$B$7)&lt;=0,0,IF(_xlfn.NORM.INV(S818,D818,'Regressão Grupo 2'!$B$7)&gt;100%,100%,_xlfn.NORM.INV(S818,D818,'Regressão Grupo 2'!$B$7)))</f>
        <v>0.9387861480416434</v>
      </c>
      <c r="G818" s="41">
        <v>6.993359515459611E-3</v>
      </c>
      <c r="H818" s="41">
        <v>1.1669422857237387E-2</v>
      </c>
      <c r="I818" s="40">
        <f t="shared" si="146"/>
        <v>0</v>
      </c>
      <c r="J818" s="40">
        <f t="shared" si="147"/>
        <v>219.10185068029989</v>
      </c>
      <c r="K818" s="36">
        <v>0.4298830505205119</v>
      </c>
      <c r="L818" s="42">
        <f t="shared" si="154"/>
        <v>0</v>
      </c>
      <c r="M818" s="42">
        <f t="shared" si="154"/>
        <v>20000</v>
      </c>
      <c r="N818" s="42">
        <f t="shared" si="148"/>
        <v>8597.6610104102383</v>
      </c>
      <c r="O818" s="36">
        <v>5.6269030058524478</v>
      </c>
      <c r="P818" s="42">
        <f t="shared" si="149"/>
        <v>1124.5666614239435</v>
      </c>
      <c r="Q818" s="42"/>
      <c r="R818">
        <v>0.57930234687337867</v>
      </c>
      <c r="S818">
        <v>0.66463209936826684</v>
      </c>
    </row>
    <row r="819" spans="1:19" x14ac:dyDescent="0.25">
      <c r="A819" s="40">
        <f t="shared" si="150"/>
        <v>0</v>
      </c>
      <c r="B819" s="40">
        <f t="shared" si="151"/>
        <v>50</v>
      </c>
      <c r="C819" s="41">
        <f t="shared" si="144"/>
        <v>1.0313000000000001</v>
      </c>
      <c r="D819" s="41">
        <f t="shared" si="145"/>
        <v>0.88000000000000012</v>
      </c>
      <c r="E819" s="39">
        <f>IF(_xlfn.NORM.INV(R819,C819,'Regressão Grupo 2'!$B$7)&lt;=0,0,IF(_xlfn.NORM.INV(R819,C819,'Regressão Grupo 2'!$B$7)&gt;100%,100%,_xlfn.NORM.INV(R819,C819,'Regressão Grupo 2'!$B$7)))</f>
        <v>1</v>
      </c>
      <c r="F819" s="39">
        <f>IF(_xlfn.NORM.INV(S819,D819,'Regressão Grupo 2'!$B$7)&lt;=0,0,IF(_xlfn.NORM.INV(S819,D819,'Regressão Grupo 2'!$B$7)&gt;100%,100%,_xlfn.NORM.INV(S819,D819,'Regressão Grupo 2'!$B$7)))</f>
        <v>0.88141216927867294</v>
      </c>
      <c r="G819" s="41">
        <v>1.1549214643554949E-2</v>
      </c>
      <c r="H819" s="41">
        <v>1.3516165220897346E-2</v>
      </c>
      <c r="I819" s="40">
        <f t="shared" si="146"/>
        <v>0</v>
      </c>
      <c r="J819" s="40">
        <f t="shared" si="147"/>
        <v>238.26625015360165</v>
      </c>
      <c r="K819" s="36">
        <v>0.21191046211349746</v>
      </c>
      <c r="L819" s="42">
        <f t="shared" si="154"/>
        <v>0</v>
      </c>
      <c r="M819" s="42">
        <f t="shared" si="154"/>
        <v>20000</v>
      </c>
      <c r="N819" s="42">
        <f t="shared" si="148"/>
        <v>4238.2092422699488</v>
      </c>
      <c r="O819" s="36">
        <v>3.3603712574778415</v>
      </c>
      <c r="P819" s="42">
        <f t="shared" si="149"/>
        <v>6874.4402067669462</v>
      </c>
      <c r="Q819" s="42"/>
      <c r="R819">
        <v>0.85674611651966914</v>
      </c>
      <c r="S819">
        <v>0.50407422101504562</v>
      </c>
    </row>
    <row r="820" spans="1:19" x14ac:dyDescent="0.25">
      <c r="A820" s="40">
        <f t="shared" si="150"/>
        <v>0</v>
      </c>
      <c r="B820" s="40">
        <f t="shared" si="151"/>
        <v>50</v>
      </c>
      <c r="C820" s="41">
        <f t="shared" si="144"/>
        <v>1.0313000000000001</v>
      </c>
      <c r="D820" s="41">
        <f t="shared" si="145"/>
        <v>0.88000000000000012</v>
      </c>
      <c r="E820" s="39">
        <f>IF(_xlfn.NORM.INV(R820,C820,'Regressão Grupo 2'!$B$7)&lt;=0,0,IF(_xlfn.NORM.INV(R820,C820,'Regressão Grupo 2'!$B$7)&gt;100%,100%,_xlfn.NORM.INV(R820,C820,'Regressão Grupo 2'!$B$7)))</f>
        <v>1</v>
      </c>
      <c r="F820" s="39">
        <f>IF(_xlfn.NORM.INV(S820,D820,'Regressão Grupo 2'!$B$7)&lt;=0,0,IF(_xlfn.NORM.INV(S820,D820,'Regressão Grupo 2'!$B$7)&gt;100%,100%,_xlfn.NORM.INV(S820,D820,'Regressão Grupo 2'!$B$7)))</f>
        <v>1</v>
      </c>
      <c r="G820" s="41">
        <v>2.2864574330282206E-2</v>
      </c>
      <c r="H820" s="41">
        <v>2.6755406915935611E-2</v>
      </c>
      <c r="I820" s="40">
        <f t="shared" si="146"/>
        <v>0</v>
      </c>
      <c r="J820" s="40">
        <f t="shared" si="147"/>
        <v>535.10813831871224</v>
      </c>
      <c r="K820" s="36">
        <v>0.21182207784469873</v>
      </c>
      <c r="L820" s="42">
        <f t="shared" si="154"/>
        <v>0</v>
      </c>
      <c r="M820" s="42">
        <f t="shared" si="154"/>
        <v>20000</v>
      </c>
      <c r="N820" s="42">
        <f t="shared" si="148"/>
        <v>4236.4415568939748</v>
      </c>
      <c r="O820" s="36">
        <v>4.6666393179285812</v>
      </c>
      <c r="P820" s="42">
        <f t="shared" si="149"/>
        <v>20021.808681419971</v>
      </c>
      <c r="Q820" s="42"/>
      <c r="R820">
        <v>0.68745994445631275</v>
      </c>
      <c r="S820">
        <v>0.87188329721976376</v>
      </c>
    </row>
    <row r="821" spans="1:19" x14ac:dyDescent="0.25">
      <c r="A821" s="40">
        <f t="shared" si="150"/>
        <v>0</v>
      </c>
      <c r="B821" s="40">
        <f t="shared" si="151"/>
        <v>50</v>
      </c>
      <c r="C821" s="41">
        <f t="shared" si="144"/>
        <v>1.0313000000000001</v>
      </c>
      <c r="D821" s="41">
        <f t="shared" si="145"/>
        <v>0.88000000000000012</v>
      </c>
      <c r="E821" s="39">
        <f>IF(_xlfn.NORM.INV(R821,C821,'Regressão Grupo 2'!$B$7)&lt;=0,0,IF(_xlfn.NORM.INV(R821,C821,'Regressão Grupo 2'!$B$7)&gt;100%,100%,_xlfn.NORM.INV(R821,C821,'Regressão Grupo 2'!$B$7)))</f>
        <v>0.95167372910179515</v>
      </c>
      <c r="F821" s="39">
        <f>IF(_xlfn.NORM.INV(S821,D821,'Regressão Grupo 2'!$B$7)&lt;=0,0,IF(_xlfn.NORM.INV(S821,D821,'Regressão Grupo 2'!$B$7)&gt;100%,100%,_xlfn.NORM.INV(S821,D821,'Regressão Grupo 2'!$B$7)))</f>
        <v>0.74087348370663753</v>
      </c>
      <c r="G821" s="41">
        <v>1.70260199119481E-2</v>
      </c>
      <c r="H821" s="41">
        <v>1.5704145256035307E-2</v>
      </c>
      <c r="I821" s="40">
        <f t="shared" si="146"/>
        <v>0</v>
      </c>
      <c r="J821" s="40">
        <f t="shared" si="147"/>
        <v>232.69569608947884</v>
      </c>
      <c r="K821" s="36">
        <v>0.42149117722251689</v>
      </c>
      <c r="L821" s="42">
        <f t="shared" si="154"/>
        <v>0</v>
      </c>
      <c r="M821" s="42">
        <f t="shared" si="154"/>
        <v>20000</v>
      </c>
      <c r="N821" s="42">
        <f t="shared" si="148"/>
        <v>8429.8235444503371</v>
      </c>
      <c r="O821" s="36">
        <v>5.7837888988681012</v>
      </c>
      <c r="P821" s="42">
        <f t="shared" si="149"/>
        <v>1859.0984761668915</v>
      </c>
      <c r="Q821" s="42"/>
      <c r="R821">
        <v>0.28235724967192605</v>
      </c>
      <c r="S821">
        <v>0.15717032380138554</v>
      </c>
    </row>
    <row r="822" spans="1:19" x14ac:dyDescent="0.25">
      <c r="A822" s="40">
        <f t="shared" si="150"/>
        <v>0</v>
      </c>
      <c r="B822" s="40">
        <f t="shared" si="151"/>
        <v>50</v>
      </c>
      <c r="C822" s="41">
        <f t="shared" si="144"/>
        <v>1.0313000000000001</v>
      </c>
      <c r="D822" s="41">
        <f t="shared" si="145"/>
        <v>0.88000000000000012</v>
      </c>
      <c r="E822" s="39">
        <f>IF(_xlfn.NORM.INV(R822,C822,'Regressão Grupo 2'!$B$7)&lt;=0,0,IF(_xlfn.NORM.INV(R822,C822,'Regressão Grupo 2'!$B$7)&gt;100%,100%,_xlfn.NORM.INV(R822,C822,'Regressão Grupo 2'!$B$7)))</f>
        <v>1</v>
      </c>
      <c r="F822" s="39">
        <f>IF(_xlfn.NORM.INV(S822,D822,'Regressão Grupo 2'!$B$7)&lt;=0,0,IF(_xlfn.NORM.INV(S822,D822,'Regressão Grupo 2'!$B$7)&gt;100%,100%,_xlfn.NORM.INV(S822,D822,'Regressão Grupo 2'!$B$7)))</f>
        <v>0.8598254221769116</v>
      </c>
      <c r="G822" s="41">
        <v>2.4422558930595934E-2</v>
      </c>
      <c r="H822" s="41">
        <v>2.6411030673487875E-2</v>
      </c>
      <c r="I822" s="40">
        <f t="shared" si="146"/>
        <v>0</v>
      </c>
      <c r="J822" s="40">
        <f t="shared" si="147"/>
        <v>454.17751197918147</v>
      </c>
      <c r="K822" s="36">
        <v>0.30859889446087541</v>
      </c>
      <c r="L822" s="42">
        <f t="shared" si="154"/>
        <v>0</v>
      </c>
      <c r="M822" s="42">
        <f t="shared" si="154"/>
        <v>20000</v>
      </c>
      <c r="N822" s="42">
        <f t="shared" si="148"/>
        <v>6171.9778892175082</v>
      </c>
      <c r="O822" s="36">
        <v>5.8753770292380896</v>
      </c>
      <c r="P822" s="42">
        <f t="shared" si="149"/>
        <v>13868.433588662578</v>
      </c>
      <c r="Q822" s="42"/>
      <c r="R822">
        <v>0.72118289742728969</v>
      </c>
      <c r="S822">
        <v>0.44199957274086732</v>
      </c>
    </row>
    <row r="823" spans="1:19" x14ac:dyDescent="0.25">
      <c r="A823" s="40">
        <f t="shared" si="150"/>
        <v>0</v>
      </c>
      <c r="B823" s="40">
        <f t="shared" si="151"/>
        <v>50</v>
      </c>
      <c r="C823" s="41">
        <f t="shared" si="144"/>
        <v>1.0313000000000001</v>
      </c>
      <c r="D823" s="41">
        <f t="shared" si="145"/>
        <v>0.88000000000000012</v>
      </c>
      <c r="E823" s="39">
        <f>IF(_xlfn.NORM.INV(R823,C823,'Regressão Grupo 2'!$B$7)&lt;=0,0,IF(_xlfn.NORM.INV(R823,C823,'Regressão Grupo 2'!$B$7)&gt;100%,100%,_xlfn.NORM.INV(R823,C823,'Regressão Grupo 2'!$B$7)))</f>
        <v>1</v>
      </c>
      <c r="F823" s="39">
        <f>IF(_xlfn.NORM.INV(S823,D823,'Regressão Grupo 2'!$B$7)&lt;=0,0,IF(_xlfn.NORM.INV(S823,D823,'Regressão Grupo 2'!$B$7)&gt;100%,100%,_xlfn.NORM.INV(S823,D823,'Regressão Grupo 2'!$B$7)))</f>
        <v>1</v>
      </c>
      <c r="G823" s="41">
        <v>1.3561783398097764E-2</v>
      </c>
      <c r="H823" s="41">
        <v>1.220467311207279E-2</v>
      </c>
      <c r="I823" s="40">
        <f t="shared" si="146"/>
        <v>0</v>
      </c>
      <c r="J823" s="40">
        <f t="shared" si="147"/>
        <v>244.0934622414558</v>
      </c>
      <c r="K823" s="36">
        <v>0.40031236319715746</v>
      </c>
      <c r="L823" s="42">
        <f t="shared" ref="L823:M838" si="155">L822</f>
        <v>0</v>
      </c>
      <c r="M823" s="42">
        <f t="shared" si="155"/>
        <v>20000</v>
      </c>
      <c r="N823" s="42">
        <f t="shared" si="148"/>
        <v>8006.2472639431489</v>
      </c>
      <c r="O823" s="36">
        <v>4.313398985489961</v>
      </c>
      <c r="P823" s="42">
        <f t="shared" si="149"/>
        <v>3145.5533557326125</v>
      </c>
      <c r="Q823" s="42"/>
      <c r="R823">
        <v>0.60698263496810811</v>
      </c>
      <c r="S823">
        <v>0.93188268684957432</v>
      </c>
    </row>
    <row r="824" spans="1:19" x14ac:dyDescent="0.25">
      <c r="A824" s="40">
        <f t="shared" si="150"/>
        <v>0</v>
      </c>
      <c r="B824" s="40">
        <f t="shared" si="151"/>
        <v>50</v>
      </c>
      <c r="C824" s="41">
        <f t="shared" si="144"/>
        <v>1.0313000000000001</v>
      </c>
      <c r="D824" s="41">
        <f t="shared" si="145"/>
        <v>0.88000000000000012</v>
      </c>
      <c r="E824" s="39">
        <f>IF(_xlfn.NORM.INV(R824,C824,'Regressão Grupo 2'!$B$7)&lt;=0,0,IF(_xlfn.NORM.INV(R824,C824,'Regressão Grupo 2'!$B$7)&gt;100%,100%,_xlfn.NORM.INV(R824,C824,'Regressão Grupo 2'!$B$7)))</f>
        <v>1</v>
      </c>
      <c r="F824" s="39">
        <f>IF(_xlfn.NORM.INV(S824,D824,'Regressão Grupo 2'!$B$7)&lt;=0,0,IF(_xlfn.NORM.INV(S824,D824,'Regressão Grupo 2'!$B$7)&gt;100%,100%,_xlfn.NORM.INV(S824,D824,'Regressão Grupo 2'!$B$7)))</f>
        <v>1</v>
      </c>
      <c r="G824" s="41">
        <v>2.1309702054512304E-2</v>
      </c>
      <c r="H824" s="41">
        <v>7.0009315415843895E-3</v>
      </c>
      <c r="I824" s="40">
        <f t="shared" si="146"/>
        <v>0</v>
      </c>
      <c r="J824" s="40">
        <f t="shared" si="147"/>
        <v>140.0186308316878</v>
      </c>
      <c r="K824" s="36">
        <v>0.32766355555948862</v>
      </c>
      <c r="L824" s="42">
        <f t="shared" si="155"/>
        <v>0</v>
      </c>
      <c r="M824" s="42">
        <f t="shared" si="155"/>
        <v>20000</v>
      </c>
      <c r="N824" s="42">
        <f t="shared" si="148"/>
        <v>6553.2711111897725</v>
      </c>
      <c r="O824" s="36">
        <v>3.3799102197342874</v>
      </c>
      <c r="P824" s="42">
        <f t="shared" si="149"/>
        <v>-25.58997090660614</v>
      </c>
      <c r="Q824" s="42"/>
      <c r="R824">
        <v>0.59080782494582962</v>
      </c>
      <c r="S824">
        <v>0.93353068636127812</v>
      </c>
    </row>
    <row r="825" spans="1:19" x14ac:dyDescent="0.25">
      <c r="A825" s="40">
        <f t="shared" si="150"/>
        <v>0</v>
      </c>
      <c r="B825" s="40">
        <f t="shared" si="151"/>
        <v>50</v>
      </c>
      <c r="C825" s="41">
        <f t="shared" si="144"/>
        <v>1.0313000000000001</v>
      </c>
      <c r="D825" s="41">
        <f t="shared" si="145"/>
        <v>0.88000000000000012</v>
      </c>
      <c r="E825" s="39">
        <f>IF(_xlfn.NORM.INV(R825,C825,'Regressão Grupo 2'!$B$7)&lt;=0,0,IF(_xlfn.NORM.INV(R825,C825,'Regressão Grupo 2'!$B$7)&gt;100%,100%,_xlfn.NORM.INV(R825,C825,'Regressão Grupo 2'!$B$7)))</f>
        <v>1</v>
      </c>
      <c r="F825" s="39">
        <f>IF(_xlfn.NORM.INV(S825,D825,'Regressão Grupo 2'!$B$7)&lt;=0,0,IF(_xlfn.NORM.INV(S825,D825,'Regressão Grupo 2'!$B$7)&gt;100%,100%,_xlfn.NORM.INV(S825,D825,'Regressão Grupo 2'!$B$7)))</f>
        <v>0.90329105534817922</v>
      </c>
      <c r="G825" s="41">
        <v>2.0637180611897607E-2</v>
      </c>
      <c r="H825" s="41">
        <v>2.2735741036147266E-2</v>
      </c>
      <c r="I825" s="40">
        <f t="shared" si="146"/>
        <v>0</v>
      </c>
      <c r="J825" s="40">
        <f t="shared" si="147"/>
        <v>410.73983029328741</v>
      </c>
      <c r="K825" s="36">
        <v>0.30977245554565863</v>
      </c>
      <c r="L825" s="42">
        <f t="shared" si="155"/>
        <v>0</v>
      </c>
      <c r="M825" s="42">
        <f t="shared" si="155"/>
        <v>20000</v>
      </c>
      <c r="N825" s="42">
        <f t="shared" si="148"/>
        <v>6195.4491109131723</v>
      </c>
      <c r="O825" s="36">
        <v>5.0630733967634383</v>
      </c>
      <c r="P825" s="42">
        <f t="shared" si="149"/>
        <v>12261.936496002125</v>
      </c>
      <c r="Q825" s="42"/>
      <c r="R825">
        <v>0.78633991515854362</v>
      </c>
      <c r="S825">
        <v>0.56688131351664783</v>
      </c>
    </row>
    <row r="826" spans="1:19" x14ac:dyDescent="0.25">
      <c r="A826" s="40">
        <f t="shared" si="150"/>
        <v>0</v>
      </c>
      <c r="B826" s="40">
        <f t="shared" si="151"/>
        <v>50</v>
      </c>
      <c r="C826" s="41">
        <f t="shared" si="144"/>
        <v>1.0313000000000001</v>
      </c>
      <c r="D826" s="41">
        <f t="shared" si="145"/>
        <v>0.88000000000000012</v>
      </c>
      <c r="E826" s="39">
        <f>IF(_xlfn.NORM.INV(R826,C826,'Regressão Grupo 2'!$B$7)&lt;=0,0,IF(_xlfn.NORM.INV(R826,C826,'Regressão Grupo 2'!$B$7)&gt;100%,100%,_xlfn.NORM.INV(R826,C826,'Regressão Grupo 2'!$B$7)))</f>
        <v>1</v>
      </c>
      <c r="F826" s="39">
        <f>IF(_xlfn.NORM.INV(S826,D826,'Regressão Grupo 2'!$B$7)&lt;=0,0,IF(_xlfn.NORM.INV(S826,D826,'Regressão Grupo 2'!$B$7)&gt;100%,100%,_xlfn.NORM.INV(S826,D826,'Regressão Grupo 2'!$B$7)))</f>
        <v>0.84565823673311913</v>
      </c>
      <c r="G826" s="41">
        <v>2.1091406277298018E-2</v>
      </c>
      <c r="H826" s="41">
        <v>1.1712658634149671E-2</v>
      </c>
      <c r="I826" s="40">
        <f t="shared" si="146"/>
        <v>0</v>
      </c>
      <c r="J826" s="40">
        <f t="shared" si="147"/>
        <v>198.09812496023909</v>
      </c>
      <c r="K826" s="36">
        <v>0.24346223306281223</v>
      </c>
      <c r="L826" s="42">
        <f t="shared" si="155"/>
        <v>0</v>
      </c>
      <c r="M826" s="42">
        <f t="shared" si="155"/>
        <v>20000</v>
      </c>
      <c r="N826" s="42">
        <f t="shared" si="148"/>
        <v>4869.2446612562444</v>
      </c>
      <c r="O826" s="36">
        <v>6.261741833220225</v>
      </c>
      <c r="P826" s="42">
        <f t="shared" si="149"/>
        <v>3795.2222706096918</v>
      </c>
      <c r="Q826" s="42"/>
      <c r="R826">
        <v>0.76238288521988584</v>
      </c>
      <c r="S826">
        <v>0.40192876979888303</v>
      </c>
    </row>
    <row r="827" spans="1:19" x14ac:dyDescent="0.25">
      <c r="A827" s="40">
        <f t="shared" si="150"/>
        <v>0</v>
      </c>
      <c r="B827" s="40">
        <f t="shared" si="151"/>
        <v>50</v>
      </c>
      <c r="C827" s="41">
        <f t="shared" si="144"/>
        <v>1.0313000000000001</v>
      </c>
      <c r="D827" s="41">
        <f t="shared" si="145"/>
        <v>0.88000000000000012</v>
      </c>
      <c r="E827" s="39">
        <f>IF(_xlfn.NORM.INV(R827,C827,'Regressão Grupo 2'!$B$7)&lt;=0,0,IF(_xlfn.NORM.INV(R827,C827,'Regressão Grupo 2'!$B$7)&gt;100%,100%,_xlfn.NORM.INV(R827,C827,'Regressão Grupo 2'!$B$7)))</f>
        <v>1</v>
      </c>
      <c r="F827" s="39">
        <f>IF(_xlfn.NORM.INV(S827,D827,'Regressão Grupo 2'!$B$7)&lt;=0,0,IF(_xlfn.NORM.INV(S827,D827,'Regressão Grupo 2'!$B$7)&gt;100%,100%,_xlfn.NORM.INV(S827,D827,'Regressão Grupo 2'!$B$7)))</f>
        <v>0.77628091463880411</v>
      </c>
      <c r="G827" s="41">
        <v>1.2115283632032254E-2</v>
      </c>
      <c r="H827" s="41">
        <v>1.5678271082835666E-2</v>
      </c>
      <c r="I827" s="40">
        <f t="shared" si="146"/>
        <v>0</v>
      </c>
      <c r="J827" s="40">
        <f t="shared" si="147"/>
        <v>243.41485232277569</v>
      </c>
      <c r="K827" s="36">
        <v>0.41253512951458304</v>
      </c>
      <c r="L827" s="42">
        <f t="shared" si="155"/>
        <v>0</v>
      </c>
      <c r="M827" s="42">
        <f t="shared" si="155"/>
        <v>20000</v>
      </c>
      <c r="N827" s="42">
        <f t="shared" si="148"/>
        <v>8250.7025902916612</v>
      </c>
      <c r="O827" s="36">
        <v>5.7364711009460443</v>
      </c>
      <c r="P827" s="42">
        <f t="shared" si="149"/>
        <v>2523.6977599564725</v>
      </c>
      <c r="Q827" s="42"/>
      <c r="R827">
        <v>0.79311502426221503</v>
      </c>
      <c r="S827">
        <v>0.22659993285927915</v>
      </c>
    </row>
    <row r="828" spans="1:19" x14ac:dyDescent="0.25">
      <c r="A828" s="40">
        <f t="shared" si="150"/>
        <v>0</v>
      </c>
      <c r="B828" s="40">
        <f t="shared" si="151"/>
        <v>50</v>
      </c>
      <c r="C828" s="41">
        <f t="shared" si="144"/>
        <v>1.0313000000000001</v>
      </c>
      <c r="D828" s="41">
        <f t="shared" si="145"/>
        <v>0.88000000000000012</v>
      </c>
      <c r="E828" s="39">
        <f>IF(_xlfn.NORM.INV(R828,C828,'Regressão Grupo 2'!$B$7)&lt;=0,0,IF(_xlfn.NORM.INV(R828,C828,'Regressão Grupo 2'!$B$7)&gt;100%,100%,_xlfn.NORM.INV(R828,C828,'Regressão Grupo 2'!$B$7)))</f>
        <v>1</v>
      </c>
      <c r="F828" s="39">
        <f>IF(_xlfn.NORM.INV(S828,D828,'Regressão Grupo 2'!$B$7)&lt;=0,0,IF(_xlfn.NORM.INV(S828,D828,'Regressão Grupo 2'!$B$7)&gt;100%,100%,_xlfn.NORM.INV(S828,D828,'Regressão Grupo 2'!$B$7)))</f>
        <v>0.81237032411366217</v>
      </c>
      <c r="G828" s="41">
        <v>2.2160971097997258E-2</v>
      </c>
      <c r="H828" s="41">
        <v>4.9257027410290356E-3</v>
      </c>
      <c r="I828" s="40">
        <f t="shared" si="146"/>
        <v>0</v>
      </c>
      <c r="J828" s="40">
        <f t="shared" si="147"/>
        <v>80.029894644346228</v>
      </c>
      <c r="K828" s="36">
        <v>0.29482487958064618</v>
      </c>
      <c r="L828" s="42">
        <f t="shared" si="155"/>
        <v>0</v>
      </c>
      <c r="M828" s="42">
        <f t="shared" si="155"/>
        <v>20000</v>
      </c>
      <c r="N828" s="42">
        <f t="shared" si="148"/>
        <v>5896.4975916129233</v>
      </c>
      <c r="O828" s="36">
        <v>5.0285235335836047</v>
      </c>
      <c r="P828" s="42">
        <f t="shared" si="149"/>
        <v>-2297.4350680049233</v>
      </c>
      <c r="Q828" s="42"/>
      <c r="R828">
        <v>0.99505600146488848</v>
      </c>
      <c r="S828">
        <v>0.31238746299630726</v>
      </c>
    </row>
    <row r="829" spans="1:19" x14ac:dyDescent="0.25">
      <c r="A829" s="40">
        <f t="shared" si="150"/>
        <v>0</v>
      </c>
      <c r="B829" s="40">
        <f t="shared" si="151"/>
        <v>50</v>
      </c>
      <c r="C829" s="41">
        <f t="shared" si="144"/>
        <v>1.0313000000000001</v>
      </c>
      <c r="D829" s="41">
        <f t="shared" si="145"/>
        <v>0.88000000000000012</v>
      </c>
      <c r="E829" s="39">
        <f>IF(_xlfn.NORM.INV(R829,C829,'Regressão Grupo 2'!$B$7)&lt;=0,0,IF(_xlfn.NORM.INV(R829,C829,'Regressão Grupo 2'!$B$7)&gt;100%,100%,_xlfn.NORM.INV(R829,C829,'Regressão Grupo 2'!$B$7)))</f>
        <v>1</v>
      </c>
      <c r="F829" s="39">
        <f>IF(_xlfn.NORM.INV(S829,D829,'Regressão Grupo 2'!$B$7)&lt;=0,0,IF(_xlfn.NORM.INV(S829,D829,'Regressão Grupo 2'!$B$7)&gt;100%,100%,_xlfn.NORM.INV(S829,D829,'Regressão Grupo 2'!$B$7)))</f>
        <v>1</v>
      </c>
      <c r="G829" s="41">
        <v>2.8101731672878105E-2</v>
      </c>
      <c r="H829" s="41">
        <v>2.5566441204192027E-2</v>
      </c>
      <c r="I829" s="40">
        <f t="shared" si="146"/>
        <v>0</v>
      </c>
      <c r="J829" s="40">
        <f t="shared" si="147"/>
        <v>511.32882408384052</v>
      </c>
      <c r="K829" s="36">
        <v>0.26622674420836229</v>
      </c>
      <c r="L829" s="42">
        <f t="shared" si="155"/>
        <v>0</v>
      </c>
      <c r="M829" s="42">
        <f t="shared" si="155"/>
        <v>20000</v>
      </c>
      <c r="N829" s="42">
        <f t="shared" si="148"/>
        <v>5324.5348841672458</v>
      </c>
      <c r="O829" s="36">
        <v>8.0176664414207472</v>
      </c>
      <c r="P829" s="42">
        <f t="shared" si="149"/>
        <v>16142.242366636638</v>
      </c>
      <c r="Q829" s="42"/>
      <c r="R829">
        <v>0.50376903592028566</v>
      </c>
      <c r="S829">
        <v>0.96572771385845513</v>
      </c>
    </row>
    <row r="830" spans="1:19" x14ac:dyDescent="0.25">
      <c r="A830" s="40">
        <f t="shared" si="150"/>
        <v>0</v>
      </c>
      <c r="B830" s="40">
        <f t="shared" si="151"/>
        <v>50</v>
      </c>
      <c r="C830" s="41">
        <f t="shared" si="144"/>
        <v>1.0313000000000001</v>
      </c>
      <c r="D830" s="41">
        <f t="shared" si="145"/>
        <v>0.88000000000000012</v>
      </c>
      <c r="E830" s="39">
        <f>IF(_xlfn.NORM.INV(R830,C830,'Regressão Grupo 2'!$B$7)&lt;=0,0,IF(_xlfn.NORM.INV(R830,C830,'Regressão Grupo 2'!$B$7)&gt;100%,100%,_xlfn.NORM.INV(R830,C830,'Regressão Grupo 2'!$B$7)))</f>
        <v>1</v>
      </c>
      <c r="F830" s="39">
        <f>IF(_xlfn.NORM.INV(S830,D830,'Regressão Grupo 2'!$B$7)&lt;=0,0,IF(_xlfn.NORM.INV(S830,D830,'Regressão Grupo 2'!$B$7)&gt;100%,100%,_xlfn.NORM.INV(S830,D830,'Regressão Grupo 2'!$B$7)))</f>
        <v>1</v>
      </c>
      <c r="G830" s="41">
        <v>1.8927125676355638E-2</v>
      </c>
      <c r="H830" s="41">
        <v>1.8089998913855068E-2</v>
      </c>
      <c r="I830" s="40">
        <f t="shared" si="146"/>
        <v>0</v>
      </c>
      <c r="J830" s="40">
        <f t="shared" si="147"/>
        <v>361.79997827710133</v>
      </c>
      <c r="K830" s="36">
        <v>0.21159321594537789</v>
      </c>
      <c r="L830" s="42">
        <f t="shared" si="155"/>
        <v>0</v>
      </c>
      <c r="M830" s="42">
        <f t="shared" si="155"/>
        <v>20000</v>
      </c>
      <c r="N830" s="42">
        <f t="shared" si="148"/>
        <v>4231.8643189075574</v>
      </c>
      <c r="O830" s="36">
        <v>5.3610572047583949</v>
      </c>
      <c r="P830" s="42">
        <f t="shared" si="149"/>
        <v>11918.504214723624</v>
      </c>
      <c r="Q830" s="42"/>
      <c r="R830">
        <v>0.57271034882656335</v>
      </c>
      <c r="S830">
        <v>0.97006134220404672</v>
      </c>
    </row>
    <row r="831" spans="1:19" x14ac:dyDescent="0.25">
      <c r="A831" s="40">
        <f t="shared" si="150"/>
        <v>0</v>
      </c>
      <c r="B831" s="40">
        <f t="shared" si="151"/>
        <v>50</v>
      </c>
      <c r="C831" s="41">
        <f t="shared" si="144"/>
        <v>1.0313000000000001</v>
      </c>
      <c r="D831" s="41">
        <f t="shared" si="145"/>
        <v>0.88000000000000012</v>
      </c>
      <c r="E831" s="39">
        <f>IF(_xlfn.NORM.INV(R831,C831,'Regressão Grupo 2'!$B$7)&lt;=0,0,IF(_xlfn.NORM.INV(R831,C831,'Regressão Grupo 2'!$B$7)&gt;100%,100%,_xlfn.NORM.INV(R831,C831,'Regressão Grupo 2'!$B$7)))</f>
        <v>0.77655574947268347</v>
      </c>
      <c r="F831" s="39">
        <f>IF(_xlfn.NORM.INV(S831,D831,'Regressão Grupo 2'!$B$7)&lt;=0,0,IF(_xlfn.NORM.INV(S831,D831,'Regressão Grupo 2'!$B$7)&gt;100%,100%,_xlfn.NORM.INV(S831,D831,'Regressão Grupo 2'!$B$7)))</f>
        <v>1</v>
      </c>
      <c r="G831" s="41">
        <v>1.7238378300189396E-2</v>
      </c>
      <c r="H831" s="41">
        <v>1.0765497060162251E-2</v>
      </c>
      <c r="I831" s="40">
        <f t="shared" si="146"/>
        <v>0</v>
      </c>
      <c r="J831" s="40">
        <f t="shared" si="147"/>
        <v>215.30994120324502</v>
      </c>
      <c r="K831" s="36">
        <v>0.4128813744226566</v>
      </c>
      <c r="L831" s="42">
        <f t="shared" si="155"/>
        <v>0</v>
      </c>
      <c r="M831" s="42">
        <f t="shared" si="155"/>
        <v>20000</v>
      </c>
      <c r="N831" s="42">
        <f t="shared" si="148"/>
        <v>8257.6274884531322</v>
      </c>
      <c r="O831" s="36">
        <v>8.7146437512400095</v>
      </c>
      <c r="P831" s="42">
        <f t="shared" si="149"/>
        <v>631.52013802240617</v>
      </c>
      <c r="Q831" s="42"/>
      <c r="R831">
        <v>3.271584215826899E-2</v>
      </c>
      <c r="S831">
        <v>0.85168004394665364</v>
      </c>
    </row>
    <row r="832" spans="1:19" x14ac:dyDescent="0.25">
      <c r="A832" s="40">
        <f t="shared" si="150"/>
        <v>0</v>
      </c>
      <c r="B832" s="40">
        <f t="shared" si="151"/>
        <v>50</v>
      </c>
      <c r="C832" s="41">
        <f t="shared" si="144"/>
        <v>1.0313000000000001</v>
      </c>
      <c r="D832" s="41">
        <f t="shared" si="145"/>
        <v>0.88000000000000012</v>
      </c>
      <c r="E832" s="39">
        <f>IF(_xlfn.NORM.INV(R832,C832,'Regressão Grupo 2'!$B$7)&lt;=0,0,IF(_xlfn.NORM.INV(R832,C832,'Regressão Grupo 2'!$B$7)&gt;100%,100%,_xlfn.NORM.INV(R832,C832,'Regressão Grupo 2'!$B$7)))</f>
        <v>1</v>
      </c>
      <c r="F832" s="39">
        <f>IF(_xlfn.NORM.INV(S832,D832,'Regressão Grupo 2'!$B$7)&lt;=0,0,IF(_xlfn.NORM.INV(S832,D832,'Regressão Grupo 2'!$B$7)&gt;100%,100%,_xlfn.NORM.INV(S832,D832,'Regressão Grupo 2'!$B$7)))</f>
        <v>1</v>
      </c>
      <c r="G832" s="41">
        <v>1.6960668335917691E-2</v>
      </c>
      <c r="H832" s="41">
        <v>2.1592804972508033E-2</v>
      </c>
      <c r="I832" s="40">
        <f t="shared" si="146"/>
        <v>0</v>
      </c>
      <c r="J832" s="40">
        <f t="shared" si="147"/>
        <v>431.85609945016063</v>
      </c>
      <c r="K832" s="36">
        <v>0.29796863342137203</v>
      </c>
      <c r="L832" s="42">
        <f t="shared" si="155"/>
        <v>0</v>
      </c>
      <c r="M832" s="42">
        <f t="shared" si="155"/>
        <v>20000</v>
      </c>
      <c r="N832" s="42">
        <f t="shared" si="148"/>
        <v>5959.3726684274407</v>
      </c>
      <c r="O832" s="36">
        <v>5.8600989390592577</v>
      </c>
      <c r="P832" s="42">
        <f t="shared" si="149"/>
        <v>13102.712833866433</v>
      </c>
      <c r="Q832" s="42"/>
      <c r="R832">
        <v>0.56086916714987645</v>
      </c>
      <c r="S832">
        <v>0.87411114841151161</v>
      </c>
    </row>
    <row r="833" spans="1:19" x14ac:dyDescent="0.25">
      <c r="A833" s="40">
        <f t="shared" si="150"/>
        <v>0</v>
      </c>
      <c r="B833" s="40">
        <f t="shared" si="151"/>
        <v>50</v>
      </c>
      <c r="C833" s="41">
        <f t="shared" si="144"/>
        <v>1.0313000000000001</v>
      </c>
      <c r="D833" s="41">
        <f t="shared" si="145"/>
        <v>0.88000000000000012</v>
      </c>
      <c r="E833" s="39">
        <f>IF(_xlfn.NORM.INV(R833,C833,'Regressão Grupo 2'!$B$7)&lt;=0,0,IF(_xlfn.NORM.INV(R833,C833,'Regressão Grupo 2'!$B$7)&gt;100%,100%,_xlfn.NORM.INV(R833,C833,'Regressão Grupo 2'!$B$7)))</f>
        <v>0.95672787039336227</v>
      </c>
      <c r="F833" s="39">
        <f>IF(_xlfn.NORM.INV(S833,D833,'Regressão Grupo 2'!$B$7)&lt;=0,0,IF(_xlfn.NORM.INV(S833,D833,'Regressão Grupo 2'!$B$7)&gt;100%,100%,_xlfn.NORM.INV(S833,D833,'Regressão Grupo 2'!$B$7)))</f>
        <v>0.84569096329882643</v>
      </c>
      <c r="G833" s="41">
        <v>1.5237858300694393E-2</v>
      </c>
      <c r="H833" s="41">
        <v>1.8209983614139631E-2</v>
      </c>
      <c r="I833" s="40">
        <f t="shared" si="146"/>
        <v>0</v>
      </c>
      <c r="J833" s="40">
        <f t="shared" si="147"/>
        <v>308.00037168595179</v>
      </c>
      <c r="K833" s="36">
        <v>0.14807143165330872</v>
      </c>
      <c r="L833" s="42">
        <f t="shared" si="155"/>
        <v>0</v>
      </c>
      <c r="M833" s="42">
        <f t="shared" si="155"/>
        <v>20000</v>
      </c>
      <c r="N833" s="42">
        <f t="shared" si="148"/>
        <v>2961.4286330661744</v>
      </c>
      <c r="O833" s="36">
        <v>5.6024027924944759</v>
      </c>
      <c r="P833" s="42">
        <f t="shared" si="149"/>
        <v>10713.047808808702</v>
      </c>
      <c r="Q833" s="42"/>
      <c r="R833">
        <v>0.29483932004760888</v>
      </c>
      <c r="S833">
        <v>0.40202032532731102</v>
      </c>
    </row>
    <row r="834" spans="1:19" x14ac:dyDescent="0.25">
      <c r="A834" s="40">
        <f t="shared" si="150"/>
        <v>0</v>
      </c>
      <c r="B834" s="40">
        <f t="shared" si="151"/>
        <v>50</v>
      </c>
      <c r="C834" s="41">
        <f t="shared" si="144"/>
        <v>1.0313000000000001</v>
      </c>
      <c r="D834" s="41">
        <f t="shared" si="145"/>
        <v>0.88000000000000012</v>
      </c>
      <c r="E834" s="39">
        <f>IF(_xlfn.NORM.INV(R834,C834,'Regressão Grupo 2'!$B$7)&lt;=0,0,IF(_xlfn.NORM.INV(R834,C834,'Regressão Grupo 2'!$B$7)&gt;100%,100%,_xlfn.NORM.INV(R834,C834,'Regressão Grupo 2'!$B$7)))</f>
        <v>0.86903824229957993</v>
      </c>
      <c r="F834" s="39">
        <f>IF(_xlfn.NORM.INV(S834,D834,'Regressão Grupo 2'!$B$7)&lt;=0,0,IF(_xlfn.NORM.INV(S834,D834,'Regressão Grupo 2'!$B$7)&gt;100%,100%,_xlfn.NORM.INV(S834,D834,'Regressão Grupo 2'!$B$7)))</f>
        <v>1</v>
      </c>
      <c r="G834" s="41">
        <v>9.2422489734968871E-3</v>
      </c>
      <c r="H834" s="41">
        <v>2.8658386716564612E-3</v>
      </c>
      <c r="I834" s="40">
        <f t="shared" si="146"/>
        <v>0</v>
      </c>
      <c r="J834" s="40">
        <f t="shared" si="147"/>
        <v>57.316773433129228</v>
      </c>
      <c r="K834" s="36">
        <v>0.27087900280118571</v>
      </c>
      <c r="L834" s="42">
        <f t="shared" si="155"/>
        <v>0</v>
      </c>
      <c r="M834" s="42">
        <f t="shared" si="155"/>
        <v>20000</v>
      </c>
      <c r="N834" s="42">
        <f t="shared" si="148"/>
        <v>5417.580056023714</v>
      </c>
      <c r="O834" s="36">
        <v>4.6444004313851579</v>
      </c>
      <c r="P834" s="42">
        <f t="shared" si="149"/>
        <v>-2817.9434316256834</v>
      </c>
      <c r="Q834" s="42"/>
      <c r="R834">
        <v>0.12030396435438093</v>
      </c>
      <c r="S834">
        <v>0.90215765861995301</v>
      </c>
    </row>
    <row r="835" spans="1:19" x14ac:dyDescent="0.25">
      <c r="A835" s="40">
        <f t="shared" si="150"/>
        <v>0</v>
      </c>
      <c r="B835" s="40">
        <f t="shared" si="151"/>
        <v>50</v>
      </c>
      <c r="C835" s="41">
        <f t="shared" si="144"/>
        <v>1.0313000000000001</v>
      </c>
      <c r="D835" s="41">
        <f t="shared" si="145"/>
        <v>0.88000000000000012</v>
      </c>
      <c r="E835" s="39">
        <f>IF(_xlfn.NORM.INV(R835,C835,'Regressão Grupo 2'!$B$7)&lt;=0,0,IF(_xlfn.NORM.INV(R835,C835,'Regressão Grupo 2'!$B$7)&gt;100%,100%,_xlfn.NORM.INV(R835,C835,'Regressão Grupo 2'!$B$7)))</f>
        <v>0.83505339156266623</v>
      </c>
      <c r="F835" s="39">
        <f>IF(_xlfn.NORM.INV(S835,D835,'Regressão Grupo 2'!$B$7)&lt;=0,0,IF(_xlfn.NORM.INV(S835,D835,'Regressão Grupo 2'!$B$7)&gt;100%,100%,_xlfn.NORM.INV(S835,D835,'Regressão Grupo 2'!$B$7)))</f>
        <v>0.87727602406339367</v>
      </c>
      <c r="G835" s="41">
        <v>1.5679705792289521E-2</v>
      </c>
      <c r="H835" s="41">
        <v>1.2199904657991922E-2</v>
      </c>
      <c r="I835" s="40">
        <f t="shared" si="146"/>
        <v>0</v>
      </c>
      <c r="J835" s="40">
        <f t="shared" si="147"/>
        <v>214.0536770463126</v>
      </c>
      <c r="K835" s="36">
        <v>0.29113995147164806</v>
      </c>
      <c r="L835" s="42">
        <f t="shared" si="155"/>
        <v>0</v>
      </c>
      <c r="M835" s="42">
        <f t="shared" si="155"/>
        <v>20000</v>
      </c>
      <c r="N835" s="42">
        <f t="shared" si="148"/>
        <v>5822.7990294329611</v>
      </c>
      <c r="O835" s="36">
        <v>4.1609352459347573</v>
      </c>
      <c r="P835" s="42">
        <f t="shared" si="149"/>
        <v>3989.2213335387296</v>
      </c>
      <c r="Q835" s="42"/>
      <c r="R835">
        <v>7.7913754692220838E-2</v>
      </c>
      <c r="S835">
        <v>0.49214148380993072</v>
      </c>
    </row>
    <row r="836" spans="1:19" x14ac:dyDescent="0.25">
      <c r="A836" s="40">
        <f t="shared" si="150"/>
        <v>0</v>
      </c>
      <c r="B836" s="40">
        <f t="shared" si="151"/>
        <v>50</v>
      </c>
      <c r="C836" s="41">
        <f t="shared" si="144"/>
        <v>1.0313000000000001</v>
      </c>
      <c r="D836" s="41">
        <f t="shared" si="145"/>
        <v>0.88000000000000012</v>
      </c>
      <c r="E836" s="39">
        <f>IF(_xlfn.NORM.INV(R836,C836,'Regressão Grupo 2'!$B$7)&lt;=0,0,IF(_xlfn.NORM.INV(R836,C836,'Regressão Grupo 2'!$B$7)&gt;100%,100%,_xlfn.NORM.INV(R836,C836,'Regressão Grupo 2'!$B$7)))</f>
        <v>0.99932062412623568</v>
      </c>
      <c r="F836" s="39">
        <f>IF(_xlfn.NORM.INV(S836,D836,'Regressão Grupo 2'!$B$7)&lt;=0,0,IF(_xlfn.NORM.INV(S836,D836,'Regressão Grupo 2'!$B$7)&gt;100%,100%,_xlfn.NORM.INV(S836,D836,'Regressão Grupo 2'!$B$7)))</f>
        <v>0.96495513766230756</v>
      </c>
      <c r="G836" s="41">
        <v>2.8377858593499634E-3</v>
      </c>
      <c r="H836" s="41">
        <v>2.0170513677950308E-2</v>
      </c>
      <c r="I836" s="40">
        <f t="shared" si="146"/>
        <v>0</v>
      </c>
      <c r="J836" s="40">
        <f t="shared" si="147"/>
        <v>389.27281605651996</v>
      </c>
      <c r="K836" s="36">
        <v>0.27670120597388959</v>
      </c>
      <c r="L836" s="42">
        <f t="shared" si="155"/>
        <v>0</v>
      </c>
      <c r="M836" s="42">
        <f t="shared" si="155"/>
        <v>20000</v>
      </c>
      <c r="N836" s="42">
        <f t="shared" si="148"/>
        <v>5534.0241194777918</v>
      </c>
      <c r="O836" s="36">
        <v>4.9243731707383578</v>
      </c>
      <c r="P836" s="42">
        <f t="shared" si="149"/>
        <v>12012.692071861711</v>
      </c>
      <c r="Q836" s="42"/>
      <c r="R836">
        <v>0.4085512863551744</v>
      </c>
      <c r="S836">
        <v>0.73052156132694479</v>
      </c>
    </row>
    <row r="837" spans="1:19" x14ac:dyDescent="0.25">
      <c r="A837" s="40">
        <f t="shared" si="150"/>
        <v>0</v>
      </c>
      <c r="B837" s="40">
        <f t="shared" si="151"/>
        <v>50</v>
      </c>
      <c r="C837" s="41">
        <f t="shared" si="144"/>
        <v>1.0313000000000001</v>
      </c>
      <c r="D837" s="41">
        <f t="shared" si="145"/>
        <v>0.88000000000000012</v>
      </c>
      <c r="E837" s="39">
        <f>IF(_xlfn.NORM.INV(R837,C837,'Regressão Grupo 2'!$B$7)&lt;=0,0,IF(_xlfn.NORM.INV(R837,C837,'Regressão Grupo 2'!$B$7)&gt;100%,100%,_xlfn.NORM.INV(R837,C837,'Regressão Grupo 2'!$B$7)))</f>
        <v>0.99845082037188537</v>
      </c>
      <c r="F837" s="39">
        <f>IF(_xlfn.NORM.INV(S837,D837,'Regressão Grupo 2'!$B$7)&lt;=0,0,IF(_xlfn.NORM.INV(S837,D837,'Regressão Grupo 2'!$B$7)&gt;100%,100%,_xlfn.NORM.INV(S837,D837,'Regressão Grupo 2'!$B$7)))</f>
        <v>0.84141963241053419</v>
      </c>
      <c r="G837" s="41">
        <v>1.075130450295776E-2</v>
      </c>
      <c r="H837" s="41">
        <v>8.0813983947865594E-3</v>
      </c>
      <c r="I837" s="40">
        <f t="shared" si="146"/>
        <v>0</v>
      </c>
      <c r="J837" s="40">
        <f t="shared" si="147"/>
        <v>135.99694533408777</v>
      </c>
      <c r="K837" s="36">
        <v>0.34328230092789896</v>
      </c>
      <c r="L837" s="42">
        <f t="shared" si="155"/>
        <v>0</v>
      </c>
      <c r="M837" s="42">
        <f t="shared" si="155"/>
        <v>20000</v>
      </c>
      <c r="N837" s="42">
        <f t="shared" si="148"/>
        <v>6865.646018557979</v>
      </c>
      <c r="O837" s="36">
        <v>6.7923007740942118</v>
      </c>
      <c r="P837" s="42">
        <f t="shared" si="149"/>
        <v>-989.53090892076307</v>
      </c>
      <c r="Q837" s="42"/>
      <c r="R837">
        <v>0.40610980559709464</v>
      </c>
      <c r="S837">
        <v>0.39011810663167212</v>
      </c>
    </row>
    <row r="838" spans="1:19" x14ac:dyDescent="0.25">
      <c r="A838" s="40">
        <f t="shared" si="150"/>
        <v>0</v>
      </c>
      <c r="B838" s="40">
        <f t="shared" si="151"/>
        <v>50</v>
      </c>
      <c r="C838" s="41">
        <f t="shared" ref="C838:C901" si="156">-0.0071*A838 + 1.0313</f>
        <v>1.0313000000000001</v>
      </c>
      <c r="D838" s="41">
        <f t="shared" ref="D838:D901" si="157">-0.0059*B838+1.175</f>
        <v>0.88000000000000012</v>
      </c>
      <c r="E838" s="39">
        <f>IF(_xlfn.NORM.INV(R838,C838,'Regressão Grupo 2'!$B$7)&lt;=0,0,IF(_xlfn.NORM.INV(R838,C838,'Regressão Grupo 2'!$B$7)&gt;100%,100%,_xlfn.NORM.INV(R838,C838,'Regressão Grupo 2'!$B$7)))</f>
        <v>0.85448427254490356</v>
      </c>
      <c r="F838" s="39">
        <f>IF(_xlfn.NORM.INV(S838,D838,'Regressão Grupo 2'!$B$7)&lt;=0,0,IF(_xlfn.NORM.INV(S838,D838,'Regressão Grupo 2'!$B$7)&gt;100%,100%,_xlfn.NORM.INV(S838,D838,'Regressão Grupo 2'!$B$7)))</f>
        <v>0.84408506106922065</v>
      </c>
      <c r="G838" s="41">
        <v>1.5750054223103507E-2</v>
      </c>
      <c r="H838" s="41">
        <v>2.0147973769572489E-2</v>
      </c>
      <c r="I838" s="40">
        <f t="shared" ref="I838:I901" si="158">IF(E838*G838*L838&gt;0,E838*G838*L838,0)</f>
        <v>0</v>
      </c>
      <c r="J838" s="40">
        <f t="shared" ref="J838:J901" si="159">IF(F838*H838*M838&gt;0,F838*H838*M838,0)</f>
        <v>340.13207339421302</v>
      </c>
      <c r="K838" s="36">
        <v>0.15995588747310802</v>
      </c>
      <c r="L838" s="42">
        <f t="shared" si="155"/>
        <v>0</v>
      </c>
      <c r="M838" s="42">
        <f t="shared" si="155"/>
        <v>20000</v>
      </c>
      <c r="N838" s="42">
        <f t="shared" ref="N838:N901" si="160">(L838+M838)*K838</f>
        <v>3199.1177494621602</v>
      </c>
      <c r="O838" s="36">
        <v>5.0077425427398685</v>
      </c>
      <c r="P838" s="42">
        <f t="shared" ref="P838:P901" si="161">SUMPRODUCT(A838:B838,I838:J838)-SUM(I838:J838)*O838-N838</f>
        <v>12104.19206616197</v>
      </c>
      <c r="Q838" s="42"/>
      <c r="R838">
        <v>0.10049745170445876</v>
      </c>
      <c r="S838">
        <v>0.39753410443433945</v>
      </c>
    </row>
    <row r="839" spans="1:19" x14ac:dyDescent="0.25">
      <c r="A839" s="40">
        <f t="shared" ref="A839:A902" si="162">A838</f>
        <v>0</v>
      </c>
      <c r="B839" s="40">
        <f t="shared" ref="B839:B902" si="163">B838</f>
        <v>50</v>
      </c>
      <c r="C839" s="41">
        <f t="shared" si="156"/>
        <v>1.0313000000000001</v>
      </c>
      <c r="D839" s="41">
        <f t="shared" si="157"/>
        <v>0.88000000000000012</v>
      </c>
      <c r="E839" s="39">
        <f>IF(_xlfn.NORM.INV(R839,C839,'Regressão Grupo 2'!$B$7)&lt;=0,0,IF(_xlfn.NORM.INV(R839,C839,'Regressão Grupo 2'!$B$7)&gt;100%,100%,_xlfn.NORM.INV(R839,C839,'Regressão Grupo 2'!$B$7)))</f>
        <v>1</v>
      </c>
      <c r="F839" s="39">
        <f>IF(_xlfn.NORM.INV(S839,D839,'Regressão Grupo 2'!$B$7)&lt;=0,0,IF(_xlfn.NORM.INV(S839,D839,'Regressão Grupo 2'!$B$7)&gt;100%,100%,_xlfn.NORM.INV(S839,D839,'Regressão Grupo 2'!$B$7)))</f>
        <v>0.68057420142989189</v>
      </c>
      <c r="G839" s="41">
        <v>8.0497262588302993E-3</v>
      </c>
      <c r="H839" s="41">
        <v>1.8263071265088228E-2</v>
      </c>
      <c r="I839" s="40">
        <f t="shared" si="158"/>
        <v>0</v>
      </c>
      <c r="J839" s="40">
        <f t="shared" si="159"/>
        <v>248.58750283789252</v>
      </c>
      <c r="K839" s="36">
        <v>0.16980902233016765</v>
      </c>
      <c r="L839" s="42">
        <f t="shared" ref="L839:M854" si="164">L838</f>
        <v>0</v>
      </c>
      <c r="M839" s="42">
        <f t="shared" si="164"/>
        <v>20000</v>
      </c>
      <c r="N839" s="42">
        <f t="shared" si="160"/>
        <v>3396.1804466033527</v>
      </c>
      <c r="O839" s="36">
        <v>4.9538932890810727</v>
      </c>
      <c r="P839" s="42">
        <f t="shared" si="161"/>
        <v>7801.7187332332151</v>
      </c>
      <c r="Q839" s="42"/>
      <c r="R839">
        <v>0.47538682210760824</v>
      </c>
      <c r="S839">
        <v>7.4617755668813138E-2</v>
      </c>
    </row>
    <row r="840" spans="1:19" x14ac:dyDescent="0.25">
      <c r="A840" s="40">
        <f t="shared" si="162"/>
        <v>0</v>
      </c>
      <c r="B840" s="40">
        <f t="shared" si="163"/>
        <v>50</v>
      </c>
      <c r="C840" s="41">
        <f t="shared" si="156"/>
        <v>1.0313000000000001</v>
      </c>
      <c r="D840" s="41">
        <f t="shared" si="157"/>
        <v>0.88000000000000012</v>
      </c>
      <c r="E840" s="39">
        <f>IF(_xlfn.NORM.INV(R840,C840,'Regressão Grupo 2'!$B$7)&lt;=0,0,IF(_xlfn.NORM.INV(R840,C840,'Regressão Grupo 2'!$B$7)&gt;100%,100%,_xlfn.NORM.INV(R840,C840,'Regressão Grupo 2'!$B$7)))</f>
        <v>0.81560111540567004</v>
      </c>
      <c r="F840" s="39">
        <f>IF(_xlfn.NORM.INV(S840,D840,'Regressão Grupo 2'!$B$7)&lt;=0,0,IF(_xlfn.NORM.INV(S840,D840,'Regressão Grupo 2'!$B$7)&gt;100%,100%,_xlfn.NORM.INV(S840,D840,'Regressão Grupo 2'!$B$7)))</f>
        <v>0.85047111706492917</v>
      </c>
      <c r="G840" s="41">
        <v>2.1454606597831369E-2</v>
      </c>
      <c r="H840" s="41">
        <v>1.0452625895674694E-2</v>
      </c>
      <c r="I840" s="40">
        <f t="shared" si="158"/>
        <v>0</v>
      </c>
      <c r="J840" s="40">
        <f t="shared" si="159"/>
        <v>177.79312843512525</v>
      </c>
      <c r="K840" s="36">
        <v>0.33871170794319244</v>
      </c>
      <c r="L840" s="42">
        <f t="shared" si="164"/>
        <v>0</v>
      </c>
      <c r="M840" s="42">
        <f t="shared" si="164"/>
        <v>20000</v>
      </c>
      <c r="N840" s="42">
        <f t="shared" si="160"/>
        <v>6774.2341588638492</v>
      </c>
      <c r="O840" s="36">
        <v>8.0676076329268813</v>
      </c>
      <c r="P840" s="42">
        <f t="shared" si="161"/>
        <v>681.05706284724783</v>
      </c>
      <c r="Q840" s="42"/>
      <c r="R840">
        <v>5.9389019440290534E-2</v>
      </c>
      <c r="S840">
        <v>0.41544846949674979</v>
      </c>
    </row>
    <row r="841" spans="1:19" x14ac:dyDescent="0.25">
      <c r="A841" s="40">
        <f t="shared" si="162"/>
        <v>0</v>
      </c>
      <c r="B841" s="40">
        <f t="shared" si="163"/>
        <v>50</v>
      </c>
      <c r="C841" s="41">
        <f t="shared" si="156"/>
        <v>1.0313000000000001</v>
      </c>
      <c r="D841" s="41">
        <f t="shared" si="157"/>
        <v>0.88000000000000012</v>
      </c>
      <c r="E841" s="39">
        <f>IF(_xlfn.NORM.INV(R841,C841,'Regressão Grupo 2'!$B$7)&lt;=0,0,IF(_xlfn.NORM.INV(R841,C841,'Regressão Grupo 2'!$B$7)&gt;100%,100%,_xlfn.NORM.INV(R841,C841,'Regressão Grupo 2'!$B$7)))</f>
        <v>1</v>
      </c>
      <c r="F841" s="39">
        <f>IF(_xlfn.NORM.INV(S841,D841,'Regressão Grupo 2'!$B$7)&lt;=0,0,IF(_xlfn.NORM.INV(S841,D841,'Regressão Grupo 2'!$B$7)&gt;100%,100%,_xlfn.NORM.INV(S841,D841,'Regressão Grupo 2'!$B$7)))</f>
        <v>0.87736066288526604</v>
      </c>
      <c r="G841" s="41">
        <v>2.5280252751514722E-2</v>
      </c>
      <c r="H841" s="41">
        <v>2.2440551096475955E-2</v>
      </c>
      <c r="I841" s="40">
        <f t="shared" si="158"/>
        <v>0</v>
      </c>
      <c r="J841" s="40">
        <f t="shared" si="159"/>
        <v>393.76913571029655</v>
      </c>
      <c r="K841" s="36">
        <v>0.26507127436203681</v>
      </c>
      <c r="L841" s="42">
        <f t="shared" si="164"/>
        <v>0</v>
      </c>
      <c r="M841" s="42">
        <f t="shared" si="164"/>
        <v>20000</v>
      </c>
      <c r="N841" s="42">
        <f t="shared" si="160"/>
        <v>5301.4254872407364</v>
      </c>
      <c r="O841" s="36">
        <v>7.8385009977724467</v>
      </c>
      <c r="P841" s="42">
        <f t="shared" si="161"/>
        <v>11300.471535116936</v>
      </c>
      <c r="Q841" s="42"/>
      <c r="R841">
        <v>0.94305246131778919</v>
      </c>
      <c r="S841">
        <v>0.49238563188573869</v>
      </c>
    </row>
    <row r="842" spans="1:19" x14ac:dyDescent="0.25">
      <c r="A842" s="40">
        <f t="shared" si="162"/>
        <v>0</v>
      </c>
      <c r="B842" s="40">
        <f t="shared" si="163"/>
        <v>50</v>
      </c>
      <c r="C842" s="41">
        <f t="shared" si="156"/>
        <v>1.0313000000000001</v>
      </c>
      <c r="D842" s="41">
        <f t="shared" si="157"/>
        <v>0.88000000000000012</v>
      </c>
      <c r="E842" s="39">
        <f>IF(_xlfn.NORM.INV(R842,C842,'Regressão Grupo 2'!$B$7)&lt;=0,0,IF(_xlfn.NORM.INV(R842,C842,'Regressão Grupo 2'!$B$7)&gt;100%,100%,_xlfn.NORM.INV(R842,C842,'Regressão Grupo 2'!$B$7)))</f>
        <v>0.90969494567079612</v>
      </c>
      <c r="F842" s="39">
        <f>IF(_xlfn.NORM.INV(S842,D842,'Regressão Grupo 2'!$B$7)&lt;=0,0,IF(_xlfn.NORM.INV(S842,D842,'Regressão Grupo 2'!$B$7)&gt;100%,100%,_xlfn.NORM.INV(S842,D842,'Regressão Grupo 2'!$B$7)))</f>
        <v>0.82194247302831003</v>
      </c>
      <c r="G842" s="41">
        <v>1.0442413110277928E-2</v>
      </c>
      <c r="H842" s="41">
        <v>1.3764903488042542E-2</v>
      </c>
      <c r="I842" s="40">
        <f t="shared" si="158"/>
        <v>0</v>
      </c>
      <c r="J842" s="40">
        <f t="shared" si="159"/>
        <v>226.27917627915397</v>
      </c>
      <c r="K842" s="36">
        <v>0.28785412725362386</v>
      </c>
      <c r="L842" s="42">
        <f t="shared" si="164"/>
        <v>0</v>
      </c>
      <c r="M842" s="42">
        <f t="shared" si="164"/>
        <v>20000</v>
      </c>
      <c r="N842" s="42">
        <f t="shared" si="160"/>
        <v>5757.0825450724769</v>
      </c>
      <c r="O842" s="36">
        <v>6.4934980158685889</v>
      </c>
      <c r="P842" s="42">
        <f t="shared" si="161"/>
        <v>4087.5328866841573</v>
      </c>
      <c r="Q842" s="42"/>
      <c r="R842">
        <v>0.18958098086489455</v>
      </c>
      <c r="S842">
        <v>0.33729056672872099</v>
      </c>
    </row>
    <row r="843" spans="1:19" x14ac:dyDescent="0.25">
      <c r="A843" s="40">
        <f t="shared" si="162"/>
        <v>0</v>
      </c>
      <c r="B843" s="40">
        <f t="shared" si="163"/>
        <v>50</v>
      </c>
      <c r="C843" s="41">
        <f t="shared" si="156"/>
        <v>1.0313000000000001</v>
      </c>
      <c r="D843" s="41">
        <f t="shared" si="157"/>
        <v>0.88000000000000012</v>
      </c>
      <c r="E843" s="39">
        <f>IF(_xlfn.NORM.INV(R843,C843,'Regressão Grupo 2'!$B$7)&lt;=0,0,IF(_xlfn.NORM.INV(R843,C843,'Regressão Grupo 2'!$B$7)&gt;100%,100%,_xlfn.NORM.INV(R843,C843,'Regressão Grupo 2'!$B$7)))</f>
        <v>1</v>
      </c>
      <c r="F843" s="39">
        <f>IF(_xlfn.NORM.INV(S843,D843,'Regressão Grupo 2'!$B$7)&lt;=0,0,IF(_xlfn.NORM.INV(S843,D843,'Regressão Grupo 2'!$B$7)&gt;100%,100%,_xlfn.NORM.INV(S843,D843,'Regressão Grupo 2'!$B$7)))</f>
        <v>1</v>
      </c>
      <c r="G843" s="41">
        <v>2.2521707238733247E-2</v>
      </c>
      <c r="H843" s="41">
        <v>2.1962906569801471E-2</v>
      </c>
      <c r="I843" s="40">
        <f t="shared" si="158"/>
        <v>0</v>
      </c>
      <c r="J843" s="40">
        <f t="shared" si="159"/>
        <v>439.2581313960294</v>
      </c>
      <c r="K843" s="36">
        <v>0.20214516979118458</v>
      </c>
      <c r="L843" s="42">
        <f t="shared" si="164"/>
        <v>0</v>
      </c>
      <c r="M843" s="42">
        <f t="shared" si="164"/>
        <v>20000</v>
      </c>
      <c r="N843" s="42">
        <f t="shared" si="160"/>
        <v>4042.9033958236914</v>
      </c>
      <c r="O843" s="36">
        <v>6.7999318826613386</v>
      </c>
      <c r="P843" s="42">
        <f t="shared" si="161"/>
        <v>14933.077801579675</v>
      </c>
      <c r="Q843" s="42"/>
      <c r="R843">
        <v>0.85143589587084567</v>
      </c>
      <c r="S843">
        <v>0.91143528550065611</v>
      </c>
    </row>
    <row r="844" spans="1:19" x14ac:dyDescent="0.25">
      <c r="A844" s="40">
        <f t="shared" si="162"/>
        <v>0</v>
      </c>
      <c r="B844" s="40">
        <f t="shared" si="163"/>
        <v>50</v>
      </c>
      <c r="C844" s="41">
        <f t="shared" si="156"/>
        <v>1.0313000000000001</v>
      </c>
      <c r="D844" s="41">
        <f t="shared" si="157"/>
        <v>0.88000000000000012</v>
      </c>
      <c r="E844" s="39">
        <f>IF(_xlfn.NORM.INV(R844,C844,'Regressão Grupo 2'!$B$7)&lt;=0,0,IF(_xlfn.NORM.INV(R844,C844,'Regressão Grupo 2'!$B$7)&gt;100%,100%,_xlfn.NORM.INV(R844,C844,'Regressão Grupo 2'!$B$7)))</f>
        <v>0.63363041452196445</v>
      </c>
      <c r="F844" s="39">
        <f>IF(_xlfn.NORM.INV(S844,D844,'Regressão Grupo 2'!$B$7)&lt;=0,0,IF(_xlfn.NORM.INV(S844,D844,'Regressão Grupo 2'!$B$7)&gt;100%,100%,_xlfn.NORM.INV(S844,D844,'Regressão Grupo 2'!$B$7)))</f>
        <v>0.75629425163904329</v>
      </c>
      <c r="G844" s="41">
        <v>1.1407727185055576E-2</v>
      </c>
      <c r="H844" s="41">
        <v>2.3834177884808391E-2</v>
      </c>
      <c r="I844" s="40">
        <f t="shared" si="158"/>
        <v>0</v>
      </c>
      <c r="J844" s="40">
        <f t="shared" si="159"/>
        <v>360.51303453645994</v>
      </c>
      <c r="K844" s="36">
        <v>0.45908832461881915</v>
      </c>
      <c r="L844" s="42">
        <f t="shared" si="164"/>
        <v>0</v>
      </c>
      <c r="M844" s="42">
        <f t="shared" si="164"/>
        <v>20000</v>
      </c>
      <c r="N844" s="42">
        <f t="shared" si="160"/>
        <v>9181.7664923763823</v>
      </c>
      <c r="O844" s="36">
        <v>4.1421108657852317</v>
      </c>
      <c r="P844" s="42">
        <f t="shared" si="161"/>
        <v>7350.6002768359376</v>
      </c>
      <c r="Q844" s="42"/>
      <c r="R844">
        <v>2.0142216254158147E-3</v>
      </c>
      <c r="S844">
        <v>0.18549150059511094</v>
      </c>
    </row>
    <row r="845" spans="1:19" x14ac:dyDescent="0.25">
      <c r="A845" s="40">
        <f t="shared" si="162"/>
        <v>0</v>
      </c>
      <c r="B845" s="40">
        <f t="shared" si="163"/>
        <v>50</v>
      </c>
      <c r="C845" s="41">
        <f t="shared" si="156"/>
        <v>1.0313000000000001</v>
      </c>
      <c r="D845" s="41">
        <f t="shared" si="157"/>
        <v>0.88000000000000012</v>
      </c>
      <c r="E845" s="39">
        <f>IF(_xlfn.NORM.INV(R845,C845,'Regressão Grupo 2'!$B$7)&lt;=0,0,IF(_xlfn.NORM.INV(R845,C845,'Regressão Grupo 2'!$B$7)&gt;100%,100%,_xlfn.NORM.INV(R845,C845,'Regressão Grupo 2'!$B$7)))</f>
        <v>1</v>
      </c>
      <c r="F845" s="39">
        <f>IF(_xlfn.NORM.INV(S845,D845,'Regressão Grupo 2'!$B$7)&lt;=0,0,IF(_xlfn.NORM.INV(S845,D845,'Regressão Grupo 2'!$B$7)&gt;100%,100%,_xlfn.NORM.INV(S845,D845,'Regressão Grupo 2'!$B$7)))</f>
        <v>0.61138643198073783</v>
      </c>
      <c r="G845" s="41">
        <v>1.9485652340253949E-2</v>
      </c>
      <c r="H845" s="41">
        <v>2.6018885502678891E-3</v>
      </c>
      <c r="I845" s="40">
        <f t="shared" si="158"/>
        <v>0</v>
      </c>
      <c r="J845" s="40">
        <f t="shared" si="159"/>
        <v>31.815187143196386</v>
      </c>
      <c r="K845" s="36">
        <v>0.4338368996557147</v>
      </c>
      <c r="L845" s="42">
        <f t="shared" si="164"/>
        <v>0</v>
      </c>
      <c r="M845" s="42">
        <f t="shared" si="164"/>
        <v>20000</v>
      </c>
      <c r="N845" s="42">
        <f t="shared" si="160"/>
        <v>8676.7379931142932</v>
      </c>
      <c r="O845" s="36">
        <v>7.0544091653331646</v>
      </c>
      <c r="P845" s="42">
        <f t="shared" si="161"/>
        <v>-7310.4159837342286</v>
      </c>
      <c r="Q845" s="42"/>
      <c r="R845">
        <v>0.96792504654072697</v>
      </c>
      <c r="S845">
        <v>2.6032288583025604E-2</v>
      </c>
    </row>
    <row r="846" spans="1:19" x14ac:dyDescent="0.25">
      <c r="A846" s="40">
        <f t="shared" si="162"/>
        <v>0</v>
      </c>
      <c r="B846" s="40">
        <f t="shared" si="163"/>
        <v>50</v>
      </c>
      <c r="C846" s="41">
        <f t="shared" si="156"/>
        <v>1.0313000000000001</v>
      </c>
      <c r="D846" s="41">
        <f t="shared" si="157"/>
        <v>0.88000000000000012</v>
      </c>
      <c r="E846" s="39">
        <f>IF(_xlfn.NORM.INV(R846,C846,'Regressão Grupo 2'!$B$7)&lt;=0,0,IF(_xlfn.NORM.INV(R846,C846,'Regressão Grupo 2'!$B$7)&gt;100%,100%,_xlfn.NORM.INV(R846,C846,'Regressão Grupo 2'!$B$7)))</f>
        <v>1</v>
      </c>
      <c r="F846" s="39">
        <f>IF(_xlfn.NORM.INV(S846,D846,'Regressão Grupo 2'!$B$7)&lt;=0,0,IF(_xlfn.NORM.INV(S846,D846,'Regressão Grupo 2'!$B$7)&gt;100%,100%,_xlfn.NORM.INV(S846,D846,'Regressão Grupo 2'!$B$7)))</f>
        <v>0.9323524074598043</v>
      </c>
      <c r="G846" s="41">
        <v>1.9041376135325753E-2</v>
      </c>
      <c r="H846" s="41">
        <v>2.964909933716648E-2</v>
      </c>
      <c r="I846" s="40">
        <f t="shared" si="158"/>
        <v>0</v>
      </c>
      <c r="J846" s="40">
        <f t="shared" si="159"/>
        <v>552.86818292044109</v>
      </c>
      <c r="K846" s="36">
        <v>0.24271703354797525</v>
      </c>
      <c r="L846" s="42">
        <f t="shared" si="164"/>
        <v>0</v>
      </c>
      <c r="M846" s="42">
        <f t="shared" si="164"/>
        <v>20000</v>
      </c>
      <c r="N846" s="42">
        <f t="shared" si="160"/>
        <v>4854.3406709595047</v>
      </c>
      <c r="O846" s="36">
        <v>5.1039273891319938</v>
      </c>
      <c r="P846" s="42">
        <f t="shared" si="161"/>
        <v>19967.269413675276</v>
      </c>
      <c r="Q846" s="42"/>
      <c r="R846">
        <v>0.92397839289529105</v>
      </c>
      <c r="S846">
        <v>0.64751121555223246</v>
      </c>
    </row>
    <row r="847" spans="1:19" x14ac:dyDescent="0.25">
      <c r="A847" s="40">
        <f t="shared" si="162"/>
        <v>0</v>
      </c>
      <c r="B847" s="40">
        <f t="shared" si="163"/>
        <v>50</v>
      </c>
      <c r="C847" s="41">
        <f t="shared" si="156"/>
        <v>1.0313000000000001</v>
      </c>
      <c r="D847" s="41">
        <f t="shared" si="157"/>
        <v>0.88000000000000012</v>
      </c>
      <c r="E847" s="39">
        <f>IF(_xlfn.NORM.INV(R847,C847,'Regressão Grupo 2'!$B$7)&lt;=0,0,IF(_xlfn.NORM.INV(R847,C847,'Regressão Grupo 2'!$B$7)&gt;100%,100%,_xlfn.NORM.INV(R847,C847,'Regressão Grupo 2'!$B$7)))</f>
        <v>1</v>
      </c>
      <c r="F847" s="39">
        <f>IF(_xlfn.NORM.INV(S847,D847,'Regressão Grupo 2'!$B$7)&lt;=0,0,IF(_xlfn.NORM.INV(S847,D847,'Regressão Grupo 2'!$B$7)&gt;100%,100%,_xlfn.NORM.INV(S847,D847,'Regressão Grupo 2'!$B$7)))</f>
        <v>1</v>
      </c>
      <c r="G847" s="41">
        <v>2.2260471096033397E-2</v>
      </c>
      <c r="H847" s="41">
        <v>2.4342829194385653E-2</v>
      </c>
      <c r="I847" s="40">
        <f t="shared" si="158"/>
        <v>0</v>
      </c>
      <c r="J847" s="40">
        <f t="shared" si="159"/>
        <v>486.85658388771304</v>
      </c>
      <c r="K847" s="36">
        <v>0.23966965734212953</v>
      </c>
      <c r="L847" s="42">
        <f t="shared" si="164"/>
        <v>0</v>
      </c>
      <c r="M847" s="42">
        <f t="shared" si="164"/>
        <v>20000</v>
      </c>
      <c r="N847" s="42">
        <f t="shared" si="160"/>
        <v>4793.3931468425908</v>
      </c>
      <c r="O847" s="36">
        <v>7.7048228328272019</v>
      </c>
      <c r="P847" s="42">
        <f t="shared" si="161"/>
        <v>15798.29232369276</v>
      </c>
      <c r="Q847" s="42"/>
      <c r="R847">
        <v>0.8222602008117923</v>
      </c>
      <c r="S847">
        <v>0.97030549027985469</v>
      </c>
    </row>
    <row r="848" spans="1:19" x14ac:dyDescent="0.25">
      <c r="A848" s="40">
        <f t="shared" si="162"/>
        <v>0</v>
      </c>
      <c r="B848" s="40">
        <f t="shared" si="163"/>
        <v>50</v>
      </c>
      <c r="C848" s="41">
        <f t="shared" si="156"/>
        <v>1.0313000000000001</v>
      </c>
      <c r="D848" s="41">
        <f t="shared" si="157"/>
        <v>0.88000000000000012</v>
      </c>
      <c r="E848" s="39">
        <f>IF(_xlfn.NORM.INV(R848,C848,'Regressão Grupo 2'!$B$7)&lt;=0,0,IF(_xlfn.NORM.INV(R848,C848,'Regressão Grupo 2'!$B$7)&gt;100%,100%,_xlfn.NORM.INV(R848,C848,'Regressão Grupo 2'!$B$7)))</f>
        <v>1</v>
      </c>
      <c r="F848" s="39">
        <f>IF(_xlfn.NORM.INV(S848,D848,'Regressão Grupo 2'!$B$7)&lt;=0,0,IF(_xlfn.NORM.INV(S848,D848,'Regressão Grupo 2'!$B$7)&gt;100%,100%,_xlfn.NORM.INV(S848,D848,'Regressão Grupo 2'!$B$7)))</f>
        <v>0.86117155945417079</v>
      </c>
      <c r="G848" s="41">
        <v>7.1158997493970672E-3</v>
      </c>
      <c r="H848" s="41">
        <v>1.1606727760354273E-2</v>
      </c>
      <c r="I848" s="40">
        <f t="shared" si="158"/>
        <v>0</v>
      </c>
      <c r="J848" s="40">
        <f t="shared" si="159"/>
        <v>199.9076769108861</v>
      </c>
      <c r="K848" s="36">
        <v>0.47760592918529976</v>
      </c>
      <c r="L848" s="42">
        <f t="shared" si="164"/>
        <v>0</v>
      </c>
      <c r="M848" s="42">
        <f t="shared" si="164"/>
        <v>20000</v>
      </c>
      <c r="N848" s="42">
        <f t="shared" si="160"/>
        <v>9552.1185837059948</v>
      </c>
      <c r="O848" s="36">
        <v>4.3988254370066349</v>
      </c>
      <c r="P848" s="42">
        <f t="shared" si="161"/>
        <v>-436.09371241019835</v>
      </c>
      <c r="Q848" s="42"/>
      <c r="R848">
        <v>0.88399914548173464</v>
      </c>
      <c r="S848">
        <v>0.44584490493484297</v>
      </c>
    </row>
    <row r="849" spans="1:19" x14ac:dyDescent="0.25">
      <c r="A849" s="40">
        <f t="shared" si="162"/>
        <v>0</v>
      </c>
      <c r="B849" s="40">
        <f t="shared" si="163"/>
        <v>50</v>
      </c>
      <c r="C849" s="41">
        <f t="shared" si="156"/>
        <v>1.0313000000000001</v>
      </c>
      <c r="D849" s="41">
        <f t="shared" si="157"/>
        <v>0.88000000000000012</v>
      </c>
      <c r="E849" s="39">
        <f>IF(_xlfn.NORM.INV(R849,C849,'Regressão Grupo 2'!$B$7)&lt;=0,0,IF(_xlfn.NORM.INV(R849,C849,'Regressão Grupo 2'!$B$7)&gt;100%,100%,_xlfn.NORM.INV(R849,C849,'Regressão Grupo 2'!$B$7)))</f>
        <v>0.9255374763795009</v>
      </c>
      <c r="F849" s="39">
        <f>IF(_xlfn.NORM.INV(S849,D849,'Regressão Grupo 2'!$B$7)&lt;=0,0,IF(_xlfn.NORM.INV(S849,D849,'Regressão Grupo 2'!$B$7)&gt;100%,100%,_xlfn.NORM.INV(S849,D849,'Regressão Grupo 2'!$B$7)))</f>
        <v>1</v>
      </c>
      <c r="G849" s="41">
        <v>2.1402204252106913E-2</v>
      </c>
      <c r="H849" s="41">
        <v>1.3546897122586148E-2</v>
      </c>
      <c r="I849" s="40">
        <f t="shared" si="158"/>
        <v>0</v>
      </c>
      <c r="J849" s="40">
        <f t="shared" si="159"/>
        <v>270.93794245172296</v>
      </c>
      <c r="K849" s="36">
        <v>0.29605605534427704</v>
      </c>
      <c r="L849" s="42">
        <f t="shared" si="164"/>
        <v>0</v>
      </c>
      <c r="M849" s="42">
        <f t="shared" si="164"/>
        <v>20000</v>
      </c>
      <c r="N849" s="42">
        <f t="shared" si="160"/>
        <v>5921.1211068855409</v>
      </c>
      <c r="O849" s="36">
        <v>7.6518458911308969</v>
      </c>
      <c r="P849" s="42">
        <f t="shared" si="161"/>
        <v>5552.6006339999312</v>
      </c>
      <c r="Q849" s="42"/>
      <c r="R849">
        <v>0.22217474898525957</v>
      </c>
      <c r="S849">
        <v>0.89553514206366158</v>
      </c>
    </row>
    <row r="850" spans="1:19" x14ac:dyDescent="0.25">
      <c r="A850" s="40">
        <f t="shared" si="162"/>
        <v>0</v>
      </c>
      <c r="B850" s="40">
        <f t="shared" si="163"/>
        <v>50</v>
      </c>
      <c r="C850" s="41">
        <f t="shared" si="156"/>
        <v>1.0313000000000001</v>
      </c>
      <c r="D850" s="41">
        <f t="shared" si="157"/>
        <v>0.88000000000000012</v>
      </c>
      <c r="E850" s="39">
        <f>IF(_xlfn.NORM.INV(R850,C850,'Regressão Grupo 2'!$B$7)&lt;=0,0,IF(_xlfn.NORM.INV(R850,C850,'Regressão Grupo 2'!$B$7)&gt;100%,100%,_xlfn.NORM.INV(R850,C850,'Regressão Grupo 2'!$B$7)))</f>
        <v>0.91680699227819862</v>
      </c>
      <c r="F850" s="39">
        <f>IF(_xlfn.NORM.INV(S850,D850,'Regressão Grupo 2'!$B$7)&lt;=0,0,IF(_xlfn.NORM.INV(S850,D850,'Regressão Grupo 2'!$B$7)&gt;100%,100%,_xlfn.NORM.INV(S850,D850,'Regressão Grupo 2'!$B$7)))</f>
        <v>0.99038539301541106</v>
      </c>
      <c r="G850" s="41">
        <v>8.9349885359628119E-3</v>
      </c>
      <c r="H850" s="41">
        <v>1.7919570960992785E-2</v>
      </c>
      <c r="I850" s="40">
        <f t="shared" si="158"/>
        <v>0</v>
      </c>
      <c r="J850" s="40">
        <f t="shared" si="159"/>
        <v>354.94562657740772</v>
      </c>
      <c r="K850" s="36">
        <v>0.41070672203493652</v>
      </c>
      <c r="L850" s="42">
        <f t="shared" si="164"/>
        <v>0</v>
      </c>
      <c r="M850" s="42">
        <f t="shared" si="164"/>
        <v>20000</v>
      </c>
      <c r="N850" s="42">
        <f t="shared" si="160"/>
        <v>8214.13444069873</v>
      </c>
      <c r="O850" s="36">
        <v>7.9182850234869964</v>
      </c>
      <c r="P850" s="42">
        <f t="shared" si="161"/>
        <v>6722.5862490915624</v>
      </c>
      <c r="Q850" s="42"/>
      <c r="R850">
        <v>0.20383312479018525</v>
      </c>
      <c r="S850">
        <v>0.78765221106601158</v>
      </c>
    </row>
    <row r="851" spans="1:19" x14ac:dyDescent="0.25">
      <c r="A851" s="40">
        <f t="shared" si="162"/>
        <v>0</v>
      </c>
      <c r="B851" s="40">
        <f t="shared" si="163"/>
        <v>50</v>
      </c>
      <c r="C851" s="41">
        <f t="shared" si="156"/>
        <v>1.0313000000000001</v>
      </c>
      <c r="D851" s="41">
        <f t="shared" si="157"/>
        <v>0.88000000000000012</v>
      </c>
      <c r="E851" s="39">
        <f>IF(_xlfn.NORM.INV(R851,C851,'Regressão Grupo 2'!$B$7)&lt;=0,0,IF(_xlfn.NORM.INV(R851,C851,'Regressão Grupo 2'!$B$7)&gt;100%,100%,_xlfn.NORM.INV(R851,C851,'Regressão Grupo 2'!$B$7)))</f>
        <v>1</v>
      </c>
      <c r="F851" s="39">
        <f>IF(_xlfn.NORM.INV(S851,D851,'Regressão Grupo 2'!$B$7)&lt;=0,0,IF(_xlfn.NORM.INV(S851,D851,'Regressão Grupo 2'!$B$7)&gt;100%,100%,_xlfn.NORM.INV(S851,D851,'Regressão Grupo 2'!$B$7)))</f>
        <v>0.79482757988787811</v>
      </c>
      <c r="G851" s="41">
        <v>1.5576505173133699E-2</v>
      </c>
      <c r="H851" s="41">
        <v>2.5125269750575531E-2</v>
      </c>
      <c r="I851" s="40">
        <f t="shared" si="158"/>
        <v>0</v>
      </c>
      <c r="J851" s="40">
        <f t="shared" si="159"/>
        <v>399.40514699760121</v>
      </c>
      <c r="K851" s="36">
        <v>0.37486556606434629</v>
      </c>
      <c r="L851" s="42">
        <f t="shared" si="164"/>
        <v>0</v>
      </c>
      <c r="M851" s="42">
        <f t="shared" si="164"/>
        <v>20000</v>
      </c>
      <c r="N851" s="42">
        <f t="shared" si="160"/>
        <v>7497.3113212869257</v>
      </c>
      <c r="O851" s="36">
        <v>7.26737705933974</v>
      </c>
      <c r="P851" s="42">
        <f t="shared" si="161"/>
        <v>9570.3182259205496</v>
      </c>
      <c r="Q851" s="42"/>
      <c r="R851">
        <v>0.52909939878536327</v>
      </c>
      <c r="S851">
        <v>0.26895962401196327</v>
      </c>
    </row>
    <row r="852" spans="1:19" x14ac:dyDescent="0.25">
      <c r="A852" s="40">
        <f t="shared" si="162"/>
        <v>0</v>
      </c>
      <c r="B852" s="40">
        <f t="shared" si="163"/>
        <v>50</v>
      </c>
      <c r="C852" s="41">
        <f t="shared" si="156"/>
        <v>1.0313000000000001</v>
      </c>
      <c r="D852" s="41">
        <f t="shared" si="157"/>
        <v>0.88000000000000012</v>
      </c>
      <c r="E852" s="39">
        <f>IF(_xlfn.NORM.INV(R852,C852,'Regressão Grupo 2'!$B$7)&lt;=0,0,IF(_xlfn.NORM.INV(R852,C852,'Regressão Grupo 2'!$B$7)&gt;100%,100%,_xlfn.NORM.INV(R852,C852,'Regressão Grupo 2'!$B$7)))</f>
        <v>0.96968788223940838</v>
      </c>
      <c r="F852" s="39">
        <f>IF(_xlfn.NORM.INV(S852,D852,'Regressão Grupo 2'!$B$7)&lt;=0,0,IF(_xlfn.NORM.INV(S852,D852,'Regressão Grupo 2'!$B$7)&gt;100%,100%,_xlfn.NORM.INV(S852,D852,'Regressão Grupo 2'!$B$7)))</f>
        <v>0.80788735504182241</v>
      </c>
      <c r="G852" s="41">
        <v>2.3308553505398906E-2</v>
      </c>
      <c r="H852" s="41">
        <v>2.0486069139478813E-2</v>
      </c>
      <c r="I852" s="40">
        <f t="shared" si="158"/>
        <v>0</v>
      </c>
      <c r="J852" s="40">
        <f t="shared" si="159"/>
        <v>331.00872424594883</v>
      </c>
      <c r="K852" s="36">
        <v>0.16668942380952828</v>
      </c>
      <c r="L852" s="42">
        <f t="shared" si="164"/>
        <v>0</v>
      </c>
      <c r="M852" s="42">
        <f t="shared" si="164"/>
        <v>20000</v>
      </c>
      <c r="N852" s="42">
        <f t="shared" si="160"/>
        <v>3333.7884761905657</v>
      </c>
      <c r="O852" s="36">
        <v>6.327355999907641</v>
      </c>
      <c r="P852" s="42">
        <f t="shared" si="161"/>
        <v>11122.237698727498</v>
      </c>
      <c r="Q852" s="42"/>
      <c r="R852">
        <v>0.32795190282906583</v>
      </c>
      <c r="S852">
        <v>0.3010040589617603</v>
      </c>
    </row>
    <row r="853" spans="1:19" x14ac:dyDescent="0.25">
      <c r="A853" s="40">
        <f t="shared" si="162"/>
        <v>0</v>
      </c>
      <c r="B853" s="40">
        <f t="shared" si="163"/>
        <v>50</v>
      </c>
      <c r="C853" s="41">
        <f t="shared" si="156"/>
        <v>1.0313000000000001</v>
      </c>
      <c r="D853" s="41">
        <f t="shared" si="157"/>
        <v>0.88000000000000012</v>
      </c>
      <c r="E853" s="39">
        <f>IF(_xlfn.NORM.INV(R853,C853,'Regressão Grupo 2'!$B$7)&lt;=0,0,IF(_xlfn.NORM.INV(R853,C853,'Regressão Grupo 2'!$B$7)&gt;100%,100%,_xlfn.NORM.INV(R853,C853,'Regressão Grupo 2'!$B$7)))</f>
        <v>1</v>
      </c>
      <c r="F853" s="39">
        <f>IF(_xlfn.NORM.INV(S853,D853,'Regressão Grupo 2'!$B$7)&lt;=0,0,IF(_xlfn.NORM.INV(S853,D853,'Regressão Grupo 2'!$B$7)&gt;100%,100%,_xlfn.NORM.INV(S853,D853,'Regressão Grupo 2'!$B$7)))</f>
        <v>0.89708963381715157</v>
      </c>
      <c r="G853" s="41">
        <v>1.052968637874273E-2</v>
      </c>
      <c r="H853" s="41">
        <v>1.7504329145924927E-2</v>
      </c>
      <c r="I853" s="40">
        <f t="shared" si="158"/>
        <v>0</v>
      </c>
      <c r="J853" s="40">
        <f t="shared" si="159"/>
        <v>314.05904447465377</v>
      </c>
      <c r="K853" s="36">
        <v>0.33441169713461821</v>
      </c>
      <c r="L853" s="42">
        <f t="shared" si="164"/>
        <v>0</v>
      </c>
      <c r="M853" s="42">
        <f t="shared" si="164"/>
        <v>20000</v>
      </c>
      <c r="N853" s="42">
        <f t="shared" si="160"/>
        <v>6688.2339426923645</v>
      </c>
      <c r="O853" s="36">
        <v>7.2084366546986454</v>
      </c>
      <c r="P853" s="42">
        <f t="shared" si="161"/>
        <v>6750.8435531095984</v>
      </c>
      <c r="Q853" s="42"/>
      <c r="R853">
        <v>0.47437971129490036</v>
      </c>
      <c r="S853">
        <v>0.54918057802056952</v>
      </c>
    </row>
    <row r="854" spans="1:19" x14ac:dyDescent="0.25">
      <c r="A854" s="40">
        <f t="shared" si="162"/>
        <v>0</v>
      </c>
      <c r="B854" s="40">
        <f t="shared" si="163"/>
        <v>50</v>
      </c>
      <c r="C854" s="41">
        <f t="shared" si="156"/>
        <v>1.0313000000000001</v>
      </c>
      <c r="D854" s="41">
        <f t="shared" si="157"/>
        <v>0.88000000000000012</v>
      </c>
      <c r="E854" s="39">
        <f>IF(_xlfn.NORM.INV(R854,C854,'Regressão Grupo 2'!$B$7)&lt;=0,0,IF(_xlfn.NORM.INV(R854,C854,'Regressão Grupo 2'!$B$7)&gt;100%,100%,_xlfn.NORM.INV(R854,C854,'Regressão Grupo 2'!$B$7)))</f>
        <v>1</v>
      </c>
      <c r="F854" s="39">
        <f>IF(_xlfn.NORM.INV(S854,D854,'Regressão Grupo 2'!$B$7)&lt;=0,0,IF(_xlfn.NORM.INV(S854,D854,'Regressão Grupo 2'!$B$7)&gt;100%,100%,_xlfn.NORM.INV(S854,D854,'Regressão Grupo 2'!$B$7)))</f>
        <v>0.83178386777410274</v>
      </c>
      <c r="G854" s="41">
        <v>1.1298554861445436E-2</v>
      </c>
      <c r="H854" s="41">
        <v>1.9547873784809332E-2</v>
      </c>
      <c r="I854" s="40">
        <f t="shared" si="158"/>
        <v>0</v>
      </c>
      <c r="J854" s="40">
        <f t="shared" si="159"/>
        <v>325.19212126977391</v>
      </c>
      <c r="K854" s="36">
        <v>0.23719540584090307</v>
      </c>
      <c r="L854" s="42">
        <f t="shared" si="164"/>
        <v>0</v>
      </c>
      <c r="M854" s="42">
        <f t="shared" si="164"/>
        <v>20000</v>
      </c>
      <c r="N854" s="42">
        <f t="shared" si="160"/>
        <v>4743.908116818061</v>
      </c>
      <c r="O854" s="36">
        <v>3.1235735910299738</v>
      </c>
      <c r="P854" s="42">
        <f t="shared" si="161"/>
        <v>10499.936424661351</v>
      </c>
      <c r="Q854" s="42"/>
      <c r="R854">
        <v>0.42225409710989714</v>
      </c>
      <c r="S854">
        <v>0.36365855891598253</v>
      </c>
    </row>
    <row r="855" spans="1:19" x14ac:dyDescent="0.25">
      <c r="A855" s="40">
        <f t="shared" si="162"/>
        <v>0</v>
      </c>
      <c r="B855" s="40">
        <f t="shared" si="163"/>
        <v>50</v>
      </c>
      <c r="C855" s="41">
        <f t="shared" si="156"/>
        <v>1.0313000000000001</v>
      </c>
      <c r="D855" s="41">
        <f t="shared" si="157"/>
        <v>0.88000000000000012</v>
      </c>
      <c r="E855" s="39">
        <f>IF(_xlfn.NORM.INV(R855,C855,'Regressão Grupo 2'!$B$7)&lt;=0,0,IF(_xlfn.NORM.INV(R855,C855,'Regressão Grupo 2'!$B$7)&gt;100%,100%,_xlfn.NORM.INV(R855,C855,'Regressão Grupo 2'!$B$7)))</f>
        <v>1</v>
      </c>
      <c r="F855" s="39">
        <f>IF(_xlfn.NORM.INV(S855,D855,'Regressão Grupo 2'!$B$7)&lt;=0,0,IF(_xlfn.NORM.INV(S855,D855,'Regressão Grupo 2'!$B$7)&gt;100%,100%,_xlfn.NORM.INV(S855,D855,'Regressão Grupo 2'!$B$7)))</f>
        <v>0.84302273845218301</v>
      </c>
      <c r="G855" s="41">
        <v>1.249235205336186E-2</v>
      </c>
      <c r="H855" s="41">
        <v>1.8904422009583324E-2</v>
      </c>
      <c r="I855" s="40">
        <f t="shared" si="158"/>
        <v>0</v>
      </c>
      <c r="J855" s="40">
        <f t="shared" si="159"/>
        <v>318.73715222749308</v>
      </c>
      <c r="K855" s="36">
        <v>0.24689631206019846</v>
      </c>
      <c r="L855" s="42">
        <f t="shared" ref="L855:M870" si="165">L854</f>
        <v>0</v>
      </c>
      <c r="M855" s="42">
        <f t="shared" si="165"/>
        <v>20000</v>
      </c>
      <c r="N855" s="42">
        <f t="shared" si="160"/>
        <v>4937.9262412039689</v>
      </c>
      <c r="O855" s="36">
        <v>10.329895222444406</v>
      </c>
      <c r="P855" s="42">
        <f t="shared" si="161"/>
        <v>7706.4099841603702</v>
      </c>
      <c r="Q855" s="42"/>
      <c r="R855">
        <v>0.7983947264015625</v>
      </c>
      <c r="S855">
        <v>0.3945738090151677</v>
      </c>
    </row>
    <row r="856" spans="1:19" x14ac:dyDescent="0.25">
      <c r="A856" s="40">
        <f t="shared" si="162"/>
        <v>0</v>
      </c>
      <c r="B856" s="40">
        <f t="shared" si="163"/>
        <v>50</v>
      </c>
      <c r="C856" s="41">
        <f t="shared" si="156"/>
        <v>1.0313000000000001</v>
      </c>
      <c r="D856" s="41">
        <f t="shared" si="157"/>
        <v>0.88000000000000012</v>
      </c>
      <c r="E856" s="39">
        <f>IF(_xlfn.NORM.INV(R856,C856,'Regressão Grupo 2'!$B$7)&lt;=0,0,IF(_xlfn.NORM.INV(R856,C856,'Regressão Grupo 2'!$B$7)&gt;100%,100%,_xlfn.NORM.INV(R856,C856,'Regressão Grupo 2'!$B$7)))</f>
        <v>0.9866094142419557</v>
      </c>
      <c r="F856" s="39">
        <f>IF(_xlfn.NORM.INV(S856,D856,'Regressão Grupo 2'!$B$7)&lt;=0,0,IF(_xlfn.NORM.INV(S856,D856,'Regressão Grupo 2'!$B$7)&gt;100%,100%,_xlfn.NORM.INV(S856,D856,'Regressão Grupo 2'!$B$7)))</f>
        <v>0.77810776589663555</v>
      </c>
      <c r="G856" s="41">
        <v>2.1842398393745278E-2</v>
      </c>
      <c r="H856" s="41">
        <v>2.5540033877120789E-2</v>
      </c>
      <c r="I856" s="40">
        <f t="shared" si="158"/>
        <v>0</v>
      </c>
      <c r="J856" s="40">
        <f t="shared" si="159"/>
        <v>397.45797402101692</v>
      </c>
      <c r="K856" s="36">
        <v>0.3328900526002162</v>
      </c>
      <c r="L856" s="42">
        <f t="shared" si="165"/>
        <v>0</v>
      </c>
      <c r="M856" s="42">
        <f t="shared" si="165"/>
        <v>20000</v>
      </c>
      <c r="N856" s="42">
        <f t="shared" si="160"/>
        <v>6657.8010520043244</v>
      </c>
      <c r="O856" s="36">
        <v>4.1819293890593574</v>
      </c>
      <c r="P856" s="42">
        <f t="shared" si="161"/>
        <v>11552.956466572039</v>
      </c>
      <c r="Q856" s="42"/>
      <c r="R856">
        <v>0.37327188940092165</v>
      </c>
      <c r="S856">
        <v>0.23059785760063478</v>
      </c>
    </row>
    <row r="857" spans="1:19" x14ac:dyDescent="0.25">
      <c r="A857" s="40">
        <f t="shared" si="162"/>
        <v>0</v>
      </c>
      <c r="B857" s="40">
        <f t="shared" si="163"/>
        <v>50</v>
      </c>
      <c r="C857" s="41">
        <f t="shared" si="156"/>
        <v>1.0313000000000001</v>
      </c>
      <c r="D857" s="41">
        <f t="shared" si="157"/>
        <v>0.88000000000000012</v>
      </c>
      <c r="E857" s="39">
        <f>IF(_xlfn.NORM.INV(R857,C857,'Regressão Grupo 2'!$B$7)&lt;=0,0,IF(_xlfn.NORM.INV(R857,C857,'Regressão Grupo 2'!$B$7)&gt;100%,100%,_xlfn.NORM.INV(R857,C857,'Regressão Grupo 2'!$B$7)))</f>
        <v>1</v>
      </c>
      <c r="F857" s="39">
        <f>IF(_xlfn.NORM.INV(S857,D857,'Regressão Grupo 2'!$B$7)&lt;=0,0,IF(_xlfn.NORM.INV(S857,D857,'Regressão Grupo 2'!$B$7)&gt;100%,100%,_xlfn.NORM.INV(S857,D857,'Regressão Grupo 2'!$B$7)))</f>
        <v>0.66676637961841068</v>
      </c>
      <c r="G857" s="41">
        <v>1.5313728828169551E-2</v>
      </c>
      <c r="H857" s="41">
        <v>3.0012321326102478E-3</v>
      </c>
      <c r="I857" s="40">
        <f t="shared" si="158"/>
        <v>0</v>
      </c>
      <c r="J857" s="40">
        <f t="shared" si="159"/>
        <v>40.022413669099528</v>
      </c>
      <c r="K857" s="36">
        <v>0.25420973236403122</v>
      </c>
      <c r="L857" s="42">
        <f t="shared" si="165"/>
        <v>0</v>
      </c>
      <c r="M857" s="42">
        <f t="shared" si="165"/>
        <v>20000</v>
      </c>
      <c r="N857" s="42">
        <f t="shared" si="160"/>
        <v>5084.1946472806239</v>
      </c>
      <c r="O857" s="36">
        <v>6.4435590713380133</v>
      </c>
      <c r="P857" s="42">
        <f t="shared" si="161"/>
        <v>-3340.960750480016</v>
      </c>
      <c r="Q857" s="42"/>
      <c r="R857">
        <v>0.49262977996154667</v>
      </c>
      <c r="S857">
        <v>6.152531510361034E-2</v>
      </c>
    </row>
    <row r="858" spans="1:19" x14ac:dyDescent="0.25">
      <c r="A858" s="40">
        <f t="shared" si="162"/>
        <v>0</v>
      </c>
      <c r="B858" s="40">
        <f t="shared" si="163"/>
        <v>50</v>
      </c>
      <c r="C858" s="41">
        <f t="shared" si="156"/>
        <v>1.0313000000000001</v>
      </c>
      <c r="D858" s="41">
        <f t="shared" si="157"/>
        <v>0.88000000000000012</v>
      </c>
      <c r="E858" s="39">
        <f>IF(_xlfn.NORM.INV(R858,C858,'Regressão Grupo 2'!$B$7)&lt;=0,0,IF(_xlfn.NORM.INV(R858,C858,'Regressão Grupo 2'!$B$7)&gt;100%,100%,_xlfn.NORM.INV(R858,C858,'Regressão Grupo 2'!$B$7)))</f>
        <v>0.92404321773933773</v>
      </c>
      <c r="F858" s="39">
        <f>IF(_xlfn.NORM.INV(S858,D858,'Regressão Grupo 2'!$B$7)&lt;=0,0,IF(_xlfn.NORM.INV(S858,D858,'Regressão Grupo 2'!$B$7)&gt;100%,100%,_xlfn.NORM.INV(S858,D858,'Regressão Grupo 2'!$B$7)))</f>
        <v>1</v>
      </c>
      <c r="G858" s="41">
        <v>5.5997632061758175E-3</v>
      </c>
      <c r="H858" s="41">
        <v>1.5596178175368026E-2</v>
      </c>
      <c r="I858" s="40">
        <f t="shared" si="158"/>
        <v>0</v>
      </c>
      <c r="J858" s="40">
        <f t="shared" si="159"/>
        <v>311.92356350736054</v>
      </c>
      <c r="K858" s="36">
        <v>0.41477283315954139</v>
      </c>
      <c r="L858" s="42">
        <f t="shared" si="165"/>
        <v>0</v>
      </c>
      <c r="M858" s="42">
        <f t="shared" si="165"/>
        <v>20000</v>
      </c>
      <c r="N858" s="42">
        <f t="shared" si="160"/>
        <v>8295.4566631908274</v>
      </c>
      <c r="O858" s="36">
        <v>5.1980117666389463</v>
      </c>
      <c r="P858" s="42">
        <f t="shared" si="161"/>
        <v>5679.3391587739879</v>
      </c>
      <c r="Q858" s="42"/>
      <c r="R858">
        <v>0.21897030549027985</v>
      </c>
      <c r="S858">
        <v>0.86657307657094029</v>
      </c>
    </row>
    <row r="859" spans="1:19" x14ac:dyDescent="0.25">
      <c r="A859" s="40">
        <f t="shared" si="162"/>
        <v>0</v>
      </c>
      <c r="B859" s="40">
        <f t="shared" si="163"/>
        <v>50</v>
      </c>
      <c r="C859" s="41">
        <f t="shared" si="156"/>
        <v>1.0313000000000001</v>
      </c>
      <c r="D859" s="41">
        <f t="shared" si="157"/>
        <v>0.88000000000000012</v>
      </c>
      <c r="E859" s="39">
        <f>IF(_xlfn.NORM.INV(R859,C859,'Regressão Grupo 2'!$B$7)&lt;=0,0,IF(_xlfn.NORM.INV(R859,C859,'Regressão Grupo 2'!$B$7)&gt;100%,100%,_xlfn.NORM.INV(R859,C859,'Regressão Grupo 2'!$B$7)))</f>
        <v>1</v>
      </c>
      <c r="F859" s="39">
        <f>IF(_xlfn.NORM.INV(S859,D859,'Regressão Grupo 2'!$B$7)&lt;=0,0,IF(_xlfn.NORM.INV(S859,D859,'Regressão Grupo 2'!$B$7)&gt;100%,100%,_xlfn.NORM.INV(S859,D859,'Regressão Grupo 2'!$B$7)))</f>
        <v>0.73563201509824694</v>
      </c>
      <c r="G859" s="41">
        <v>2.0278927617478612E-2</v>
      </c>
      <c r="H859" s="41">
        <v>2.0837655074741022E-2</v>
      </c>
      <c r="I859" s="40">
        <f t="shared" si="158"/>
        <v>0</v>
      </c>
      <c r="J859" s="40">
        <f t="shared" si="159"/>
        <v>306.57692385107902</v>
      </c>
      <c r="K859" s="36">
        <v>0.23248671123155748</v>
      </c>
      <c r="L859" s="42">
        <f t="shared" si="165"/>
        <v>0</v>
      </c>
      <c r="M859" s="42">
        <f t="shared" si="165"/>
        <v>20000</v>
      </c>
      <c r="N859" s="42">
        <f t="shared" si="160"/>
        <v>4649.73422463115</v>
      </c>
      <c r="O859" s="36">
        <v>3.5555042249388595</v>
      </c>
      <c r="P859" s="42">
        <f t="shared" si="161"/>
        <v>9589.0764199015284</v>
      </c>
      <c r="Q859" s="42"/>
      <c r="R859">
        <v>0.92690816980498669</v>
      </c>
      <c r="S859">
        <v>0.14822840052491837</v>
      </c>
    </row>
    <row r="860" spans="1:19" x14ac:dyDescent="0.25">
      <c r="A860" s="40">
        <f t="shared" si="162"/>
        <v>0</v>
      </c>
      <c r="B860" s="40">
        <f t="shared" si="163"/>
        <v>50</v>
      </c>
      <c r="C860" s="41">
        <f t="shared" si="156"/>
        <v>1.0313000000000001</v>
      </c>
      <c r="D860" s="41">
        <f t="shared" si="157"/>
        <v>0.88000000000000012</v>
      </c>
      <c r="E860" s="39">
        <f>IF(_xlfn.NORM.INV(R860,C860,'Regressão Grupo 2'!$B$7)&lt;=0,0,IF(_xlfn.NORM.INV(R860,C860,'Regressão Grupo 2'!$B$7)&gt;100%,100%,_xlfn.NORM.INV(R860,C860,'Regressão Grupo 2'!$B$7)))</f>
        <v>1</v>
      </c>
      <c r="F860" s="39">
        <f>IF(_xlfn.NORM.INV(S860,D860,'Regressão Grupo 2'!$B$7)&lt;=0,0,IF(_xlfn.NORM.INV(S860,D860,'Regressão Grupo 2'!$B$7)&gt;100%,100%,_xlfn.NORM.INV(S860,D860,'Regressão Grupo 2'!$B$7)))</f>
        <v>1</v>
      </c>
      <c r="G860" s="41">
        <v>2.1311254672931317E-2</v>
      </c>
      <c r="H860" s="41">
        <v>1.840205163142844E-2</v>
      </c>
      <c r="I860" s="40">
        <f t="shared" si="158"/>
        <v>0</v>
      </c>
      <c r="J860" s="40">
        <f t="shared" si="159"/>
        <v>368.04103262856881</v>
      </c>
      <c r="K860" s="36">
        <v>0.27996314095236402</v>
      </c>
      <c r="L860" s="42">
        <f t="shared" si="165"/>
        <v>0</v>
      </c>
      <c r="M860" s="42">
        <f t="shared" si="165"/>
        <v>20000</v>
      </c>
      <c r="N860" s="42">
        <f t="shared" si="160"/>
        <v>5599.2628190472806</v>
      </c>
      <c r="O860" s="36">
        <v>5.7548847102607406</v>
      </c>
      <c r="P860" s="42">
        <f t="shared" si="161"/>
        <v>10684.755100958433</v>
      </c>
      <c r="Q860" s="42"/>
      <c r="R860">
        <v>0.54237495040742212</v>
      </c>
      <c r="S860">
        <v>0.89019440290536211</v>
      </c>
    </row>
    <row r="861" spans="1:19" x14ac:dyDescent="0.25">
      <c r="A861" s="40">
        <f t="shared" si="162"/>
        <v>0</v>
      </c>
      <c r="B861" s="40">
        <f t="shared" si="163"/>
        <v>50</v>
      </c>
      <c r="C861" s="41">
        <f t="shared" si="156"/>
        <v>1.0313000000000001</v>
      </c>
      <c r="D861" s="41">
        <f t="shared" si="157"/>
        <v>0.88000000000000012</v>
      </c>
      <c r="E861" s="39">
        <f>IF(_xlfn.NORM.INV(R861,C861,'Regressão Grupo 2'!$B$7)&lt;=0,0,IF(_xlfn.NORM.INV(R861,C861,'Regressão Grupo 2'!$B$7)&gt;100%,100%,_xlfn.NORM.INV(R861,C861,'Regressão Grupo 2'!$B$7)))</f>
        <v>1</v>
      </c>
      <c r="F861" s="39">
        <f>IF(_xlfn.NORM.INV(S861,D861,'Regressão Grupo 2'!$B$7)&lt;=0,0,IF(_xlfn.NORM.INV(S861,D861,'Regressão Grupo 2'!$B$7)&gt;100%,100%,_xlfn.NORM.INV(S861,D861,'Regressão Grupo 2'!$B$7)))</f>
        <v>0.82306118288617092</v>
      </c>
      <c r="G861" s="41">
        <v>2.3323166771076431E-2</v>
      </c>
      <c r="H861" s="41">
        <v>3.801290699453343E-3</v>
      </c>
      <c r="I861" s="40">
        <f t="shared" si="158"/>
        <v>0</v>
      </c>
      <c r="J861" s="40">
        <f t="shared" si="159"/>
        <v>62.57389639172537</v>
      </c>
      <c r="K861" s="36">
        <v>0.33323710517469679</v>
      </c>
      <c r="L861" s="42">
        <f t="shared" si="165"/>
        <v>0</v>
      </c>
      <c r="M861" s="42">
        <f t="shared" si="165"/>
        <v>20000</v>
      </c>
      <c r="N861" s="42">
        <f t="shared" si="160"/>
        <v>6664.7421034939362</v>
      </c>
      <c r="O861" s="36">
        <v>4.5301136009057901</v>
      </c>
      <c r="P861" s="42">
        <f t="shared" si="161"/>
        <v>-3819.5141430134927</v>
      </c>
      <c r="Q861" s="42"/>
      <c r="R861">
        <v>0.64235358745078885</v>
      </c>
      <c r="S861">
        <v>0.34025086214789269</v>
      </c>
    </row>
    <row r="862" spans="1:19" x14ac:dyDescent="0.25">
      <c r="A862" s="40">
        <f t="shared" si="162"/>
        <v>0</v>
      </c>
      <c r="B862" s="40">
        <f t="shared" si="163"/>
        <v>50</v>
      </c>
      <c r="C862" s="41">
        <f t="shared" si="156"/>
        <v>1.0313000000000001</v>
      </c>
      <c r="D862" s="41">
        <f t="shared" si="157"/>
        <v>0.88000000000000012</v>
      </c>
      <c r="E862" s="39">
        <f>IF(_xlfn.NORM.INV(R862,C862,'Regressão Grupo 2'!$B$7)&lt;=0,0,IF(_xlfn.NORM.INV(R862,C862,'Regressão Grupo 2'!$B$7)&gt;100%,100%,_xlfn.NORM.INV(R862,C862,'Regressão Grupo 2'!$B$7)))</f>
        <v>1</v>
      </c>
      <c r="F862" s="39">
        <f>IF(_xlfn.NORM.INV(S862,D862,'Regressão Grupo 2'!$B$7)&lt;=0,0,IF(_xlfn.NORM.INV(S862,D862,'Regressão Grupo 2'!$B$7)&gt;100%,100%,_xlfn.NORM.INV(S862,D862,'Regressão Grupo 2'!$B$7)))</f>
        <v>0.89229177940758397</v>
      </c>
      <c r="G862" s="41">
        <v>1.4528488388981643E-2</v>
      </c>
      <c r="H862" s="41">
        <v>4.0678986111274459E-3</v>
      </c>
      <c r="I862" s="40">
        <f t="shared" si="158"/>
        <v>0</v>
      </c>
      <c r="J862" s="40">
        <f t="shared" si="159"/>
        <v>72.595049803450962</v>
      </c>
      <c r="K862" s="36">
        <v>0.37042496743575215</v>
      </c>
      <c r="L862" s="42">
        <f t="shared" si="165"/>
        <v>0</v>
      </c>
      <c r="M862" s="42">
        <f t="shared" si="165"/>
        <v>20000</v>
      </c>
      <c r="N862" s="42">
        <f t="shared" si="160"/>
        <v>7408.4993487150432</v>
      </c>
      <c r="O862" s="36">
        <v>5.0612753876153027</v>
      </c>
      <c r="P862" s="42">
        <f t="shared" si="161"/>
        <v>-4146.1703973754084</v>
      </c>
      <c r="Q862" s="42"/>
      <c r="R862">
        <v>0.85937070833460494</v>
      </c>
      <c r="S862">
        <v>0.53541673024689473</v>
      </c>
    </row>
    <row r="863" spans="1:19" x14ac:dyDescent="0.25">
      <c r="A863" s="40">
        <f t="shared" si="162"/>
        <v>0</v>
      </c>
      <c r="B863" s="40">
        <f t="shared" si="163"/>
        <v>50</v>
      </c>
      <c r="C863" s="41">
        <f t="shared" si="156"/>
        <v>1.0313000000000001</v>
      </c>
      <c r="D863" s="41">
        <f t="shared" si="157"/>
        <v>0.88000000000000012</v>
      </c>
      <c r="E863" s="39">
        <f>IF(_xlfn.NORM.INV(R863,C863,'Regressão Grupo 2'!$B$7)&lt;=0,0,IF(_xlfn.NORM.INV(R863,C863,'Regressão Grupo 2'!$B$7)&gt;100%,100%,_xlfn.NORM.INV(R863,C863,'Regressão Grupo 2'!$B$7)))</f>
        <v>0.84747904147334663</v>
      </c>
      <c r="F863" s="39">
        <f>IF(_xlfn.NORM.INV(S863,D863,'Regressão Grupo 2'!$B$7)&lt;=0,0,IF(_xlfn.NORM.INV(S863,D863,'Regressão Grupo 2'!$B$7)&gt;100%,100%,_xlfn.NORM.INV(S863,D863,'Regressão Grupo 2'!$B$7)))</f>
        <v>0.81323928567465531</v>
      </c>
      <c r="G863" s="41">
        <v>1.9274122902473875E-2</v>
      </c>
      <c r="H863" s="41">
        <v>1.2414021438521121E-2</v>
      </c>
      <c r="I863" s="40">
        <f t="shared" si="158"/>
        <v>0</v>
      </c>
      <c r="J863" s="40">
        <f t="shared" si="159"/>
        <v>201.91139854025548</v>
      </c>
      <c r="K863" s="36">
        <v>0.26816007850881063</v>
      </c>
      <c r="L863" s="42">
        <f t="shared" si="165"/>
        <v>0</v>
      </c>
      <c r="M863" s="42">
        <f t="shared" si="165"/>
        <v>20000</v>
      </c>
      <c r="N863" s="42">
        <f t="shared" si="160"/>
        <v>5363.201570176213</v>
      </c>
      <c r="O863" s="36">
        <v>5.6078024131141904</v>
      </c>
      <c r="P863" s="42">
        <f t="shared" si="161"/>
        <v>3600.0891288672547</v>
      </c>
      <c r="Q863" s="42"/>
      <c r="R863">
        <v>9.1860713522751547E-2</v>
      </c>
      <c r="S863">
        <v>0.31461531418805505</v>
      </c>
    </row>
    <row r="864" spans="1:19" x14ac:dyDescent="0.25">
      <c r="A864" s="40">
        <f t="shared" si="162"/>
        <v>0</v>
      </c>
      <c r="B864" s="40">
        <f t="shared" si="163"/>
        <v>50</v>
      </c>
      <c r="C864" s="41">
        <f t="shared" si="156"/>
        <v>1.0313000000000001</v>
      </c>
      <c r="D864" s="41">
        <f t="shared" si="157"/>
        <v>0.88000000000000012</v>
      </c>
      <c r="E864" s="39">
        <f>IF(_xlfn.NORM.INV(R864,C864,'Regressão Grupo 2'!$B$7)&lt;=0,0,IF(_xlfn.NORM.INV(R864,C864,'Regressão Grupo 2'!$B$7)&gt;100%,100%,_xlfn.NORM.INV(R864,C864,'Regressão Grupo 2'!$B$7)))</f>
        <v>1</v>
      </c>
      <c r="F864" s="39">
        <f>IF(_xlfn.NORM.INV(S864,D864,'Regressão Grupo 2'!$B$7)&lt;=0,0,IF(_xlfn.NORM.INV(S864,D864,'Regressão Grupo 2'!$B$7)&gt;100%,100%,_xlfn.NORM.INV(S864,D864,'Regressão Grupo 2'!$B$7)))</f>
        <v>0.63288346053400546</v>
      </c>
      <c r="G864" s="41">
        <v>2.5166774000066131E-2</v>
      </c>
      <c r="H864" s="41">
        <v>2.15786771088287E-2</v>
      </c>
      <c r="I864" s="40">
        <f t="shared" si="158"/>
        <v>0</v>
      </c>
      <c r="J864" s="40">
        <f t="shared" si="159"/>
        <v>273.13575684762873</v>
      </c>
      <c r="K864" s="36">
        <v>0.29595474240306474</v>
      </c>
      <c r="L864" s="42">
        <f t="shared" si="165"/>
        <v>0</v>
      </c>
      <c r="M864" s="42">
        <f t="shared" si="165"/>
        <v>20000</v>
      </c>
      <c r="N864" s="42">
        <f t="shared" si="160"/>
        <v>5919.0948480612951</v>
      </c>
      <c r="O864" s="36">
        <v>6.6007852106208729</v>
      </c>
      <c r="P864" s="42">
        <f t="shared" si="161"/>
        <v>5934.7825300285749</v>
      </c>
      <c r="Q864" s="42"/>
      <c r="R864">
        <v>0.53199865718558303</v>
      </c>
      <c r="S864">
        <v>3.6957914975432597E-2</v>
      </c>
    </row>
    <row r="865" spans="1:19" x14ac:dyDescent="0.25">
      <c r="A865" s="40">
        <f t="shared" si="162"/>
        <v>0</v>
      </c>
      <c r="B865" s="40">
        <f t="shared" si="163"/>
        <v>50</v>
      </c>
      <c r="C865" s="41">
        <f t="shared" si="156"/>
        <v>1.0313000000000001</v>
      </c>
      <c r="D865" s="41">
        <f t="shared" si="157"/>
        <v>0.88000000000000012</v>
      </c>
      <c r="E865" s="39">
        <f>IF(_xlfn.NORM.INV(R865,C865,'Regressão Grupo 2'!$B$7)&lt;=0,0,IF(_xlfn.NORM.INV(R865,C865,'Regressão Grupo 2'!$B$7)&gt;100%,100%,_xlfn.NORM.INV(R865,C865,'Regressão Grupo 2'!$B$7)))</f>
        <v>0.8608822227325309</v>
      </c>
      <c r="F865" s="39">
        <f>IF(_xlfn.NORM.INV(S865,D865,'Regressão Grupo 2'!$B$7)&lt;=0,0,IF(_xlfn.NORM.INV(S865,D865,'Regressão Grupo 2'!$B$7)&gt;100%,100%,_xlfn.NORM.INV(S865,D865,'Regressão Grupo 2'!$B$7)))</f>
        <v>0.86545510528321112</v>
      </c>
      <c r="G865" s="41">
        <v>7.0980837519485857E-3</v>
      </c>
      <c r="H865" s="41">
        <v>2.037447820566822E-2</v>
      </c>
      <c r="I865" s="40">
        <f t="shared" si="158"/>
        <v>0</v>
      </c>
      <c r="J865" s="40">
        <f t="shared" si="159"/>
        <v>352.66392361154163</v>
      </c>
      <c r="K865" s="36">
        <v>0.26067798022777772</v>
      </c>
      <c r="L865" s="42">
        <f t="shared" si="165"/>
        <v>0</v>
      </c>
      <c r="M865" s="42">
        <f t="shared" si="165"/>
        <v>20000</v>
      </c>
      <c r="N865" s="42">
        <f t="shared" si="160"/>
        <v>5213.559604555554</v>
      </c>
      <c r="O865" s="36">
        <v>8.5090669063884192</v>
      </c>
      <c r="P865" s="42">
        <f t="shared" si="161"/>
        <v>9418.7956545414636</v>
      </c>
      <c r="Q865" s="42"/>
      <c r="R865">
        <v>0.10889004181035798</v>
      </c>
      <c r="S865">
        <v>0.45811334574419388</v>
      </c>
    </row>
    <row r="866" spans="1:19" x14ac:dyDescent="0.25">
      <c r="A866" s="40">
        <f t="shared" si="162"/>
        <v>0</v>
      </c>
      <c r="B866" s="40">
        <f t="shared" si="163"/>
        <v>50</v>
      </c>
      <c r="C866" s="41">
        <f t="shared" si="156"/>
        <v>1.0313000000000001</v>
      </c>
      <c r="D866" s="41">
        <f t="shared" si="157"/>
        <v>0.88000000000000012</v>
      </c>
      <c r="E866" s="39">
        <f>IF(_xlfn.NORM.INV(R866,C866,'Regressão Grupo 2'!$B$7)&lt;=0,0,IF(_xlfn.NORM.INV(R866,C866,'Regressão Grupo 2'!$B$7)&gt;100%,100%,_xlfn.NORM.INV(R866,C866,'Regressão Grupo 2'!$B$7)))</f>
        <v>0.93285940732744699</v>
      </c>
      <c r="F866" s="39">
        <f>IF(_xlfn.NORM.INV(S866,D866,'Regressão Grupo 2'!$B$7)&lt;=0,0,IF(_xlfn.NORM.INV(S866,D866,'Regressão Grupo 2'!$B$7)&gt;100%,100%,_xlfn.NORM.INV(S866,D866,'Regressão Grupo 2'!$B$7)))</f>
        <v>0.82512737010544623</v>
      </c>
      <c r="G866" s="41">
        <v>2.104075588006573E-2</v>
      </c>
      <c r="H866" s="41">
        <v>1.2407285651884824E-2</v>
      </c>
      <c r="I866" s="40">
        <f t="shared" si="158"/>
        <v>0</v>
      </c>
      <c r="J866" s="40">
        <f t="shared" si="159"/>
        <v>204.75181960173526</v>
      </c>
      <c r="K866" s="36">
        <v>0.41462031288781559</v>
      </c>
      <c r="L866" s="42">
        <f t="shared" si="165"/>
        <v>0</v>
      </c>
      <c r="M866" s="42">
        <f t="shared" si="165"/>
        <v>20000</v>
      </c>
      <c r="N866" s="42">
        <f t="shared" si="160"/>
        <v>8292.4062577563127</v>
      </c>
      <c r="O866" s="36">
        <v>5.4800605681881267</v>
      </c>
      <c r="P866" s="42">
        <f t="shared" si="161"/>
        <v>823.13234946621196</v>
      </c>
      <c r="Q866" s="42"/>
      <c r="R866">
        <v>0.23825800347911008</v>
      </c>
      <c r="S866">
        <v>0.34574419385357219</v>
      </c>
    </row>
    <row r="867" spans="1:19" x14ac:dyDescent="0.25">
      <c r="A867" s="40">
        <f t="shared" si="162"/>
        <v>0</v>
      </c>
      <c r="B867" s="40">
        <f t="shared" si="163"/>
        <v>50</v>
      </c>
      <c r="C867" s="41">
        <f t="shared" si="156"/>
        <v>1.0313000000000001</v>
      </c>
      <c r="D867" s="41">
        <f t="shared" si="157"/>
        <v>0.88000000000000012</v>
      </c>
      <c r="E867" s="39">
        <f>IF(_xlfn.NORM.INV(R867,C867,'Regressão Grupo 2'!$B$7)&lt;=0,0,IF(_xlfn.NORM.INV(R867,C867,'Regressão Grupo 2'!$B$7)&gt;100%,100%,_xlfn.NORM.INV(R867,C867,'Regressão Grupo 2'!$B$7)))</f>
        <v>0.99129886829374236</v>
      </c>
      <c r="F867" s="39">
        <f>IF(_xlfn.NORM.INV(S867,D867,'Regressão Grupo 2'!$B$7)&lt;=0,0,IF(_xlfn.NORM.INV(S867,D867,'Regressão Grupo 2'!$B$7)&gt;100%,100%,_xlfn.NORM.INV(S867,D867,'Regressão Grupo 2'!$B$7)))</f>
        <v>0.8996294895810556</v>
      </c>
      <c r="G867" s="41">
        <v>1.5502837798079053E-2</v>
      </c>
      <c r="H867" s="41">
        <v>2.7329347053386591E-2</v>
      </c>
      <c r="I867" s="40">
        <f t="shared" si="158"/>
        <v>0</v>
      </c>
      <c r="J867" s="40">
        <f t="shared" si="159"/>
        <v>491.72573080443408</v>
      </c>
      <c r="K867" s="36">
        <v>0.29109586500867329</v>
      </c>
      <c r="L867" s="42">
        <f t="shared" si="165"/>
        <v>0</v>
      </c>
      <c r="M867" s="42">
        <f t="shared" si="165"/>
        <v>20000</v>
      </c>
      <c r="N867" s="42">
        <f t="shared" si="160"/>
        <v>5821.9173001734662</v>
      </c>
      <c r="O867" s="36">
        <v>8.7120214431307001</v>
      </c>
      <c r="P867" s="42">
        <f t="shared" si="161"/>
        <v>14480.444129140891</v>
      </c>
      <c r="Q867" s="42"/>
      <c r="R867">
        <v>0.38618121890926849</v>
      </c>
      <c r="S867">
        <v>0.55644398327585676</v>
      </c>
    </row>
    <row r="868" spans="1:19" x14ac:dyDescent="0.25">
      <c r="A868" s="40">
        <f t="shared" si="162"/>
        <v>0</v>
      </c>
      <c r="B868" s="40">
        <f t="shared" si="163"/>
        <v>50</v>
      </c>
      <c r="C868" s="41">
        <f t="shared" si="156"/>
        <v>1.0313000000000001</v>
      </c>
      <c r="D868" s="41">
        <f t="shared" si="157"/>
        <v>0.88000000000000012</v>
      </c>
      <c r="E868" s="39">
        <f>IF(_xlfn.NORM.INV(R868,C868,'Regressão Grupo 2'!$B$7)&lt;=0,0,IF(_xlfn.NORM.INV(R868,C868,'Regressão Grupo 2'!$B$7)&gt;100%,100%,_xlfn.NORM.INV(R868,C868,'Regressão Grupo 2'!$B$7)))</f>
        <v>1</v>
      </c>
      <c r="F868" s="39">
        <f>IF(_xlfn.NORM.INV(S868,D868,'Regressão Grupo 2'!$B$7)&lt;=0,0,IF(_xlfn.NORM.INV(S868,D868,'Regressão Grupo 2'!$B$7)&gt;100%,100%,_xlfn.NORM.INV(S868,D868,'Regressão Grupo 2'!$B$7)))</f>
        <v>0.90814514497724785</v>
      </c>
      <c r="G868" s="41">
        <v>1.9746458689772598E-2</v>
      </c>
      <c r="H868" s="41">
        <v>1.8455299901744982E-2</v>
      </c>
      <c r="I868" s="40">
        <f t="shared" si="158"/>
        <v>0</v>
      </c>
      <c r="J868" s="40">
        <f t="shared" si="159"/>
        <v>335.20182009737567</v>
      </c>
      <c r="K868" s="36">
        <v>0.29245363742307662</v>
      </c>
      <c r="L868" s="42">
        <f t="shared" si="165"/>
        <v>0</v>
      </c>
      <c r="M868" s="42">
        <f t="shared" si="165"/>
        <v>20000</v>
      </c>
      <c r="N868" s="42">
        <f t="shared" si="160"/>
        <v>5849.0727484615327</v>
      </c>
      <c r="O868" s="36">
        <v>8.980062263711865</v>
      </c>
      <c r="P868" s="42">
        <f t="shared" si="161"/>
        <v>7900.8850410232753</v>
      </c>
      <c r="Q868" s="42"/>
      <c r="R868">
        <v>0.5298318430127873</v>
      </c>
      <c r="S868">
        <v>0.58064516129032262</v>
      </c>
    </row>
    <row r="869" spans="1:19" x14ac:dyDescent="0.25">
      <c r="A869" s="40">
        <f t="shared" si="162"/>
        <v>0</v>
      </c>
      <c r="B869" s="40">
        <f t="shared" si="163"/>
        <v>50</v>
      </c>
      <c r="C869" s="41">
        <f t="shared" si="156"/>
        <v>1.0313000000000001</v>
      </c>
      <c r="D869" s="41">
        <f t="shared" si="157"/>
        <v>0.88000000000000012</v>
      </c>
      <c r="E869" s="39">
        <f>IF(_xlfn.NORM.INV(R869,C869,'Regressão Grupo 2'!$B$7)&lt;=0,0,IF(_xlfn.NORM.INV(R869,C869,'Regressão Grupo 2'!$B$7)&gt;100%,100%,_xlfn.NORM.INV(R869,C869,'Regressão Grupo 2'!$B$7)))</f>
        <v>1</v>
      </c>
      <c r="F869" s="39">
        <f>IF(_xlfn.NORM.INV(S869,D869,'Regressão Grupo 2'!$B$7)&lt;=0,0,IF(_xlfn.NORM.INV(S869,D869,'Regressão Grupo 2'!$B$7)&gt;100%,100%,_xlfn.NORM.INV(S869,D869,'Regressão Grupo 2'!$B$7)))</f>
        <v>0.71050528447028105</v>
      </c>
      <c r="G869" s="41">
        <v>1.8640927640851523E-2</v>
      </c>
      <c r="H869" s="41">
        <v>2.4288668331697589E-2</v>
      </c>
      <c r="I869" s="40">
        <f t="shared" si="158"/>
        <v>0</v>
      </c>
      <c r="J869" s="40">
        <f t="shared" si="159"/>
        <v>345.14454404834203</v>
      </c>
      <c r="K869" s="36">
        <v>0.3118513392122777</v>
      </c>
      <c r="L869" s="42">
        <f t="shared" si="165"/>
        <v>0</v>
      </c>
      <c r="M869" s="42">
        <f t="shared" si="165"/>
        <v>20000</v>
      </c>
      <c r="N869" s="42">
        <f t="shared" si="160"/>
        <v>6237.0267842455542</v>
      </c>
      <c r="O869" s="36">
        <v>5.086243903212222</v>
      </c>
      <c r="P869" s="42">
        <f t="shared" si="161"/>
        <v>9264.7110852787046</v>
      </c>
      <c r="Q869" s="42"/>
      <c r="R869">
        <v>0.74529251991332746</v>
      </c>
      <c r="S869">
        <v>0.11014130069887387</v>
      </c>
    </row>
    <row r="870" spans="1:19" x14ac:dyDescent="0.25">
      <c r="A870" s="40">
        <f t="shared" si="162"/>
        <v>0</v>
      </c>
      <c r="B870" s="40">
        <f t="shared" si="163"/>
        <v>50</v>
      </c>
      <c r="C870" s="41">
        <f t="shared" si="156"/>
        <v>1.0313000000000001</v>
      </c>
      <c r="D870" s="41">
        <f t="shared" si="157"/>
        <v>0.88000000000000012</v>
      </c>
      <c r="E870" s="39">
        <f>IF(_xlfn.NORM.INV(R870,C870,'Regressão Grupo 2'!$B$7)&lt;=0,0,IF(_xlfn.NORM.INV(R870,C870,'Regressão Grupo 2'!$B$7)&gt;100%,100%,_xlfn.NORM.INV(R870,C870,'Regressão Grupo 2'!$B$7)))</f>
        <v>1</v>
      </c>
      <c r="F870" s="39">
        <f>IF(_xlfn.NORM.INV(S870,D870,'Regressão Grupo 2'!$B$7)&lt;=0,0,IF(_xlfn.NORM.INV(S870,D870,'Regressão Grupo 2'!$B$7)&gt;100%,100%,_xlfn.NORM.INV(S870,D870,'Regressão Grupo 2'!$B$7)))</f>
        <v>0.71947326117918187</v>
      </c>
      <c r="G870" s="41">
        <v>1.4879642659634195E-2</v>
      </c>
      <c r="H870" s="41">
        <v>2.4600936197266797E-2</v>
      </c>
      <c r="I870" s="40">
        <f t="shared" si="158"/>
        <v>0</v>
      </c>
      <c r="J870" s="40">
        <f t="shared" si="159"/>
        <v>353.99431587817048</v>
      </c>
      <c r="K870" s="36">
        <v>0.14975990825497429</v>
      </c>
      <c r="L870" s="42">
        <f t="shared" si="165"/>
        <v>0</v>
      </c>
      <c r="M870" s="42">
        <f t="shared" si="165"/>
        <v>20000</v>
      </c>
      <c r="N870" s="42">
        <f t="shared" si="160"/>
        <v>2995.1981650994858</v>
      </c>
      <c r="O870" s="36">
        <v>2.6908178897261905</v>
      </c>
      <c r="P870" s="42">
        <f t="shared" si="161"/>
        <v>13751.983390782672</v>
      </c>
      <c r="Q870" s="42"/>
      <c r="R870">
        <v>0.50895718253120514</v>
      </c>
      <c r="S870">
        <v>0.1228370006408887</v>
      </c>
    </row>
    <row r="871" spans="1:19" x14ac:dyDescent="0.25">
      <c r="A871" s="40">
        <f t="shared" si="162"/>
        <v>0</v>
      </c>
      <c r="B871" s="40">
        <f t="shared" si="163"/>
        <v>50</v>
      </c>
      <c r="C871" s="41">
        <f t="shared" si="156"/>
        <v>1.0313000000000001</v>
      </c>
      <c r="D871" s="41">
        <f t="shared" si="157"/>
        <v>0.88000000000000012</v>
      </c>
      <c r="E871" s="39">
        <f>IF(_xlfn.NORM.INV(R871,C871,'Regressão Grupo 2'!$B$7)&lt;=0,0,IF(_xlfn.NORM.INV(R871,C871,'Regressão Grupo 2'!$B$7)&gt;100%,100%,_xlfn.NORM.INV(R871,C871,'Regressão Grupo 2'!$B$7)))</f>
        <v>1</v>
      </c>
      <c r="F871" s="39">
        <f>IF(_xlfn.NORM.INV(S871,D871,'Regressão Grupo 2'!$B$7)&lt;=0,0,IF(_xlfn.NORM.INV(S871,D871,'Regressão Grupo 2'!$B$7)&gt;100%,100%,_xlfn.NORM.INV(S871,D871,'Regressão Grupo 2'!$B$7)))</f>
        <v>0.85700930164801004</v>
      </c>
      <c r="G871" s="41">
        <v>1.4821060507664029E-2</v>
      </c>
      <c r="H871" s="41">
        <v>1.0908908530899908E-2</v>
      </c>
      <c r="I871" s="40">
        <f t="shared" si="158"/>
        <v>0</v>
      </c>
      <c r="J871" s="40">
        <f t="shared" si="159"/>
        <v>186.98072163617098</v>
      </c>
      <c r="K871" s="36">
        <v>0.30276663562447609</v>
      </c>
      <c r="L871" s="42">
        <f t="shared" ref="L871:M886" si="166">L870</f>
        <v>0</v>
      </c>
      <c r="M871" s="42">
        <f t="shared" si="166"/>
        <v>20000</v>
      </c>
      <c r="N871" s="42">
        <f t="shared" si="160"/>
        <v>6055.3327124895213</v>
      </c>
      <c r="O871" s="36">
        <v>6.276378682867997</v>
      </c>
      <c r="P871" s="42">
        <f t="shared" si="161"/>
        <v>2120.1415539344898</v>
      </c>
      <c r="Q871" s="42"/>
      <c r="R871">
        <v>0.47859126560258797</v>
      </c>
      <c r="S871">
        <v>0.43397320474868006</v>
      </c>
    </row>
    <row r="872" spans="1:19" x14ac:dyDescent="0.25">
      <c r="A872" s="40">
        <f t="shared" si="162"/>
        <v>0</v>
      </c>
      <c r="B872" s="40">
        <f t="shared" si="163"/>
        <v>50</v>
      </c>
      <c r="C872" s="41">
        <f t="shared" si="156"/>
        <v>1.0313000000000001</v>
      </c>
      <c r="D872" s="41">
        <f t="shared" si="157"/>
        <v>0.88000000000000012</v>
      </c>
      <c r="E872" s="39">
        <f>IF(_xlfn.NORM.INV(R872,C872,'Regressão Grupo 2'!$B$7)&lt;=0,0,IF(_xlfn.NORM.INV(R872,C872,'Regressão Grupo 2'!$B$7)&gt;100%,100%,_xlfn.NORM.INV(R872,C872,'Regressão Grupo 2'!$B$7)))</f>
        <v>0.89136389262494808</v>
      </c>
      <c r="F872" s="39">
        <f>IF(_xlfn.NORM.INV(S872,D872,'Regressão Grupo 2'!$B$7)&lt;=0,0,IF(_xlfn.NORM.INV(S872,D872,'Regressão Grupo 2'!$B$7)&gt;100%,100%,_xlfn.NORM.INV(S872,D872,'Regressão Grupo 2'!$B$7)))</f>
        <v>0.97728558224545414</v>
      </c>
      <c r="G872" s="41">
        <v>1.8477248971457375E-2</v>
      </c>
      <c r="H872" s="41">
        <v>1.5050813913990558E-2</v>
      </c>
      <c r="I872" s="40">
        <f t="shared" si="158"/>
        <v>0</v>
      </c>
      <c r="J872" s="40">
        <f t="shared" si="159"/>
        <v>294.17886878404494</v>
      </c>
      <c r="K872" s="36">
        <v>0.45329156587618957</v>
      </c>
      <c r="L872" s="42">
        <f t="shared" si="166"/>
        <v>0</v>
      </c>
      <c r="M872" s="42">
        <f t="shared" si="166"/>
        <v>20000</v>
      </c>
      <c r="N872" s="42">
        <f t="shared" si="160"/>
        <v>9065.8313175237909</v>
      </c>
      <c r="O872" s="36">
        <v>8.5643716074766747</v>
      </c>
      <c r="P872" s="42">
        <f t="shared" si="161"/>
        <v>3123.6549703447763</v>
      </c>
      <c r="Q872" s="42"/>
      <c r="R872">
        <v>0.15576647236548968</v>
      </c>
      <c r="S872">
        <v>0.75914792321543012</v>
      </c>
    </row>
    <row r="873" spans="1:19" x14ac:dyDescent="0.25">
      <c r="A873" s="40">
        <f t="shared" si="162"/>
        <v>0</v>
      </c>
      <c r="B873" s="40">
        <f t="shared" si="163"/>
        <v>50</v>
      </c>
      <c r="C873" s="41">
        <f t="shared" si="156"/>
        <v>1.0313000000000001</v>
      </c>
      <c r="D873" s="41">
        <f t="shared" si="157"/>
        <v>0.88000000000000012</v>
      </c>
      <c r="E873" s="39">
        <f>IF(_xlfn.NORM.INV(R873,C873,'Regressão Grupo 2'!$B$7)&lt;=0,0,IF(_xlfn.NORM.INV(R873,C873,'Regressão Grupo 2'!$B$7)&gt;100%,100%,_xlfn.NORM.INV(R873,C873,'Regressão Grupo 2'!$B$7)))</f>
        <v>1</v>
      </c>
      <c r="F873" s="39">
        <f>IF(_xlfn.NORM.INV(S873,D873,'Regressão Grupo 2'!$B$7)&lt;=0,0,IF(_xlfn.NORM.INV(S873,D873,'Regressão Grupo 2'!$B$7)&gt;100%,100%,_xlfn.NORM.INV(S873,D873,'Regressão Grupo 2'!$B$7)))</f>
        <v>0.76140276506795812</v>
      </c>
      <c r="G873" s="41">
        <v>1.9272047434184321E-2</v>
      </c>
      <c r="H873" s="41">
        <v>1.6765464689513995E-2</v>
      </c>
      <c r="I873" s="40">
        <f t="shared" si="158"/>
        <v>0</v>
      </c>
      <c r="J873" s="40">
        <f t="shared" si="159"/>
        <v>255.30542344490343</v>
      </c>
      <c r="K873" s="36">
        <v>0.1848040375054259</v>
      </c>
      <c r="L873" s="42">
        <f t="shared" si="166"/>
        <v>0</v>
      </c>
      <c r="M873" s="42">
        <f t="shared" si="166"/>
        <v>20000</v>
      </c>
      <c r="N873" s="42">
        <f t="shared" si="160"/>
        <v>3696.0807501085178</v>
      </c>
      <c r="O873" s="36">
        <v>3.1458124014358591</v>
      </c>
      <c r="P873" s="42">
        <f t="shared" si="161"/>
        <v>8266.0474549098435</v>
      </c>
      <c r="Q873" s="42"/>
      <c r="R873">
        <v>0.54469435712759784</v>
      </c>
      <c r="S873">
        <v>0.195532090212714</v>
      </c>
    </row>
    <row r="874" spans="1:19" x14ac:dyDescent="0.25">
      <c r="A874" s="40">
        <f t="shared" si="162"/>
        <v>0</v>
      </c>
      <c r="B874" s="40">
        <f t="shared" si="163"/>
        <v>50</v>
      </c>
      <c r="C874" s="41">
        <f t="shared" si="156"/>
        <v>1.0313000000000001</v>
      </c>
      <c r="D874" s="41">
        <f t="shared" si="157"/>
        <v>0.88000000000000012</v>
      </c>
      <c r="E874" s="39">
        <f>IF(_xlfn.NORM.INV(R874,C874,'Regressão Grupo 2'!$B$7)&lt;=0,0,IF(_xlfn.NORM.INV(R874,C874,'Regressão Grupo 2'!$B$7)&gt;100%,100%,_xlfn.NORM.INV(R874,C874,'Regressão Grupo 2'!$B$7)))</f>
        <v>0.9731731502742198</v>
      </c>
      <c r="F874" s="39">
        <f>IF(_xlfn.NORM.INV(S874,D874,'Regressão Grupo 2'!$B$7)&lt;=0,0,IF(_xlfn.NORM.INV(S874,D874,'Regressão Grupo 2'!$B$7)&gt;100%,100%,_xlfn.NORM.INV(S874,D874,'Regressão Grupo 2'!$B$7)))</f>
        <v>0.98678581532055365</v>
      </c>
      <c r="G874" s="41">
        <v>2.1212722959674482E-2</v>
      </c>
      <c r="H874" s="41">
        <v>2.0136633845024319E-2</v>
      </c>
      <c r="I874" s="40">
        <f t="shared" si="158"/>
        <v>0</v>
      </c>
      <c r="J874" s="40">
        <f t="shared" si="159"/>
        <v>397.41089293147553</v>
      </c>
      <c r="K874" s="36">
        <v>0.44736119771632932</v>
      </c>
      <c r="L874" s="42">
        <f t="shared" si="166"/>
        <v>0</v>
      </c>
      <c r="M874" s="42">
        <f t="shared" si="166"/>
        <v>20000</v>
      </c>
      <c r="N874" s="42">
        <f t="shared" si="160"/>
        <v>8947.223954326586</v>
      </c>
      <c r="O874" s="36">
        <v>9.8201467870425674</v>
      </c>
      <c r="P874" s="42">
        <f t="shared" si="161"/>
        <v>7020.6873888904447</v>
      </c>
      <c r="Q874" s="42"/>
      <c r="R874">
        <v>0.33710745567186501</v>
      </c>
      <c r="S874">
        <v>0.78002258369701227</v>
      </c>
    </row>
    <row r="875" spans="1:19" x14ac:dyDescent="0.25">
      <c r="A875" s="40">
        <f t="shared" si="162"/>
        <v>0</v>
      </c>
      <c r="B875" s="40">
        <f t="shared" si="163"/>
        <v>50</v>
      </c>
      <c r="C875" s="41">
        <f t="shared" si="156"/>
        <v>1.0313000000000001</v>
      </c>
      <c r="D875" s="41">
        <f t="shared" si="157"/>
        <v>0.88000000000000012</v>
      </c>
      <c r="E875" s="39">
        <f>IF(_xlfn.NORM.INV(R875,C875,'Regressão Grupo 2'!$B$7)&lt;=0,0,IF(_xlfn.NORM.INV(R875,C875,'Regressão Grupo 2'!$B$7)&gt;100%,100%,_xlfn.NORM.INV(R875,C875,'Regressão Grupo 2'!$B$7)))</f>
        <v>1</v>
      </c>
      <c r="F875" s="39">
        <f>IF(_xlfn.NORM.INV(S875,D875,'Regressão Grupo 2'!$B$7)&lt;=0,0,IF(_xlfn.NORM.INV(S875,D875,'Regressão Grupo 2'!$B$7)&gt;100%,100%,_xlfn.NORM.INV(S875,D875,'Regressão Grupo 2'!$B$7)))</f>
        <v>0.89724952967696714</v>
      </c>
      <c r="G875" s="41">
        <v>2.0482977871037034E-2</v>
      </c>
      <c r="H875" s="41">
        <v>2.4313182368707789E-2</v>
      </c>
      <c r="I875" s="40">
        <f t="shared" si="158"/>
        <v>0</v>
      </c>
      <c r="J875" s="40">
        <f t="shared" si="159"/>
        <v>436.29982890546785</v>
      </c>
      <c r="K875" s="36">
        <v>0.20926874721827987</v>
      </c>
      <c r="L875" s="42">
        <f t="shared" si="166"/>
        <v>0</v>
      </c>
      <c r="M875" s="42">
        <f t="shared" si="166"/>
        <v>20000</v>
      </c>
      <c r="N875" s="42">
        <f t="shared" si="160"/>
        <v>4185.374944365597</v>
      </c>
      <c r="O875" s="36">
        <v>6.2723588014827065</v>
      </c>
      <c r="P875" s="42">
        <f t="shared" si="161"/>
        <v>14892.987428987184</v>
      </c>
      <c r="Q875" s="42"/>
      <c r="R875">
        <v>0.89870906704916531</v>
      </c>
      <c r="S875">
        <v>0.54963835566270947</v>
      </c>
    </row>
    <row r="876" spans="1:19" x14ac:dyDescent="0.25">
      <c r="A876" s="40">
        <f t="shared" si="162"/>
        <v>0</v>
      </c>
      <c r="B876" s="40">
        <f t="shared" si="163"/>
        <v>50</v>
      </c>
      <c r="C876" s="41">
        <f t="shared" si="156"/>
        <v>1.0313000000000001</v>
      </c>
      <c r="D876" s="41">
        <f t="shared" si="157"/>
        <v>0.88000000000000012</v>
      </c>
      <c r="E876" s="39">
        <f>IF(_xlfn.NORM.INV(R876,C876,'Regressão Grupo 2'!$B$7)&lt;=0,0,IF(_xlfn.NORM.INV(R876,C876,'Regressão Grupo 2'!$B$7)&gt;100%,100%,_xlfn.NORM.INV(R876,C876,'Regressão Grupo 2'!$B$7)))</f>
        <v>0.76786886133303889</v>
      </c>
      <c r="F876" s="39">
        <f>IF(_xlfn.NORM.INV(S876,D876,'Regressão Grupo 2'!$B$7)&lt;=0,0,IF(_xlfn.NORM.INV(S876,D876,'Regressão Grupo 2'!$B$7)&gt;100%,100%,_xlfn.NORM.INV(S876,D876,'Regressão Grupo 2'!$B$7)))</f>
        <v>0.85891624031324765</v>
      </c>
      <c r="G876" s="41">
        <v>1.4002456909260497E-2</v>
      </c>
      <c r="H876" s="41">
        <v>2.5159396916950703E-2</v>
      </c>
      <c r="I876" s="40">
        <f t="shared" si="158"/>
        <v>0</v>
      </c>
      <c r="J876" s="40">
        <f t="shared" si="159"/>
        <v>432.19629216912028</v>
      </c>
      <c r="K876" s="36">
        <v>0.30049138830123701</v>
      </c>
      <c r="L876" s="42">
        <f t="shared" si="166"/>
        <v>0</v>
      </c>
      <c r="M876" s="42">
        <f t="shared" si="166"/>
        <v>20000</v>
      </c>
      <c r="N876" s="42">
        <f t="shared" si="160"/>
        <v>6009.8277660247404</v>
      </c>
      <c r="O876" s="36">
        <v>8.6375180926334529</v>
      </c>
      <c r="P876" s="42">
        <f t="shared" si="161"/>
        <v>11866.883549251404</v>
      </c>
      <c r="Q876" s="42"/>
      <c r="R876">
        <v>2.8382213812677391E-2</v>
      </c>
      <c r="S876">
        <v>0.43940549943540758</v>
      </c>
    </row>
    <row r="877" spans="1:19" x14ac:dyDescent="0.25">
      <c r="A877" s="40">
        <f t="shared" si="162"/>
        <v>0</v>
      </c>
      <c r="B877" s="40">
        <f t="shared" si="163"/>
        <v>50</v>
      </c>
      <c r="C877" s="41">
        <f t="shared" si="156"/>
        <v>1.0313000000000001</v>
      </c>
      <c r="D877" s="41">
        <f t="shared" si="157"/>
        <v>0.88000000000000012</v>
      </c>
      <c r="E877" s="39">
        <f>IF(_xlfn.NORM.INV(R877,C877,'Regressão Grupo 2'!$B$7)&lt;=0,0,IF(_xlfn.NORM.INV(R877,C877,'Regressão Grupo 2'!$B$7)&gt;100%,100%,_xlfn.NORM.INV(R877,C877,'Regressão Grupo 2'!$B$7)))</f>
        <v>1</v>
      </c>
      <c r="F877" s="39">
        <f>IF(_xlfn.NORM.INV(S877,D877,'Regressão Grupo 2'!$B$7)&lt;=0,0,IF(_xlfn.NORM.INV(S877,D877,'Regressão Grupo 2'!$B$7)&gt;100%,100%,_xlfn.NORM.INV(S877,D877,'Regressão Grupo 2'!$B$7)))</f>
        <v>0.88858945678791634</v>
      </c>
      <c r="G877" s="41">
        <v>6.5789153650408893E-3</v>
      </c>
      <c r="H877" s="41">
        <v>2.156478276933272E-2</v>
      </c>
      <c r="I877" s="40">
        <f t="shared" si="158"/>
        <v>0</v>
      </c>
      <c r="J877" s="40">
        <f t="shared" si="159"/>
        <v>383.24477213501558</v>
      </c>
      <c r="K877" s="36">
        <v>0.37502435921552651</v>
      </c>
      <c r="L877" s="42">
        <f t="shared" si="166"/>
        <v>0</v>
      </c>
      <c r="M877" s="42">
        <f t="shared" si="166"/>
        <v>20000</v>
      </c>
      <c r="N877" s="42">
        <f t="shared" si="160"/>
        <v>7500.4871843105302</v>
      </c>
      <c r="O877" s="36">
        <v>7.237574991232135</v>
      </c>
      <c r="P877" s="42">
        <f t="shared" si="161"/>
        <v>8887.9886441154031</v>
      </c>
      <c r="Q877" s="42"/>
      <c r="R877">
        <v>0.73830378124332408</v>
      </c>
      <c r="S877">
        <v>0.52476577043977168</v>
      </c>
    </row>
    <row r="878" spans="1:19" x14ac:dyDescent="0.25">
      <c r="A878" s="40">
        <f t="shared" si="162"/>
        <v>0</v>
      </c>
      <c r="B878" s="40">
        <f t="shared" si="163"/>
        <v>50</v>
      </c>
      <c r="C878" s="41">
        <f t="shared" si="156"/>
        <v>1.0313000000000001</v>
      </c>
      <c r="D878" s="41">
        <f t="shared" si="157"/>
        <v>0.88000000000000012</v>
      </c>
      <c r="E878" s="39">
        <f>IF(_xlfn.NORM.INV(R878,C878,'Regressão Grupo 2'!$B$7)&lt;=0,0,IF(_xlfn.NORM.INV(R878,C878,'Regressão Grupo 2'!$B$7)&gt;100%,100%,_xlfn.NORM.INV(R878,C878,'Regressão Grupo 2'!$B$7)))</f>
        <v>1</v>
      </c>
      <c r="F878" s="39">
        <f>IF(_xlfn.NORM.INV(S878,D878,'Regressão Grupo 2'!$B$7)&lt;=0,0,IF(_xlfn.NORM.INV(S878,D878,'Regressão Grupo 2'!$B$7)&gt;100%,100%,_xlfn.NORM.INV(S878,D878,'Regressão Grupo 2'!$B$7)))</f>
        <v>0.94537345685078256</v>
      </c>
      <c r="G878" s="41">
        <v>2.643072751958768E-2</v>
      </c>
      <c r="H878" s="41">
        <v>1.4399945549067228E-2</v>
      </c>
      <c r="I878" s="40">
        <f t="shared" si="158"/>
        <v>0</v>
      </c>
      <c r="J878" s="40">
        <f t="shared" si="159"/>
        <v>272.26652604369451</v>
      </c>
      <c r="K878" s="36">
        <v>0.24328403416115701</v>
      </c>
      <c r="L878" s="42">
        <f t="shared" si="166"/>
        <v>0</v>
      </c>
      <c r="M878" s="42">
        <f t="shared" si="166"/>
        <v>20000</v>
      </c>
      <c r="N878" s="42">
        <f t="shared" si="160"/>
        <v>4865.6806832231405</v>
      </c>
      <c r="O878" s="36">
        <v>4.466286540758877</v>
      </c>
      <c r="P878" s="42">
        <f t="shared" si="161"/>
        <v>7531.6252981934549</v>
      </c>
      <c r="Q878" s="42"/>
      <c r="R878">
        <v>0.77956480605487233</v>
      </c>
      <c r="S878">
        <v>0.68181402020325332</v>
      </c>
    </row>
    <row r="879" spans="1:19" x14ac:dyDescent="0.25">
      <c r="A879" s="40">
        <f t="shared" si="162"/>
        <v>0</v>
      </c>
      <c r="B879" s="40">
        <f t="shared" si="163"/>
        <v>50</v>
      </c>
      <c r="C879" s="41">
        <f t="shared" si="156"/>
        <v>1.0313000000000001</v>
      </c>
      <c r="D879" s="41">
        <f t="shared" si="157"/>
        <v>0.88000000000000012</v>
      </c>
      <c r="E879" s="39">
        <f>IF(_xlfn.NORM.INV(R879,C879,'Regressão Grupo 2'!$B$7)&lt;=0,0,IF(_xlfn.NORM.INV(R879,C879,'Regressão Grupo 2'!$B$7)&gt;100%,100%,_xlfn.NORM.INV(R879,C879,'Regressão Grupo 2'!$B$7)))</f>
        <v>1</v>
      </c>
      <c r="F879" s="39">
        <f>IF(_xlfn.NORM.INV(S879,D879,'Regressão Grupo 2'!$B$7)&lt;=0,0,IF(_xlfn.NORM.INV(S879,D879,'Regressão Grupo 2'!$B$7)&gt;100%,100%,_xlfn.NORM.INV(S879,D879,'Regressão Grupo 2'!$B$7)))</f>
        <v>1</v>
      </c>
      <c r="G879" s="41">
        <v>2.2121459848401536E-2</v>
      </c>
      <c r="H879" s="41">
        <v>2.6487425538170146E-2</v>
      </c>
      <c r="I879" s="40">
        <f t="shared" si="158"/>
        <v>0</v>
      </c>
      <c r="J879" s="40">
        <f t="shared" si="159"/>
        <v>529.74851076340292</v>
      </c>
      <c r="K879" s="36">
        <v>0.33948774502204537</v>
      </c>
      <c r="L879" s="42">
        <f t="shared" si="166"/>
        <v>0</v>
      </c>
      <c r="M879" s="42">
        <f t="shared" si="166"/>
        <v>20000</v>
      </c>
      <c r="N879" s="42">
        <f t="shared" si="160"/>
        <v>6789.7549004409075</v>
      </c>
      <c r="O879" s="36">
        <v>7.9049092510382719</v>
      </c>
      <c r="P879" s="42">
        <f t="shared" si="161"/>
        <v>15510.056734271864</v>
      </c>
      <c r="Q879" s="42"/>
      <c r="R879">
        <v>0.9473250526444289</v>
      </c>
      <c r="S879">
        <v>0.81749931333353676</v>
      </c>
    </row>
    <row r="880" spans="1:19" x14ac:dyDescent="0.25">
      <c r="A880" s="40">
        <f t="shared" si="162"/>
        <v>0</v>
      </c>
      <c r="B880" s="40">
        <f t="shared" si="163"/>
        <v>50</v>
      </c>
      <c r="C880" s="41">
        <f t="shared" si="156"/>
        <v>1.0313000000000001</v>
      </c>
      <c r="D880" s="41">
        <f t="shared" si="157"/>
        <v>0.88000000000000012</v>
      </c>
      <c r="E880" s="39">
        <f>IF(_xlfn.NORM.INV(R880,C880,'Regressão Grupo 2'!$B$7)&lt;=0,0,IF(_xlfn.NORM.INV(R880,C880,'Regressão Grupo 2'!$B$7)&gt;100%,100%,_xlfn.NORM.INV(R880,C880,'Regressão Grupo 2'!$B$7)))</f>
        <v>1</v>
      </c>
      <c r="F880" s="39">
        <f>IF(_xlfn.NORM.INV(S880,D880,'Regressão Grupo 2'!$B$7)&lt;=0,0,IF(_xlfn.NORM.INV(S880,D880,'Regressão Grupo 2'!$B$7)&gt;100%,100%,_xlfn.NORM.INV(S880,D880,'Regressão Grupo 2'!$B$7)))</f>
        <v>0.89501298690781561</v>
      </c>
      <c r="G880" s="41">
        <v>1.0917227349673339E-2</v>
      </c>
      <c r="H880" s="41">
        <v>1.4221050369807621E-2</v>
      </c>
      <c r="I880" s="40">
        <f t="shared" si="158"/>
        <v>0</v>
      </c>
      <c r="J880" s="40">
        <f t="shared" si="159"/>
        <v>254.56049536896029</v>
      </c>
      <c r="K880" s="36">
        <v>0.2667876265595025</v>
      </c>
      <c r="L880" s="42">
        <f t="shared" si="166"/>
        <v>0</v>
      </c>
      <c r="M880" s="42">
        <f t="shared" si="166"/>
        <v>20000</v>
      </c>
      <c r="N880" s="42">
        <f t="shared" si="160"/>
        <v>5335.7525311900499</v>
      </c>
      <c r="O880" s="36">
        <v>7.2067693610200525</v>
      </c>
      <c r="P880" s="42">
        <f t="shared" si="161"/>
        <v>5557.713458706854</v>
      </c>
      <c r="Q880" s="42"/>
      <c r="R880">
        <v>0.95635853144932403</v>
      </c>
      <c r="S880">
        <v>0.54322946867275002</v>
      </c>
    </row>
    <row r="881" spans="1:19" x14ac:dyDescent="0.25">
      <c r="A881" s="40">
        <f t="shared" si="162"/>
        <v>0</v>
      </c>
      <c r="B881" s="40">
        <f t="shared" si="163"/>
        <v>50</v>
      </c>
      <c r="C881" s="41">
        <f t="shared" si="156"/>
        <v>1.0313000000000001</v>
      </c>
      <c r="D881" s="41">
        <f t="shared" si="157"/>
        <v>0.88000000000000012</v>
      </c>
      <c r="E881" s="39">
        <f>IF(_xlfn.NORM.INV(R881,C881,'Regressão Grupo 2'!$B$7)&lt;=0,0,IF(_xlfn.NORM.INV(R881,C881,'Regressão Grupo 2'!$B$7)&gt;100%,100%,_xlfn.NORM.INV(R881,C881,'Regressão Grupo 2'!$B$7)))</f>
        <v>1</v>
      </c>
      <c r="F881" s="39">
        <f>IF(_xlfn.NORM.INV(S881,D881,'Regressão Grupo 2'!$B$7)&lt;=0,0,IF(_xlfn.NORM.INV(S881,D881,'Regressão Grupo 2'!$B$7)&gt;100%,100%,_xlfn.NORM.INV(S881,D881,'Regressão Grupo 2'!$B$7)))</f>
        <v>0.93387837605318336</v>
      </c>
      <c r="G881" s="41">
        <v>2.4092799248091962E-2</v>
      </c>
      <c r="H881" s="41">
        <v>1.1788638947236529E-2</v>
      </c>
      <c r="I881" s="40">
        <f t="shared" si="158"/>
        <v>0</v>
      </c>
      <c r="J881" s="40">
        <f t="shared" si="159"/>
        <v>220.18309991845121</v>
      </c>
      <c r="K881" s="36">
        <v>0.33841947851583193</v>
      </c>
      <c r="L881" s="42">
        <f t="shared" si="166"/>
        <v>0</v>
      </c>
      <c r="M881" s="42">
        <f t="shared" si="166"/>
        <v>20000</v>
      </c>
      <c r="N881" s="42">
        <f t="shared" si="160"/>
        <v>6768.3895703166381</v>
      </c>
      <c r="O881" s="36">
        <v>6.233352070514008</v>
      </c>
      <c r="P881" s="42">
        <f t="shared" si="161"/>
        <v>2868.2866438370511</v>
      </c>
      <c r="Q881" s="42"/>
      <c r="R881">
        <v>0.51777703176976841</v>
      </c>
      <c r="S881">
        <v>0.65160069582201607</v>
      </c>
    </row>
    <row r="882" spans="1:19" x14ac:dyDescent="0.25">
      <c r="A882" s="40">
        <f t="shared" si="162"/>
        <v>0</v>
      </c>
      <c r="B882" s="40">
        <f t="shared" si="163"/>
        <v>50</v>
      </c>
      <c r="C882" s="41">
        <f t="shared" si="156"/>
        <v>1.0313000000000001</v>
      </c>
      <c r="D882" s="41">
        <f t="shared" si="157"/>
        <v>0.88000000000000012</v>
      </c>
      <c r="E882" s="39">
        <f>IF(_xlfn.NORM.INV(R882,C882,'Regressão Grupo 2'!$B$7)&lt;=0,0,IF(_xlfn.NORM.INV(R882,C882,'Regressão Grupo 2'!$B$7)&gt;100%,100%,_xlfn.NORM.INV(R882,C882,'Regressão Grupo 2'!$B$7)))</f>
        <v>1</v>
      </c>
      <c r="F882" s="39">
        <f>IF(_xlfn.NORM.INV(S882,D882,'Regressão Grupo 2'!$B$7)&lt;=0,0,IF(_xlfn.NORM.INV(S882,D882,'Regressão Grupo 2'!$B$7)&gt;100%,100%,_xlfn.NORM.INV(S882,D882,'Regressão Grupo 2'!$B$7)))</f>
        <v>0.72579983031144135</v>
      </c>
      <c r="G882" s="41">
        <v>1.1596470495646095E-2</v>
      </c>
      <c r="H882" s="41">
        <v>2.8005780527027874E-2</v>
      </c>
      <c r="I882" s="40">
        <f t="shared" si="158"/>
        <v>0</v>
      </c>
      <c r="J882" s="40">
        <f t="shared" si="159"/>
        <v>406.53181508512597</v>
      </c>
      <c r="K882" s="36">
        <v>0.19441733313984891</v>
      </c>
      <c r="L882" s="42">
        <f t="shared" si="166"/>
        <v>0</v>
      </c>
      <c r="M882" s="42">
        <f t="shared" si="166"/>
        <v>20000</v>
      </c>
      <c r="N882" s="42">
        <f t="shared" si="160"/>
        <v>3888.3466627969783</v>
      </c>
      <c r="O882" s="36">
        <v>7.9699720309386972</v>
      </c>
      <c r="P882" s="42">
        <f t="shared" si="161"/>
        <v>13198.196895544123</v>
      </c>
      <c r="Q882" s="42"/>
      <c r="R882">
        <v>0.7882930997650075</v>
      </c>
      <c r="S882">
        <v>0.13238929410687583</v>
      </c>
    </row>
    <row r="883" spans="1:19" x14ac:dyDescent="0.25">
      <c r="A883" s="40">
        <f t="shared" si="162"/>
        <v>0</v>
      </c>
      <c r="B883" s="40">
        <f t="shared" si="163"/>
        <v>50</v>
      </c>
      <c r="C883" s="41">
        <f t="shared" si="156"/>
        <v>1.0313000000000001</v>
      </c>
      <c r="D883" s="41">
        <f t="shared" si="157"/>
        <v>0.88000000000000012</v>
      </c>
      <c r="E883" s="39">
        <f>IF(_xlfn.NORM.INV(R883,C883,'Regressão Grupo 2'!$B$7)&lt;=0,0,IF(_xlfn.NORM.INV(R883,C883,'Regressão Grupo 2'!$B$7)&gt;100%,100%,_xlfn.NORM.INV(R883,C883,'Regressão Grupo 2'!$B$7)))</f>
        <v>0.92982362630331217</v>
      </c>
      <c r="F883" s="39">
        <f>IF(_xlfn.NORM.INV(S883,D883,'Regressão Grupo 2'!$B$7)&lt;=0,0,IF(_xlfn.NORM.INV(S883,D883,'Regressão Grupo 2'!$B$7)&gt;100%,100%,_xlfn.NORM.INV(S883,D883,'Regressão Grupo 2'!$B$7)))</f>
        <v>1</v>
      </c>
      <c r="G883" s="41">
        <v>1.6927946528408892E-2</v>
      </c>
      <c r="H883" s="41">
        <v>1.7534656948391961E-2</v>
      </c>
      <c r="I883" s="40">
        <f t="shared" si="158"/>
        <v>0</v>
      </c>
      <c r="J883" s="40">
        <f t="shared" si="159"/>
        <v>350.69313896783922</v>
      </c>
      <c r="K883" s="36">
        <v>0.26129611161825617</v>
      </c>
      <c r="L883" s="42">
        <f t="shared" si="166"/>
        <v>0</v>
      </c>
      <c r="M883" s="42">
        <f t="shared" si="166"/>
        <v>20000</v>
      </c>
      <c r="N883" s="42">
        <f t="shared" si="160"/>
        <v>5225.9222323651229</v>
      </c>
      <c r="O883" s="36">
        <v>4.8428564239728331</v>
      </c>
      <c r="P883" s="42">
        <f t="shared" si="161"/>
        <v>10610.378195133238</v>
      </c>
      <c r="Q883" s="42"/>
      <c r="R883">
        <v>0.2315134128849147</v>
      </c>
      <c r="S883">
        <v>0.85775322733237713</v>
      </c>
    </row>
    <row r="884" spans="1:19" x14ac:dyDescent="0.25">
      <c r="A884" s="40">
        <f t="shared" si="162"/>
        <v>0</v>
      </c>
      <c r="B884" s="40">
        <f t="shared" si="163"/>
        <v>50</v>
      </c>
      <c r="C884" s="41">
        <f t="shared" si="156"/>
        <v>1.0313000000000001</v>
      </c>
      <c r="D884" s="41">
        <f t="shared" si="157"/>
        <v>0.88000000000000012</v>
      </c>
      <c r="E884" s="39">
        <f>IF(_xlfn.NORM.INV(R884,C884,'Regressão Grupo 2'!$B$7)&lt;=0,0,IF(_xlfn.NORM.INV(R884,C884,'Regressão Grupo 2'!$B$7)&gt;100%,100%,_xlfn.NORM.INV(R884,C884,'Regressão Grupo 2'!$B$7)))</f>
        <v>1</v>
      </c>
      <c r="F884" s="39">
        <f>IF(_xlfn.NORM.INV(S884,D884,'Regressão Grupo 2'!$B$7)&lt;=0,0,IF(_xlfn.NORM.INV(S884,D884,'Regressão Grupo 2'!$B$7)&gt;100%,100%,_xlfn.NORM.INV(S884,D884,'Regressão Grupo 2'!$B$7)))</f>
        <v>0.91431994534278127</v>
      </c>
      <c r="G884" s="41">
        <v>2.5386073533102169E-2</v>
      </c>
      <c r="H884" s="41">
        <v>2.4404502992281921E-2</v>
      </c>
      <c r="I884" s="40">
        <f t="shared" si="158"/>
        <v>0</v>
      </c>
      <c r="J884" s="40">
        <f t="shared" si="159"/>
        <v>446.27047684041895</v>
      </c>
      <c r="K884" s="36">
        <v>0.28552867920649216</v>
      </c>
      <c r="L884" s="42">
        <f t="shared" si="166"/>
        <v>0</v>
      </c>
      <c r="M884" s="42">
        <f t="shared" si="166"/>
        <v>20000</v>
      </c>
      <c r="N884" s="42">
        <f t="shared" si="160"/>
        <v>5710.5735841298429</v>
      </c>
      <c r="O884" s="36">
        <v>4.259475425609371</v>
      </c>
      <c r="P884" s="42">
        <f t="shared" si="161"/>
        <v>14702.072128614362</v>
      </c>
      <c r="Q884" s="42"/>
      <c r="R884">
        <v>0.75469222083193455</v>
      </c>
      <c r="S884">
        <v>0.59801019318216497</v>
      </c>
    </row>
    <row r="885" spans="1:19" x14ac:dyDescent="0.25">
      <c r="A885" s="40">
        <f t="shared" si="162"/>
        <v>0</v>
      </c>
      <c r="B885" s="40">
        <f t="shared" si="163"/>
        <v>50</v>
      </c>
      <c r="C885" s="41">
        <f t="shared" si="156"/>
        <v>1.0313000000000001</v>
      </c>
      <c r="D885" s="41">
        <f t="shared" si="157"/>
        <v>0.88000000000000012</v>
      </c>
      <c r="E885" s="39">
        <f>IF(_xlfn.NORM.INV(R885,C885,'Regressão Grupo 2'!$B$7)&lt;=0,0,IF(_xlfn.NORM.INV(R885,C885,'Regressão Grupo 2'!$B$7)&gt;100%,100%,_xlfn.NORM.INV(R885,C885,'Regressão Grupo 2'!$B$7)))</f>
        <v>0.99018353954622795</v>
      </c>
      <c r="F885" s="39">
        <f>IF(_xlfn.NORM.INV(S885,D885,'Regressão Grupo 2'!$B$7)&lt;=0,0,IF(_xlfn.NORM.INV(S885,D885,'Regressão Grupo 2'!$B$7)&gt;100%,100%,_xlfn.NORM.INV(S885,D885,'Regressão Grupo 2'!$B$7)))</f>
        <v>1</v>
      </c>
      <c r="G885" s="41">
        <v>1.621368531987458E-2</v>
      </c>
      <c r="H885" s="41">
        <v>2.7353912045372821E-2</v>
      </c>
      <c r="I885" s="40">
        <f t="shared" si="158"/>
        <v>0</v>
      </c>
      <c r="J885" s="40">
        <f t="shared" si="159"/>
        <v>547.07824090745646</v>
      </c>
      <c r="K885" s="36">
        <v>0.30348147012267762</v>
      </c>
      <c r="L885" s="42">
        <f t="shared" si="166"/>
        <v>0</v>
      </c>
      <c r="M885" s="42">
        <f t="shared" si="166"/>
        <v>20000</v>
      </c>
      <c r="N885" s="42">
        <f t="shared" si="160"/>
        <v>6069.6294024535528</v>
      </c>
      <c r="O885" s="36">
        <v>4.1406611557851658</v>
      </c>
      <c r="P885" s="42">
        <f t="shared" si="161"/>
        <v>19019.017021618489</v>
      </c>
      <c r="Q885" s="42"/>
      <c r="R885">
        <v>0.38309884945219275</v>
      </c>
      <c r="S885">
        <v>0.83013397625659968</v>
      </c>
    </row>
    <row r="886" spans="1:19" x14ac:dyDescent="0.25">
      <c r="A886" s="40">
        <f t="shared" si="162"/>
        <v>0</v>
      </c>
      <c r="B886" s="40">
        <f t="shared" si="163"/>
        <v>50</v>
      </c>
      <c r="C886" s="41">
        <f t="shared" si="156"/>
        <v>1.0313000000000001</v>
      </c>
      <c r="D886" s="41">
        <f t="shared" si="157"/>
        <v>0.88000000000000012</v>
      </c>
      <c r="E886" s="39">
        <f>IF(_xlfn.NORM.INV(R886,C886,'Regressão Grupo 2'!$B$7)&lt;=0,0,IF(_xlfn.NORM.INV(R886,C886,'Regressão Grupo 2'!$B$7)&gt;100%,100%,_xlfn.NORM.INV(R886,C886,'Regressão Grupo 2'!$B$7)))</f>
        <v>0.97402711694129884</v>
      </c>
      <c r="F886" s="39">
        <f>IF(_xlfn.NORM.INV(S886,D886,'Regressão Grupo 2'!$B$7)&lt;=0,0,IF(_xlfn.NORM.INV(S886,D886,'Regressão Grupo 2'!$B$7)&gt;100%,100%,_xlfn.NORM.INV(S886,D886,'Regressão Grupo 2'!$B$7)))</f>
        <v>1</v>
      </c>
      <c r="G886" s="41">
        <v>2.0899038048120711E-2</v>
      </c>
      <c r="H886" s="41">
        <v>1.6686184263329212E-2</v>
      </c>
      <c r="I886" s="40">
        <f t="shared" si="158"/>
        <v>0</v>
      </c>
      <c r="J886" s="40">
        <f t="shared" si="159"/>
        <v>333.72368526658425</v>
      </c>
      <c r="K886" s="36">
        <v>0.24776802474577533</v>
      </c>
      <c r="L886" s="42">
        <f t="shared" si="166"/>
        <v>0</v>
      </c>
      <c r="M886" s="42">
        <f t="shared" si="166"/>
        <v>20000</v>
      </c>
      <c r="N886" s="42">
        <f t="shared" si="160"/>
        <v>4955.3604949155069</v>
      </c>
      <c r="O886" s="36">
        <v>9.3922370540147746</v>
      </c>
      <c r="P886" s="42">
        <f t="shared" si="161"/>
        <v>8596.4118058505301</v>
      </c>
      <c r="Q886" s="42"/>
      <c r="R886">
        <v>0.33936582537308879</v>
      </c>
      <c r="S886">
        <v>0.98879970702230902</v>
      </c>
    </row>
    <row r="887" spans="1:19" x14ac:dyDescent="0.25">
      <c r="A887" s="40">
        <f t="shared" si="162"/>
        <v>0</v>
      </c>
      <c r="B887" s="40">
        <f t="shared" si="163"/>
        <v>50</v>
      </c>
      <c r="C887" s="41">
        <f t="shared" si="156"/>
        <v>1.0313000000000001</v>
      </c>
      <c r="D887" s="41">
        <f t="shared" si="157"/>
        <v>0.88000000000000012</v>
      </c>
      <c r="E887" s="39">
        <f>IF(_xlfn.NORM.INV(R887,C887,'Regressão Grupo 2'!$B$7)&lt;=0,0,IF(_xlfn.NORM.INV(R887,C887,'Regressão Grupo 2'!$B$7)&gt;100%,100%,_xlfn.NORM.INV(R887,C887,'Regressão Grupo 2'!$B$7)))</f>
        <v>1</v>
      </c>
      <c r="F887" s="39">
        <f>IF(_xlfn.NORM.INV(S887,D887,'Regressão Grupo 2'!$B$7)&lt;=0,0,IF(_xlfn.NORM.INV(S887,D887,'Regressão Grupo 2'!$B$7)&gt;100%,100%,_xlfn.NORM.INV(S887,D887,'Regressão Grupo 2'!$B$7)))</f>
        <v>0.88566603092820517</v>
      </c>
      <c r="G887" s="41">
        <v>2.0706348497185414E-2</v>
      </c>
      <c r="H887" s="41">
        <v>5.6422382700011074E-3</v>
      </c>
      <c r="I887" s="40">
        <f t="shared" si="158"/>
        <v>0</v>
      </c>
      <c r="J887" s="40">
        <f t="shared" si="159"/>
        <v>99.942775482862075</v>
      </c>
      <c r="K887" s="36">
        <v>0.41810444747648184</v>
      </c>
      <c r="L887" s="42">
        <f t="shared" ref="L887:M902" si="167">L886</f>
        <v>0</v>
      </c>
      <c r="M887" s="42">
        <f t="shared" si="167"/>
        <v>20000</v>
      </c>
      <c r="N887" s="42">
        <f t="shared" si="160"/>
        <v>8362.088949529636</v>
      </c>
      <c r="O887" s="36">
        <v>4.5776061142761026</v>
      </c>
      <c r="P887" s="42">
        <f t="shared" si="161"/>
        <v>-3822.4488355146059</v>
      </c>
      <c r="Q887" s="42"/>
      <c r="R887">
        <v>0.8247932370983001</v>
      </c>
      <c r="S887">
        <v>0.51634266182439648</v>
      </c>
    </row>
    <row r="888" spans="1:19" x14ac:dyDescent="0.25">
      <c r="A888" s="40">
        <f t="shared" si="162"/>
        <v>0</v>
      </c>
      <c r="B888" s="40">
        <f t="shared" si="163"/>
        <v>50</v>
      </c>
      <c r="C888" s="41">
        <f t="shared" si="156"/>
        <v>1.0313000000000001</v>
      </c>
      <c r="D888" s="41">
        <f t="shared" si="157"/>
        <v>0.88000000000000012</v>
      </c>
      <c r="E888" s="39">
        <f>IF(_xlfn.NORM.INV(R888,C888,'Regressão Grupo 2'!$B$7)&lt;=0,0,IF(_xlfn.NORM.INV(R888,C888,'Regressão Grupo 2'!$B$7)&gt;100%,100%,_xlfn.NORM.INV(R888,C888,'Regressão Grupo 2'!$B$7)))</f>
        <v>1</v>
      </c>
      <c r="F888" s="39">
        <f>IF(_xlfn.NORM.INV(S888,D888,'Regressão Grupo 2'!$B$7)&lt;=0,0,IF(_xlfn.NORM.INV(S888,D888,'Regressão Grupo 2'!$B$7)&gt;100%,100%,_xlfn.NORM.INV(S888,D888,'Regressão Grupo 2'!$B$7)))</f>
        <v>0.8493880174948526</v>
      </c>
      <c r="G888" s="41">
        <v>7.8299152816924816E-3</v>
      </c>
      <c r="H888" s="41">
        <v>1.9333249916795567E-2</v>
      </c>
      <c r="I888" s="40">
        <f t="shared" si="158"/>
        <v>0</v>
      </c>
      <c r="J888" s="40">
        <f t="shared" si="159"/>
        <v>328.42861637119017</v>
      </c>
      <c r="K888" s="36">
        <v>0.35816423933564967</v>
      </c>
      <c r="L888" s="42">
        <f t="shared" si="167"/>
        <v>0</v>
      </c>
      <c r="M888" s="42">
        <f t="shared" si="167"/>
        <v>20000</v>
      </c>
      <c r="N888" s="42">
        <f t="shared" si="160"/>
        <v>7163.2847867129931</v>
      </c>
      <c r="O888" s="36">
        <v>4.8172053077883898</v>
      </c>
      <c r="P888" s="42">
        <f t="shared" si="161"/>
        <v>7676.0379578336197</v>
      </c>
      <c r="Q888" s="42"/>
      <c r="R888">
        <v>0.68639179662465288</v>
      </c>
      <c r="S888">
        <v>0.41239661854915005</v>
      </c>
    </row>
    <row r="889" spans="1:19" x14ac:dyDescent="0.25">
      <c r="A889" s="40">
        <f t="shared" si="162"/>
        <v>0</v>
      </c>
      <c r="B889" s="40">
        <f t="shared" si="163"/>
        <v>50</v>
      </c>
      <c r="C889" s="41">
        <f t="shared" si="156"/>
        <v>1.0313000000000001</v>
      </c>
      <c r="D889" s="41">
        <f t="shared" si="157"/>
        <v>0.88000000000000012</v>
      </c>
      <c r="E889" s="39">
        <f>IF(_xlfn.NORM.INV(R889,C889,'Regressão Grupo 2'!$B$7)&lt;=0,0,IF(_xlfn.NORM.INV(R889,C889,'Regressão Grupo 2'!$B$7)&gt;100%,100%,_xlfn.NORM.INV(R889,C889,'Regressão Grupo 2'!$B$7)))</f>
        <v>0.86538073727560316</v>
      </c>
      <c r="F889" s="39">
        <f>IF(_xlfn.NORM.INV(S889,D889,'Regressão Grupo 2'!$B$7)&lt;=0,0,IF(_xlfn.NORM.INV(S889,D889,'Regressão Grupo 2'!$B$7)&gt;100%,100%,_xlfn.NORM.INV(S889,D889,'Regressão Grupo 2'!$B$7)))</f>
        <v>0.70017158880989872</v>
      </c>
      <c r="G889" s="41">
        <v>9.5480230362258271E-3</v>
      </c>
      <c r="H889" s="41">
        <v>2.8301039090481078E-2</v>
      </c>
      <c r="I889" s="40">
        <f t="shared" si="158"/>
        <v>0</v>
      </c>
      <c r="J889" s="40">
        <f t="shared" si="159"/>
        <v>396.31167009906375</v>
      </c>
      <c r="K889" s="36">
        <v>0.3587732938545739</v>
      </c>
      <c r="L889" s="42">
        <f t="shared" si="167"/>
        <v>0</v>
      </c>
      <c r="M889" s="42">
        <f t="shared" si="167"/>
        <v>20000</v>
      </c>
      <c r="N889" s="42">
        <f t="shared" si="160"/>
        <v>7175.4658770914784</v>
      </c>
      <c r="O889" s="36">
        <v>4.628651293426481</v>
      </c>
      <c r="P889" s="42">
        <f t="shared" si="161"/>
        <v>10805.72910345767</v>
      </c>
      <c r="Q889" s="42"/>
      <c r="R889">
        <v>0.11508529923398542</v>
      </c>
      <c r="S889">
        <v>9.6713156529435101E-2</v>
      </c>
    </row>
    <row r="890" spans="1:19" x14ac:dyDescent="0.25">
      <c r="A890" s="40">
        <f t="shared" si="162"/>
        <v>0</v>
      </c>
      <c r="B890" s="40">
        <f t="shared" si="163"/>
        <v>50</v>
      </c>
      <c r="C890" s="41">
        <f t="shared" si="156"/>
        <v>1.0313000000000001</v>
      </c>
      <c r="D890" s="41">
        <f t="shared" si="157"/>
        <v>0.88000000000000012</v>
      </c>
      <c r="E890" s="39">
        <f>IF(_xlfn.NORM.INV(R890,C890,'Regressão Grupo 2'!$B$7)&lt;=0,0,IF(_xlfn.NORM.INV(R890,C890,'Regressão Grupo 2'!$B$7)&gt;100%,100%,_xlfn.NORM.INV(R890,C890,'Regressão Grupo 2'!$B$7)))</f>
        <v>0.90827144757865808</v>
      </c>
      <c r="F890" s="39">
        <f>IF(_xlfn.NORM.INV(S890,D890,'Regressão Grupo 2'!$B$7)&lt;=0,0,IF(_xlfn.NORM.INV(S890,D890,'Regressão Grupo 2'!$B$7)&gt;100%,100%,_xlfn.NORM.INV(S890,D890,'Regressão Grupo 2'!$B$7)))</f>
        <v>0.84466460707670099</v>
      </c>
      <c r="G890" s="41">
        <v>1.7911654111238327E-2</v>
      </c>
      <c r="H890" s="41">
        <v>2.3503742763720768E-2</v>
      </c>
      <c r="I890" s="40">
        <f t="shared" si="158"/>
        <v>0</v>
      </c>
      <c r="J890" s="40">
        <f t="shared" si="159"/>
        <v>397.05559292700116</v>
      </c>
      <c r="K890" s="36">
        <v>0.20534982263290327</v>
      </c>
      <c r="L890" s="42">
        <f t="shared" si="167"/>
        <v>0</v>
      </c>
      <c r="M890" s="42">
        <f t="shared" si="167"/>
        <v>20000</v>
      </c>
      <c r="N890" s="42">
        <f t="shared" si="160"/>
        <v>4106.9964526580652</v>
      </c>
      <c r="O890" s="36">
        <v>5.2248095333247804</v>
      </c>
      <c r="P890" s="42">
        <f t="shared" si="161"/>
        <v>13671.243346507072</v>
      </c>
      <c r="Q890" s="42"/>
      <c r="R890">
        <v>0.18680379650257881</v>
      </c>
      <c r="S890">
        <v>0.39915158543656726</v>
      </c>
    </row>
    <row r="891" spans="1:19" x14ac:dyDescent="0.25">
      <c r="A891" s="40">
        <f t="shared" si="162"/>
        <v>0</v>
      </c>
      <c r="B891" s="40">
        <f t="shared" si="163"/>
        <v>50</v>
      </c>
      <c r="C891" s="41">
        <f t="shared" si="156"/>
        <v>1.0313000000000001</v>
      </c>
      <c r="D891" s="41">
        <f t="shared" si="157"/>
        <v>0.88000000000000012</v>
      </c>
      <c r="E891" s="39">
        <f>IF(_xlfn.NORM.INV(R891,C891,'Regressão Grupo 2'!$B$7)&lt;=0,0,IF(_xlfn.NORM.INV(R891,C891,'Regressão Grupo 2'!$B$7)&gt;100%,100%,_xlfn.NORM.INV(R891,C891,'Regressão Grupo 2'!$B$7)))</f>
        <v>0.80673924679459885</v>
      </c>
      <c r="F891" s="39">
        <f>IF(_xlfn.NORM.INV(S891,D891,'Regressão Grupo 2'!$B$7)&lt;=0,0,IF(_xlfn.NORM.INV(S891,D891,'Regressão Grupo 2'!$B$7)&gt;100%,100%,_xlfn.NORM.INV(S891,D891,'Regressão Grupo 2'!$B$7)))</f>
        <v>0.88327415457450742</v>
      </c>
      <c r="G891" s="41">
        <v>1.9798715808433547E-2</v>
      </c>
      <c r="H891" s="41">
        <v>1.0732432427023646E-2</v>
      </c>
      <c r="I891" s="40">
        <f t="shared" si="158"/>
        <v>0</v>
      </c>
      <c r="J891" s="40">
        <f t="shared" si="159"/>
        <v>189.5936035701468</v>
      </c>
      <c r="K891" s="36">
        <v>0.32569212862280761</v>
      </c>
      <c r="L891" s="42">
        <f t="shared" si="167"/>
        <v>0</v>
      </c>
      <c r="M891" s="42">
        <f t="shared" si="167"/>
        <v>20000</v>
      </c>
      <c r="N891" s="42">
        <f t="shared" si="160"/>
        <v>6513.8425724561521</v>
      </c>
      <c r="O891" s="36">
        <v>6.006672734093204</v>
      </c>
      <c r="P891" s="42">
        <f t="shared" si="161"/>
        <v>1827.0108769279113</v>
      </c>
      <c r="Q891" s="42"/>
      <c r="R891">
        <v>5.2186651203955201E-2</v>
      </c>
      <c r="S891">
        <v>0.50944547868282108</v>
      </c>
    </row>
    <row r="892" spans="1:19" x14ac:dyDescent="0.25">
      <c r="A892" s="40">
        <f t="shared" si="162"/>
        <v>0</v>
      </c>
      <c r="B892" s="40">
        <f t="shared" si="163"/>
        <v>50</v>
      </c>
      <c r="C892" s="41">
        <f t="shared" si="156"/>
        <v>1.0313000000000001</v>
      </c>
      <c r="D892" s="41">
        <f t="shared" si="157"/>
        <v>0.88000000000000012</v>
      </c>
      <c r="E892" s="39">
        <f>IF(_xlfn.NORM.INV(R892,C892,'Regressão Grupo 2'!$B$7)&lt;=0,0,IF(_xlfn.NORM.INV(R892,C892,'Regressão Grupo 2'!$B$7)&gt;100%,100%,_xlfn.NORM.INV(R892,C892,'Regressão Grupo 2'!$B$7)))</f>
        <v>1</v>
      </c>
      <c r="F892" s="39">
        <f>IF(_xlfn.NORM.INV(S892,D892,'Regressão Grupo 2'!$B$7)&lt;=0,0,IF(_xlfn.NORM.INV(S892,D892,'Regressão Grupo 2'!$B$7)&gt;100%,100%,_xlfn.NORM.INV(S892,D892,'Regressão Grupo 2'!$B$7)))</f>
        <v>1</v>
      </c>
      <c r="G892" s="41">
        <v>3.7671887328542607E-3</v>
      </c>
      <c r="H892" s="41">
        <v>1.6825793899125412E-2</v>
      </c>
      <c r="I892" s="40">
        <f t="shared" si="158"/>
        <v>0</v>
      </c>
      <c r="J892" s="40">
        <f t="shared" si="159"/>
        <v>336.51587798250824</v>
      </c>
      <c r="K892" s="36">
        <v>0.3088687552355196</v>
      </c>
      <c r="L892" s="42">
        <f t="shared" si="167"/>
        <v>0</v>
      </c>
      <c r="M892" s="42">
        <f t="shared" si="167"/>
        <v>20000</v>
      </c>
      <c r="N892" s="42">
        <f t="shared" si="160"/>
        <v>6177.3751047103924</v>
      </c>
      <c r="O892" s="36">
        <v>3.475586159666336</v>
      </c>
      <c r="P892" s="42">
        <f t="shared" si="161"/>
        <v>9478.828866391048</v>
      </c>
      <c r="Q892" s="42"/>
      <c r="R892">
        <v>0.52876369518112731</v>
      </c>
      <c r="S892">
        <v>0.87737662892544332</v>
      </c>
    </row>
    <row r="893" spans="1:19" x14ac:dyDescent="0.25">
      <c r="A893" s="40">
        <f t="shared" si="162"/>
        <v>0</v>
      </c>
      <c r="B893" s="40">
        <f t="shared" si="163"/>
        <v>50</v>
      </c>
      <c r="C893" s="41">
        <f t="shared" si="156"/>
        <v>1.0313000000000001</v>
      </c>
      <c r="D893" s="41">
        <f t="shared" si="157"/>
        <v>0.88000000000000012</v>
      </c>
      <c r="E893" s="39">
        <f>IF(_xlfn.NORM.INV(R893,C893,'Regressão Grupo 2'!$B$7)&lt;=0,0,IF(_xlfn.NORM.INV(R893,C893,'Regressão Grupo 2'!$B$7)&gt;100%,100%,_xlfn.NORM.INV(R893,C893,'Regressão Grupo 2'!$B$7)))</f>
        <v>0.98656483184753618</v>
      </c>
      <c r="F893" s="39">
        <f>IF(_xlfn.NORM.INV(S893,D893,'Regressão Grupo 2'!$B$7)&lt;=0,0,IF(_xlfn.NORM.INV(S893,D893,'Regressão Grupo 2'!$B$7)&gt;100%,100%,_xlfn.NORM.INV(S893,D893,'Regressão Grupo 2'!$B$7)))</f>
        <v>0.87212051861486384</v>
      </c>
      <c r="G893" s="41">
        <v>1.2497209237415964E-2</v>
      </c>
      <c r="H893" s="41">
        <v>1.264531263424265E-2</v>
      </c>
      <c r="I893" s="40">
        <f t="shared" si="158"/>
        <v>0</v>
      </c>
      <c r="J893" s="40">
        <f t="shared" si="159"/>
        <v>220.5647322524558</v>
      </c>
      <c r="K893" s="36">
        <v>0.40854344896157391</v>
      </c>
      <c r="L893" s="42">
        <f t="shared" si="167"/>
        <v>0</v>
      </c>
      <c r="M893" s="42">
        <f t="shared" si="167"/>
        <v>20000</v>
      </c>
      <c r="N893" s="42">
        <f t="shared" si="160"/>
        <v>8170.8689792314781</v>
      </c>
      <c r="O893" s="36">
        <v>3.3456250349400043</v>
      </c>
      <c r="P893" s="42">
        <f t="shared" si="161"/>
        <v>2119.4407433426568</v>
      </c>
      <c r="Q893" s="42"/>
      <c r="R893">
        <v>0.37314981536301767</v>
      </c>
      <c r="S893">
        <v>0.47727896969512007</v>
      </c>
    </row>
    <row r="894" spans="1:19" x14ac:dyDescent="0.25">
      <c r="A894" s="40">
        <f t="shared" si="162"/>
        <v>0</v>
      </c>
      <c r="B894" s="40">
        <f t="shared" si="163"/>
        <v>50</v>
      </c>
      <c r="C894" s="41">
        <f t="shared" si="156"/>
        <v>1.0313000000000001</v>
      </c>
      <c r="D894" s="41">
        <f t="shared" si="157"/>
        <v>0.88000000000000012</v>
      </c>
      <c r="E894" s="39">
        <f>IF(_xlfn.NORM.INV(R894,C894,'Regressão Grupo 2'!$B$7)&lt;=0,0,IF(_xlfn.NORM.INV(R894,C894,'Regressão Grupo 2'!$B$7)&gt;100%,100%,_xlfn.NORM.INV(R894,C894,'Regressão Grupo 2'!$B$7)))</f>
        <v>0.93427166812527007</v>
      </c>
      <c r="F894" s="39">
        <f>IF(_xlfn.NORM.INV(S894,D894,'Regressão Grupo 2'!$B$7)&lt;=0,0,IF(_xlfn.NORM.INV(S894,D894,'Regressão Grupo 2'!$B$7)&gt;100%,100%,_xlfn.NORM.INV(S894,D894,'Regressão Grupo 2'!$B$7)))</f>
        <v>0.93931918883397725</v>
      </c>
      <c r="G894" s="41">
        <v>2.2384902066956314E-2</v>
      </c>
      <c r="H894" s="41">
        <v>3.6283108291547219E-3</v>
      </c>
      <c r="I894" s="40">
        <f t="shared" si="158"/>
        <v>0</v>
      </c>
      <c r="J894" s="40">
        <f t="shared" si="159"/>
        <v>68.162839697582967</v>
      </c>
      <c r="K894" s="36">
        <v>0.39902350833386191</v>
      </c>
      <c r="L894" s="42">
        <f t="shared" si="167"/>
        <v>0</v>
      </c>
      <c r="M894" s="42">
        <f t="shared" si="167"/>
        <v>20000</v>
      </c>
      <c r="N894" s="42">
        <f t="shared" si="160"/>
        <v>7980.470166677238</v>
      </c>
      <c r="O894" s="36">
        <v>8.2138619889268725</v>
      </c>
      <c r="P894" s="42">
        <f t="shared" si="161"/>
        <v>-5132.2083398473824</v>
      </c>
      <c r="Q894" s="42"/>
      <c r="R894">
        <v>0.24143192846461378</v>
      </c>
      <c r="S894">
        <v>0.66603595080416278</v>
      </c>
    </row>
    <row r="895" spans="1:19" x14ac:dyDescent="0.25">
      <c r="A895" s="40">
        <f t="shared" si="162"/>
        <v>0</v>
      </c>
      <c r="B895" s="40">
        <f t="shared" si="163"/>
        <v>50</v>
      </c>
      <c r="C895" s="41">
        <f t="shared" si="156"/>
        <v>1.0313000000000001</v>
      </c>
      <c r="D895" s="41">
        <f t="shared" si="157"/>
        <v>0.88000000000000012</v>
      </c>
      <c r="E895" s="39">
        <f>IF(_xlfn.NORM.INV(R895,C895,'Regressão Grupo 2'!$B$7)&lt;=0,0,IF(_xlfn.NORM.INV(R895,C895,'Regressão Grupo 2'!$B$7)&gt;100%,100%,_xlfn.NORM.INV(R895,C895,'Regressão Grupo 2'!$B$7)))</f>
        <v>1</v>
      </c>
      <c r="F895" s="39">
        <f>IF(_xlfn.NORM.INV(S895,D895,'Regressão Grupo 2'!$B$7)&lt;=0,0,IF(_xlfn.NORM.INV(S895,D895,'Regressão Grupo 2'!$B$7)&gt;100%,100%,_xlfn.NORM.INV(S895,D895,'Regressão Grupo 2'!$B$7)))</f>
        <v>0.7601294490007281</v>
      </c>
      <c r="G895" s="41">
        <v>1.7908108759567058E-2</v>
      </c>
      <c r="H895" s="41">
        <v>2.1828004228889898E-2</v>
      </c>
      <c r="I895" s="40">
        <f t="shared" si="158"/>
        <v>0</v>
      </c>
      <c r="J895" s="40">
        <f t="shared" si="159"/>
        <v>331.84217654583284</v>
      </c>
      <c r="K895" s="36">
        <v>0.14254804476090616</v>
      </c>
      <c r="L895" s="42">
        <f t="shared" si="167"/>
        <v>0</v>
      </c>
      <c r="M895" s="42">
        <f t="shared" si="167"/>
        <v>20000</v>
      </c>
      <c r="N895" s="42">
        <f t="shared" si="160"/>
        <v>2850.9608952181229</v>
      </c>
      <c r="O895" s="36">
        <v>8.1497345621342898</v>
      </c>
      <c r="P895" s="42">
        <f t="shared" si="161"/>
        <v>11036.722276704077</v>
      </c>
      <c r="Q895" s="42"/>
      <c r="R895">
        <v>0.9005706961272012</v>
      </c>
      <c r="S895">
        <v>0.19299905392620625</v>
      </c>
    </row>
    <row r="896" spans="1:19" x14ac:dyDescent="0.25">
      <c r="A896" s="40">
        <f t="shared" si="162"/>
        <v>0</v>
      </c>
      <c r="B896" s="40">
        <f t="shared" si="163"/>
        <v>50</v>
      </c>
      <c r="C896" s="41">
        <f t="shared" si="156"/>
        <v>1.0313000000000001</v>
      </c>
      <c r="D896" s="41">
        <f t="shared" si="157"/>
        <v>0.88000000000000012</v>
      </c>
      <c r="E896" s="39">
        <f>IF(_xlfn.NORM.INV(R896,C896,'Regressão Grupo 2'!$B$7)&lt;=0,0,IF(_xlfn.NORM.INV(R896,C896,'Regressão Grupo 2'!$B$7)&gt;100%,100%,_xlfn.NORM.INV(R896,C896,'Regressão Grupo 2'!$B$7)))</f>
        <v>0.94433010207649315</v>
      </c>
      <c r="F896" s="39">
        <f>IF(_xlfn.NORM.INV(S896,D896,'Regressão Grupo 2'!$B$7)&lt;=0,0,IF(_xlfn.NORM.INV(S896,D896,'Regressão Grupo 2'!$B$7)&gt;100%,100%,_xlfn.NORM.INV(S896,D896,'Regressão Grupo 2'!$B$7)))</f>
        <v>1</v>
      </c>
      <c r="G896" s="41">
        <v>1.7932082870143851E-2</v>
      </c>
      <c r="H896" s="41">
        <v>1.8687713162536482E-2</v>
      </c>
      <c r="I896" s="40">
        <f t="shared" si="158"/>
        <v>0</v>
      </c>
      <c r="J896" s="40">
        <f t="shared" si="159"/>
        <v>373.75426325072965</v>
      </c>
      <c r="K896" s="36">
        <v>0.42174153855707008</v>
      </c>
      <c r="L896" s="42">
        <f t="shared" si="167"/>
        <v>0</v>
      </c>
      <c r="M896" s="42">
        <f t="shared" si="167"/>
        <v>20000</v>
      </c>
      <c r="N896" s="42">
        <f t="shared" si="160"/>
        <v>8434.8307711414018</v>
      </c>
      <c r="O896" s="36">
        <v>8.7442174354848241</v>
      </c>
      <c r="P896" s="42">
        <f t="shared" si="161"/>
        <v>6984.6938460912643</v>
      </c>
      <c r="Q896" s="42"/>
      <c r="R896">
        <v>0.26468703268532368</v>
      </c>
      <c r="S896">
        <v>0.89168980986968593</v>
      </c>
    </row>
    <row r="897" spans="1:19" x14ac:dyDescent="0.25">
      <c r="A897" s="40">
        <f t="shared" si="162"/>
        <v>0</v>
      </c>
      <c r="B897" s="40">
        <f t="shared" si="163"/>
        <v>50</v>
      </c>
      <c r="C897" s="41">
        <f t="shared" si="156"/>
        <v>1.0313000000000001</v>
      </c>
      <c r="D897" s="41">
        <f t="shared" si="157"/>
        <v>0.88000000000000012</v>
      </c>
      <c r="E897" s="39">
        <f>IF(_xlfn.NORM.INV(R897,C897,'Regressão Grupo 2'!$B$7)&lt;=0,0,IF(_xlfn.NORM.INV(R897,C897,'Regressão Grupo 2'!$B$7)&gt;100%,100%,_xlfn.NORM.INV(R897,C897,'Regressão Grupo 2'!$B$7)))</f>
        <v>1</v>
      </c>
      <c r="F897" s="39">
        <f>IF(_xlfn.NORM.INV(S897,D897,'Regressão Grupo 2'!$B$7)&lt;=0,0,IF(_xlfn.NORM.INV(S897,D897,'Regressão Grupo 2'!$B$7)&gt;100%,100%,_xlfn.NORM.INV(S897,D897,'Regressão Grupo 2'!$B$7)))</f>
        <v>0.81492210967908885</v>
      </c>
      <c r="G897" s="41">
        <v>1.8332569763870703E-2</v>
      </c>
      <c r="H897" s="41">
        <v>1.6912663073715674E-2</v>
      </c>
      <c r="I897" s="40">
        <f t="shared" si="158"/>
        <v>0</v>
      </c>
      <c r="J897" s="40">
        <f t="shared" si="159"/>
        <v>275.65006144648004</v>
      </c>
      <c r="K897" s="36">
        <v>0.24776923483978905</v>
      </c>
      <c r="L897" s="42">
        <f t="shared" si="167"/>
        <v>0</v>
      </c>
      <c r="M897" s="42">
        <f t="shared" si="167"/>
        <v>20000</v>
      </c>
      <c r="N897" s="42">
        <f t="shared" si="160"/>
        <v>4955.3846967957807</v>
      </c>
      <c r="O897" s="36">
        <v>6.5545516881252448</v>
      </c>
      <c r="P897" s="42">
        <f t="shared" si="161"/>
        <v>7020.3557999423674</v>
      </c>
      <c r="Q897" s="42"/>
      <c r="R897">
        <v>0.91778313547166357</v>
      </c>
      <c r="S897">
        <v>0.31894894253364664</v>
      </c>
    </row>
    <row r="898" spans="1:19" x14ac:dyDescent="0.25">
      <c r="A898" s="40">
        <f t="shared" si="162"/>
        <v>0</v>
      </c>
      <c r="B898" s="40">
        <f t="shared" si="163"/>
        <v>50</v>
      </c>
      <c r="C898" s="41">
        <f t="shared" si="156"/>
        <v>1.0313000000000001</v>
      </c>
      <c r="D898" s="41">
        <f t="shared" si="157"/>
        <v>0.88000000000000012</v>
      </c>
      <c r="E898" s="39">
        <f>IF(_xlfn.NORM.INV(R898,C898,'Regressão Grupo 2'!$B$7)&lt;=0,0,IF(_xlfn.NORM.INV(R898,C898,'Regressão Grupo 2'!$B$7)&gt;100%,100%,_xlfn.NORM.INV(R898,C898,'Regressão Grupo 2'!$B$7)))</f>
        <v>1</v>
      </c>
      <c r="F898" s="39">
        <f>IF(_xlfn.NORM.INV(S898,D898,'Regressão Grupo 2'!$B$7)&lt;=0,0,IF(_xlfn.NORM.INV(S898,D898,'Regressão Grupo 2'!$B$7)&gt;100%,100%,_xlfn.NORM.INV(S898,D898,'Regressão Grupo 2'!$B$7)))</f>
        <v>0.77997197619673064</v>
      </c>
      <c r="G898" s="41">
        <v>1.1195452692574281E-2</v>
      </c>
      <c r="H898" s="41">
        <v>1.2620129788422045E-2</v>
      </c>
      <c r="I898" s="40">
        <f t="shared" si="158"/>
        <v>0</v>
      </c>
      <c r="J898" s="40">
        <f t="shared" si="159"/>
        <v>196.86695141869541</v>
      </c>
      <c r="K898" s="36">
        <v>0.29994049379111298</v>
      </c>
      <c r="L898" s="42">
        <f t="shared" si="167"/>
        <v>0</v>
      </c>
      <c r="M898" s="42">
        <f t="shared" si="167"/>
        <v>20000</v>
      </c>
      <c r="N898" s="42">
        <f t="shared" si="160"/>
        <v>5998.8098758222595</v>
      </c>
      <c r="O898" s="36">
        <v>8.3083224052714026</v>
      </c>
      <c r="P898" s="42">
        <f t="shared" si="161"/>
        <v>2208.903591783087</v>
      </c>
      <c r="Q898" s="42"/>
      <c r="R898">
        <v>0.57490768150883509</v>
      </c>
      <c r="S898">
        <v>0.2347178563798944</v>
      </c>
    </row>
    <row r="899" spans="1:19" x14ac:dyDescent="0.25">
      <c r="A899" s="40">
        <f t="shared" si="162"/>
        <v>0</v>
      </c>
      <c r="B899" s="40">
        <f t="shared" si="163"/>
        <v>50</v>
      </c>
      <c r="C899" s="41">
        <f t="shared" si="156"/>
        <v>1.0313000000000001</v>
      </c>
      <c r="D899" s="41">
        <f t="shared" si="157"/>
        <v>0.88000000000000012</v>
      </c>
      <c r="E899" s="39">
        <f>IF(_xlfn.NORM.INV(R899,C899,'Regressão Grupo 2'!$B$7)&lt;=0,0,IF(_xlfn.NORM.INV(R899,C899,'Regressão Grupo 2'!$B$7)&gt;100%,100%,_xlfn.NORM.INV(R899,C899,'Regressão Grupo 2'!$B$7)))</f>
        <v>0.80853926360268136</v>
      </c>
      <c r="F899" s="39">
        <f>IF(_xlfn.NORM.INV(S899,D899,'Regressão Grupo 2'!$B$7)&lt;=0,0,IF(_xlfn.NORM.INV(S899,D899,'Regressão Grupo 2'!$B$7)&gt;100%,100%,_xlfn.NORM.INV(S899,D899,'Regressão Grupo 2'!$B$7)))</f>
        <v>0.86516788699466718</v>
      </c>
      <c r="G899" s="41">
        <v>1.3278231558279027E-2</v>
      </c>
      <c r="H899" s="41">
        <v>2.0689746321150566E-2</v>
      </c>
      <c r="I899" s="40">
        <f t="shared" si="158"/>
        <v>0</v>
      </c>
      <c r="J899" s="40">
        <f t="shared" si="159"/>
        <v>358.00208214251046</v>
      </c>
      <c r="K899" s="36">
        <v>0.30461410070595074</v>
      </c>
      <c r="L899" s="42">
        <f t="shared" si="167"/>
        <v>0</v>
      </c>
      <c r="M899" s="42">
        <f t="shared" si="167"/>
        <v>20000</v>
      </c>
      <c r="N899" s="42">
        <f t="shared" si="160"/>
        <v>6092.282014119015</v>
      </c>
      <c r="O899" s="36">
        <v>8.1838076986237258</v>
      </c>
      <c r="P899" s="42">
        <f t="shared" si="161"/>
        <v>8878.0018970453075</v>
      </c>
      <c r="Q899" s="42"/>
      <c r="R899">
        <v>5.3590502639851073E-2</v>
      </c>
      <c r="S899">
        <v>0.45728934598834192</v>
      </c>
    </row>
    <row r="900" spans="1:19" x14ac:dyDescent="0.25">
      <c r="A900" s="40">
        <f t="shared" si="162"/>
        <v>0</v>
      </c>
      <c r="B900" s="40">
        <f t="shared" si="163"/>
        <v>50</v>
      </c>
      <c r="C900" s="41">
        <f t="shared" si="156"/>
        <v>1.0313000000000001</v>
      </c>
      <c r="D900" s="41">
        <f t="shared" si="157"/>
        <v>0.88000000000000012</v>
      </c>
      <c r="E900" s="39">
        <f>IF(_xlfn.NORM.INV(R900,C900,'Regressão Grupo 2'!$B$7)&lt;=0,0,IF(_xlfn.NORM.INV(R900,C900,'Regressão Grupo 2'!$B$7)&gt;100%,100%,_xlfn.NORM.INV(R900,C900,'Regressão Grupo 2'!$B$7)))</f>
        <v>0.99598646452447492</v>
      </c>
      <c r="F900" s="39">
        <f>IF(_xlfn.NORM.INV(S900,D900,'Regressão Grupo 2'!$B$7)&lt;=0,0,IF(_xlfn.NORM.INV(S900,D900,'Regressão Grupo 2'!$B$7)&gt;100%,100%,_xlfn.NORM.INV(S900,D900,'Regressão Grupo 2'!$B$7)))</f>
        <v>0.84956143796142813</v>
      </c>
      <c r="G900" s="41">
        <v>5.1038647257448345E-3</v>
      </c>
      <c r="H900" s="41">
        <v>1.0926538151370641E-2</v>
      </c>
      <c r="I900" s="40">
        <f t="shared" si="158"/>
        <v>0</v>
      </c>
      <c r="J900" s="40">
        <f t="shared" si="159"/>
        <v>185.65530927637693</v>
      </c>
      <c r="K900" s="36">
        <v>0.38504511183835693</v>
      </c>
      <c r="L900" s="42">
        <f t="shared" si="167"/>
        <v>0</v>
      </c>
      <c r="M900" s="42">
        <f t="shared" si="167"/>
        <v>20000</v>
      </c>
      <c r="N900" s="42">
        <f t="shared" si="160"/>
        <v>7700.9022367671387</v>
      </c>
      <c r="O900" s="36">
        <v>3.0266044190091526</v>
      </c>
      <c r="P900" s="42">
        <f t="shared" si="161"/>
        <v>1019.9580475833154</v>
      </c>
      <c r="Q900" s="42"/>
      <c r="R900">
        <v>0.39921262245551925</v>
      </c>
      <c r="S900">
        <v>0.41288491470076599</v>
      </c>
    </row>
    <row r="901" spans="1:19" x14ac:dyDescent="0.25">
      <c r="A901" s="40">
        <f t="shared" si="162"/>
        <v>0</v>
      </c>
      <c r="B901" s="40">
        <f t="shared" si="163"/>
        <v>50</v>
      </c>
      <c r="C901" s="41">
        <f t="shared" si="156"/>
        <v>1.0313000000000001</v>
      </c>
      <c r="D901" s="41">
        <f t="shared" si="157"/>
        <v>0.88000000000000012</v>
      </c>
      <c r="E901" s="39">
        <f>IF(_xlfn.NORM.INV(R901,C901,'Regressão Grupo 2'!$B$7)&lt;=0,0,IF(_xlfn.NORM.INV(R901,C901,'Regressão Grupo 2'!$B$7)&gt;100%,100%,_xlfn.NORM.INV(R901,C901,'Regressão Grupo 2'!$B$7)))</f>
        <v>1</v>
      </c>
      <c r="F901" s="39">
        <f>IF(_xlfn.NORM.INV(S901,D901,'Regressão Grupo 2'!$B$7)&lt;=0,0,IF(_xlfn.NORM.INV(S901,D901,'Regressão Grupo 2'!$B$7)&gt;100%,100%,_xlfn.NORM.INV(S901,D901,'Regressão Grupo 2'!$B$7)))</f>
        <v>0.97213630306087617</v>
      </c>
      <c r="G901" s="41">
        <v>2.5704105835934299E-2</v>
      </c>
      <c r="H901" s="41">
        <v>1.5417743164144118E-2</v>
      </c>
      <c r="I901" s="40">
        <f t="shared" si="158"/>
        <v>0</v>
      </c>
      <c r="J901" s="40">
        <f t="shared" si="159"/>
        <v>299.76295682266317</v>
      </c>
      <c r="K901" s="36">
        <v>0.30067537615314083</v>
      </c>
      <c r="L901" s="42">
        <f t="shared" si="167"/>
        <v>0</v>
      </c>
      <c r="M901" s="42">
        <f t="shared" si="167"/>
        <v>20000</v>
      </c>
      <c r="N901" s="42">
        <f t="shared" si="160"/>
        <v>6013.5075230628163</v>
      </c>
      <c r="O901" s="36">
        <v>4.8346236787528749</v>
      </c>
      <c r="P901" s="42">
        <f t="shared" si="161"/>
        <v>7525.3992290025208</v>
      </c>
      <c r="Q901" s="42"/>
      <c r="R901">
        <v>0.45841853083895384</v>
      </c>
      <c r="S901">
        <v>0.7473982970671712</v>
      </c>
    </row>
    <row r="902" spans="1:19" x14ac:dyDescent="0.25">
      <c r="A902" s="40">
        <f t="shared" si="162"/>
        <v>0</v>
      </c>
      <c r="B902" s="40">
        <f t="shared" si="163"/>
        <v>50</v>
      </c>
      <c r="C902" s="41">
        <f t="shared" ref="C902:C965" si="168">-0.0071*A902 + 1.0313</f>
        <v>1.0313000000000001</v>
      </c>
      <c r="D902" s="41">
        <f t="shared" ref="D902:D965" si="169">-0.0059*B902+1.175</f>
        <v>0.88000000000000012</v>
      </c>
      <c r="E902" s="39">
        <f>IF(_xlfn.NORM.INV(R902,C902,'Regressão Grupo 2'!$B$7)&lt;=0,0,IF(_xlfn.NORM.INV(R902,C902,'Regressão Grupo 2'!$B$7)&gt;100%,100%,_xlfn.NORM.INV(R902,C902,'Regressão Grupo 2'!$B$7)))</f>
        <v>0.80181337452054469</v>
      </c>
      <c r="F902" s="39">
        <f>IF(_xlfn.NORM.INV(S902,D902,'Regressão Grupo 2'!$B$7)&lt;=0,0,IF(_xlfn.NORM.INV(S902,D902,'Regressão Grupo 2'!$B$7)&gt;100%,100%,_xlfn.NORM.INV(S902,D902,'Regressão Grupo 2'!$B$7)))</f>
        <v>0.99960892581244831</v>
      </c>
      <c r="G902" s="41">
        <v>1.5291408883121213E-2</v>
      </c>
      <c r="H902" s="41">
        <v>1.9283624339016651E-2</v>
      </c>
      <c r="I902" s="40">
        <f t="shared" ref="I902:I965" si="170">IF(E902*G902*L902&gt;0,E902*G902*L902,0)</f>
        <v>0</v>
      </c>
      <c r="J902" s="40">
        <f t="shared" ref="J902:J965" si="171">IF(F902*H902*M902&gt;0,F902*H902*M902,0)</f>
        <v>385.52166022590433</v>
      </c>
      <c r="K902" s="36">
        <v>0.28843831835516875</v>
      </c>
      <c r="L902" s="42">
        <f t="shared" si="167"/>
        <v>0</v>
      </c>
      <c r="M902" s="42">
        <f t="shared" si="167"/>
        <v>20000</v>
      </c>
      <c r="N902" s="42">
        <f t="shared" ref="N902:N965" si="172">(L902+M902)*K902</f>
        <v>5768.7663671033752</v>
      </c>
      <c r="O902" s="36">
        <v>4.2729375623820003</v>
      </c>
      <c r="P902" s="42">
        <f t="shared" ref="P902:P965" si="173">SUMPRODUCT(A902:B902,I902:J902)-SUM(I902:J902)*O902-N902</f>
        <v>11860.006661100704</v>
      </c>
      <c r="Q902" s="42"/>
      <c r="R902">
        <v>4.8493911557359541E-2</v>
      </c>
      <c r="S902">
        <v>0.80648213141270175</v>
      </c>
    </row>
    <row r="903" spans="1:19" x14ac:dyDescent="0.25">
      <c r="A903" s="40">
        <f t="shared" ref="A903:A966" si="174">A902</f>
        <v>0</v>
      </c>
      <c r="B903" s="40">
        <f t="shared" ref="B903:B966" si="175">B902</f>
        <v>50</v>
      </c>
      <c r="C903" s="41">
        <f t="shared" si="168"/>
        <v>1.0313000000000001</v>
      </c>
      <c r="D903" s="41">
        <f t="shared" si="169"/>
        <v>0.88000000000000012</v>
      </c>
      <c r="E903" s="39">
        <f>IF(_xlfn.NORM.INV(R903,C903,'Regressão Grupo 2'!$B$7)&lt;=0,0,IF(_xlfn.NORM.INV(R903,C903,'Regressão Grupo 2'!$B$7)&gt;100%,100%,_xlfn.NORM.INV(R903,C903,'Regressão Grupo 2'!$B$7)))</f>
        <v>1</v>
      </c>
      <c r="F903" s="39">
        <f>IF(_xlfn.NORM.INV(S903,D903,'Regressão Grupo 2'!$B$7)&lt;=0,0,IF(_xlfn.NORM.INV(S903,D903,'Regressão Grupo 2'!$B$7)&gt;100%,100%,_xlfn.NORM.INV(S903,D903,'Regressão Grupo 2'!$B$7)))</f>
        <v>0.97168774450031858</v>
      </c>
      <c r="G903" s="41">
        <v>5.887135167571932E-3</v>
      </c>
      <c r="H903" s="41">
        <v>1.927268856156749E-2</v>
      </c>
      <c r="I903" s="40">
        <f t="shared" si="170"/>
        <v>0</v>
      </c>
      <c r="J903" s="40">
        <f t="shared" si="171"/>
        <v>374.54070557693211</v>
      </c>
      <c r="K903" s="36">
        <v>0.41691814538453531</v>
      </c>
      <c r="L903" s="42">
        <f t="shared" ref="L903:M918" si="176">L902</f>
        <v>0</v>
      </c>
      <c r="M903" s="42">
        <f t="shared" si="176"/>
        <v>20000</v>
      </c>
      <c r="N903" s="42">
        <f t="shared" si="172"/>
        <v>8338.3629076907055</v>
      </c>
      <c r="O903" s="36">
        <v>4.3825618299364884</v>
      </c>
      <c r="P903" s="42">
        <f t="shared" si="173"/>
        <v>8747.2245711369542</v>
      </c>
      <c r="Q903" s="42"/>
      <c r="R903">
        <v>0.55211035493026517</v>
      </c>
      <c r="S903">
        <v>0.74636066774498733</v>
      </c>
    </row>
    <row r="904" spans="1:19" x14ac:dyDescent="0.25">
      <c r="A904" s="40">
        <f t="shared" si="174"/>
        <v>0</v>
      </c>
      <c r="B904" s="40">
        <f t="shared" si="175"/>
        <v>50</v>
      </c>
      <c r="C904" s="41">
        <f t="shared" si="168"/>
        <v>1.0313000000000001</v>
      </c>
      <c r="D904" s="41">
        <f t="shared" si="169"/>
        <v>0.88000000000000012</v>
      </c>
      <c r="E904" s="39">
        <f>IF(_xlfn.NORM.INV(R904,C904,'Regressão Grupo 2'!$B$7)&lt;=0,0,IF(_xlfn.NORM.INV(R904,C904,'Regressão Grupo 2'!$B$7)&gt;100%,100%,_xlfn.NORM.INV(R904,C904,'Regressão Grupo 2'!$B$7)))</f>
        <v>1</v>
      </c>
      <c r="F904" s="39">
        <f>IF(_xlfn.NORM.INV(S904,D904,'Regressão Grupo 2'!$B$7)&lt;=0,0,IF(_xlfn.NORM.INV(S904,D904,'Regressão Grupo 2'!$B$7)&gt;100%,100%,_xlfn.NORM.INV(S904,D904,'Regressão Grupo 2'!$B$7)))</f>
        <v>0.92700395505821653</v>
      </c>
      <c r="G904" s="41">
        <v>2.1141977887792533E-2</v>
      </c>
      <c r="H904" s="41">
        <v>9.2791771934208605E-3</v>
      </c>
      <c r="I904" s="40">
        <f t="shared" si="170"/>
        <v>0</v>
      </c>
      <c r="J904" s="40">
        <f t="shared" si="171"/>
        <v>172.03667915974279</v>
      </c>
      <c r="K904" s="36">
        <v>0.37372089608139114</v>
      </c>
      <c r="L904" s="42">
        <f t="shared" si="176"/>
        <v>0</v>
      </c>
      <c r="M904" s="42">
        <f t="shared" si="176"/>
        <v>20000</v>
      </c>
      <c r="N904" s="42">
        <f t="shared" si="172"/>
        <v>7474.4179216278226</v>
      </c>
      <c r="O904" s="36">
        <v>6.2340165570090864</v>
      </c>
      <c r="P904" s="42">
        <f t="shared" si="173"/>
        <v>54.936530064619546</v>
      </c>
      <c r="Q904" s="42"/>
      <c r="R904">
        <v>0.90093691824091315</v>
      </c>
      <c r="S904">
        <v>0.63304544206060975</v>
      </c>
    </row>
    <row r="905" spans="1:19" x14ac:dyDescent="0.25">
      <c r="A905" s="40">
        <f t="shared" si="174"/>
        <v>0</v>
      </c>
      <c r="B905" s="40">
        <f t="shared" si="175"/>
        <v>50</v>
      </c>
      <c r="C905" s="41">
        <f t="shared" si="168"/>
        <v>1.0313000000000001</v>
      </c>
      <c r="D905" s="41">
        <f t="shared" si="169"/>
        <v>0.88000000000000012</v>
      </c>
      <c r="E905" s="39">
        <f>IF(_xlfn.NORM.INV(R905,C905,'Regressão Grupo 2'!$B$7)&lt;=0,0,IF(_xlfn.NORM.INV(R905,C905,'Regressão Grupo 2'!$B$7)&gt;100%,100%,_xlfn.NORM.INV(R905,C905,'Regressão Grupo 2'!$B$7)))</f>
        <v>0.87289182556402689</v>
      </c>
      <c r="F905" s="39">
        <f>IF(_xlfn.NORM.INV(S905,D905,'Regressão Grupo 2'!$B$7)&lt;=0,0,IF(_xlfn.NORM.INV(S905,D905,'Regressão Grupo 2'!$B$7)&gt;100%,100%,_xlfn.NORM.INV(S905,D905,'Regressão Grupo 2'!$B$7)))</f>
        <v>0.78620616235364404</v>
      </c>
      <c r="G905" s="41">
        <v>1.7202608230687203E-2</v>
      </c>
      <c r="H905" s="41">
        <v>1.6126979484596623E-2</v>
      </c>
      <c r="I905" s="40">
        <f t="shared" si="170"/>
        <v>0</v>
      </c>
      <c r="J905" s="40">
        <f t="shared" si="171"/>
        <v>253.58261301881319</v>
      </c>
      <c r="K905" s="36">
        <v>0.1885120716374977</v>
      </c>
      <c r="L905" s="42">
        <f t="shared" si="176"/>
        <v>0</v>
      </c>
      <c r="M905" s="42">
        <f t="shared" si="176"/>
        <v>20000</v>
      </c>
      <c r="N905" s="42">
        <f t="shared" si="172"/>
        <v>3770.2414327499541</v>
      </c>
      <c r="O905" s="36">
        <v>5.165547111634746</v>
      </c>
      <c r="P905" s="42">
        <f t="shared" si="173"/>
        <v>7598.9962839505843</v>
      </c>
      <c r="Q905" s="42"/>
      <c r="R905">
        <v>0.12598040711691641</v>
      </c>
      <c r="S905">
        <v>0.24878688924832912</v>
      </c>
    </row>
    <row r="906" spans="1:19" x14ac:dyDescent="0.25">
      <c r="A906" s="40">
        <f t="shared" si="174"/>
        <v>0</v>
      </c>
      <c r="B906" s="40">
        <f t="shared" si="175"/>
        <v>50</v>
      </c>
      <c r="C906" s="41">
        <f t="shared" si="168"/>
        <v>1.0313000000000001</v>
      </c>
      <c r="D906" s="41">
        <f t="shared" si="169"/>
        <v>0.88000000000000012</v>
      </c>
      <c r="E906" s="39">
        <f>IF(_xlfn.NORM.INV(R906,C906,'Regressão Grupo 2'!$B$7)&lt;=0,0,IF(_xlfn.NORM.INV(R906,C906,'Regressão Grupo 2'!$B$7)&gt;100%,100%,_xlfn.NORM.INV(R906,C906,'Regressão Grupo 2'!$B$7)))</f>
        <v>1</v>
      </c>
      <c r="F906" s="39">
        <f>IF(_xlfn.NORM.INV(S906,D906,'Regressão Grupo 2'!$B$7)&lt;=0,0,IF(_xlfn.NORM.INV(S906,D906,'Regressão Grupo 2'!$B$7)&gt;100%,100%,_xlfn.NORM.INV(S906,D906,'Regressão Grupo 2'!$B$7)))</f>
        <v>0.90678577596653864</v>
      </c>
      <c r="G906" s="41">
        <v>2.6270931966228366E-2</v>
      </c>
      <c r="H906" s="41">
        <v>1.2304369241140837E-2</v>
      </c>
      <c r="I906" s="40">
        <f t="shared" si="170"/>
        <v>0</v>
      </c>
      <c r="J906" s="40">
        <f t="shared" si="171"/>
        <v>223.14854020213409</v>
      </c>
      <c r="K906" s="36">
        <v>0.25006756850154799</v>
      </c>
      <c r="L906" s="42">
        <f t="shared" si="176"/>
        <v>0</v>
      </c>
      <c r="M906" s="42">
        <f t="shared" si="176"/>
        <v>20000</v>
      </c>
      <c r="N906" s="42">
        <f t="shared" si="172"/>
        <v>5001.3513700309595</v>
      </c>
      <c r="O906" s="36">
        <v>6.8360550630428394</v>
      </c>
      <c r="P906" s="42">
        <f t="shared" si="173"/>
        <v>4630.6199320163287</v>
      </c>
      <c r="Q906" s="42"/>
      <c r="R906">
        <v>0.5671254615924558</v>
      </c>
      <c r="S906">
        <v>0.57679982909634697</v>
      </c>
    </row>
    <row r="907" spans="1:19" x14ac:dyDescent="0.25">
      <c r="A907" s="40">
        <f t="shared" si="174"/>
        <v>0</v>
      </c>
      <c r="B907" s="40">
        <f t="shared" si="175"/>
        <v>50</v>
      </c>
      <c r="C907" s="41">
        <f t="shared" si="168"/>
        <v>1.0313000000000001</v>
      </c>
      <c r="D907" s="41">
        <f t="shared" si="169"/>
        <v>0.88000000000000012</v>
      </c>
      <c r="E907" s="39">
        <f>IF(_xlfn.NORM.INV(R907,C907,'Regressão Grupo 2'!$B$7)&lt;=0,0,IF(_xlfn.NORM.INV(R907,C907,'Regressão Grupo 2'!$B$7)&gt;100%,100%,_xlfn.NORM.INV(R907,C907,'Regressão Grupo 2'!$B$7)))</f>
        <v>0.83611904774336976</v>
      </c>
      <c r="F907" s="39">
        <f>IF(_xlfn.NORM.INV(S907,D907,'Regressão Grupo 2'!$B$7)&lt;=0,0,IF(_xlfn.NORM.INV(S907,D907,'Regressão Grupo 2'!$B$7)&gt;100%,100%,_xlfn.NORM.INV(S907,D907,'Regressão Grupo 2'!$B$7)))</f>
        <v>0.76492476028871037</v>
      </c>
      <c r="G907" s="41">
        <v>2.3518113303488859E-2</v>
      </c>
      <c r="H907" s="41">
        <v>1.8694213847658545E-2</v>
      </c>
      <c r="I907" s="40">
        <f t="shared" si="170"/>
        <v>0</v>
      </c>
      <c r="J907" s="40">
        <f t="shared" si="171"/>
        <v>285.99334092412209</v>
      </c>
      <c r="K907" s="36">
        <v>0.19575941026625537</v>
      </c>
      <c r="L907" s="42">
        <f t="shared" si="176"/>
        <v>0</v>
      </c>
      <c r="M907" s="42">
        <f t="shared" si="176"/>
        <v>20000</v>
      </c>
      <c r="N907" s="42">
        <f t="shared" si="172"/>
        <v>3915.1882053251074</v>
      </c>
      <c r="O907" s="36">
        <v>3.704015971223102</v>
      </c>
      <c r="P907" s="42">
        <f t="shared" si="173"/>
        <v>9325.1549384345963</v>
      </c>
      <c r="Q907" s="42"/>
      <c r="R907">
        <v>7.904293954283273E-2</v>
      </c>
      <c r="S907">
        <v>0.20264290292062137</v>
      </c>
    </row>
    <row r="908" spans="1:19" x14ac:dyDescent="0.25">
      <c r="A908" s="40">
        <f t="shared" si="174"/>
        <v>0</v>
      </c>
      <c r="B908" s="40">
        <f t="shared" si="175"/>
        <v>50</v>
      </c>
      <c r="C908" s="41">
        <f t="shared" si="168"/>
        <v>1.0313000000000001</v>
      </c>
      <c r="D908" s="41">
        <f t="shared" si="169"/>
        <v>0.88000000000000012</v>
      </c>
      <c r="E908" s="39">
        <f>IF(_xlfn.NORM.INV(R908,C908,'Regressão Grupo 2'!$B$7)&lt;=0,0,IF(_xlfn.NORM.INV(R908,C908,'Regressão Grupo 2'!$B$7)&gt;100%,100%,_xlfn.NORM.INV(R908,C908,'Regressão Grupo 2'!$B$7)))</f>
        <v>1</v>
      </c>
      <c r="F908" s="39">
        <f>IF(_xlfn.NORM.INV(S908,D908,'Regressão Grupo 2'!$B$7)&lt;=0,0,IF(_xlfn.NORM.INV(S908,D908,'Regressão Grupo 2'!$B$7)&gt;100%,100%,_xlfn.NORM.INV(S908,D908,'Regressão Grupo 2'!$B$7)))</f>
        <v>0.79918465410707074</v>
      </c>
      <c r="G908" s="41">
        <v>8.2900170038230636E-3</v>
      </c>
      <c r="H908" s="41">
        <v>2.6213959788268484E-2</v>
      </c>
      <c r="I908" s="40">
        <f t="shared" si="170"/>
        <v>0</v>
      </c>
      <c r="J908" s="40">
        <f t="shared" si="171"/>
        <v>418.99588772328013</v>
      </c>
      <c r="K908" s="36">
        <v>0.34366326260019553</v>
      </c>
      <c r="L908" s="42">
        <f t="shared" si="176"/>
        <v>0</v>
      </c>
      <c r="M908" s="42">
        <f t="shared" si="176"/>
        <v>20000</v>
      </c>
      <c r="N908" s="42">
        <f t="shared" si="172"/>
        <v>6873.265252003911</v>
      </c>
      <c r="O908" s="36">
        <v>5.5283838643774672</v>
      </c>
      <c r="P908" s="42">
        <f t="shared" si="173"/>
        <v>11760.159029230199</v>
      </c>
      <c r="Q908" s="42"/>
      <c r="R908">
        <v>0.76827295754875335</v>
      </c>
      <c r="S908">
        <v>0.27945799127170629</v>
      </c>
    </row>
    <row r="909" spans="1:19" x14ac:dyDescent="0.25">
      <c r="A909" s="40">
        <f t="shared" si="174"/>
        <v>0</v>
      </c>
      <c r="B909" s="40">
        <f t="shared" si="175"/>
        <v>50</v>
      </c>
      <c r="C909" s="41">
        <f t="shared" si="168"/>
        <v>1.0313000000000001</v>
      </c>
      <c r="D909" s="41">
        <f t="shared" si="169"/>
        <v>0.88000000000000012</v>
      </c>
      <c r="E909" s="39">
        <f>IF(_xlfn.NORM.INV(R909,C909,'Regressão Grupo 2'!$B$7)&lt;=0,0,IF(_xlfn.NORM.INV(R909,C909,'Regressão Grupo 2'!$B$7)&gt;100%,100%,_xlfn.NORM.INV(R909,C909,'Regressão Grupo 2'!$B$7)))</f>
        <v>1</v>
      </c>
      <c r="F909" s="39">
        <f>IF(_xlfn.NORM.INV(S909,D909,'Regressão Grupo 2'!$B$7)&lt;=0,0,IF(_xlfn.NORM.INV(S909,D909,'Regressão Grupo 2'!$B$7)&gt;100%,100%,_xlfn.NORM.INV(S909,D909,'Regressão Grupo 2'!$B$7)))</f>
        <v>0.83657808122600785</v>
      </c>
      <c r="G909" s="41">
        <v>1.5372505171659093E-2</v>
      </c>
      <c r="H909" s="41">
        <v>1.8385714851821448E-2</v>
      </c>
      <c r="I909" s="40">
        <f t="shared" si="170"/>
        <v>0</v>
      </c>
      <c r="J909" s="40">
        <f t="shared" si="171"/>
        <v>307.62172105410605</v>
      </c>
      <c r="K909" s="36">
        <v>0.32158566600240418</v>
      </c>
      <c r="L909" s="42">
        <f t="shared" si="176"/>
        <v>0</v>
      </c>
      <c r="M909" s="42">
        <f t="shared" si="176"/>
        <v>20000</v>
      </c>
      <c r="N909" s="42">
        <f t="shared" si="172"/>
        <v>6431.7133200480839</v>
      </c>
      <c r="O909" s="36">
        <v>4.194750513657465</v>
      </c>
      <c r="P909" s="42">
        <f t="shared" si="173"/>
        <v>7658.9763602533149</v>
      </c>
      <c r="Q909" s="42"/>
      <c r="R909">
        <v>0.5706045716727195</v>
      </c>
      <c r="S909">
        <v>0.37675099948118534</v>
      </c>
    </row>
    <row r="910" spans="1:19" x14ac:dyDescent="0.25">
      <c r="A910" s="40">
        <f t="shared" si="174"/>
        <v>0</v>
      </c>
      <c r="B910" s="40">
        <f t="shared" si="175"/>
        <v>50</v>
      </c>
      <c r="C910" s="41">
        <f t="shared" si="168"/>
        <v>1.0313000000000001</v>
      </c>
      <c r="D910" s="41">
        <f t="shared" si="169"/>
        <v>0.88000000000000012</v>
      </c>
      <c r="E910" s="39">
        <f>IF(_xlfn.NORM.INV(R910,C910,'Regressão Grupo 2'!$B$7)&lt;=0,0,IF(_xlfn.NORM.INV(R910,C910,'Regressão Grupo 2'!$B$7)&gt;100%,100%,_xlfn.NORM.INV(R910,C910,'Regressão Grupo 2'!$B$7)))</f>
        <v>1</v>
      </c>
      <c r="F910" s="39">
        <f>IF(_xlfn.NORM.INV(S910,D910,'Regressão Grupo 2'!$B$7)&lt;=0,0,IF(_xlfn.NORM.INV(S910,D910,'Regressão Grupo 2'!$B$7)&gt;100%,100%,_xlfn.NORM.INV(S910,D910,'Regressão Grupo 2'!$B$7)))</f>
        <v>0.91458181699775132</v>
      </c>
      <c r="G910" s="41">
        <v>1.1048068703738203E-2</v>
      </c>
      <c r="H910" s="41">
        <v>1.2737743657620201E-2</v>
      </c>
      <c r="I910" s="40">
        <f t="shared" si="170"/>
        <v>0</v>
      </c>
      <c r="J910" s="40">
        <f t="shared" si="171"/>
        <v>232.99417477675732</v>
      </c>
      <c r="K910" s="36">
        <v>0.42390350158767043</v>
      </c>
      <c r="L910" s="42">
        <f t="shared" si="176"/>
        <v>0</v>
      </c>
      <c r="M910" s="42">
        <f t="shared" si="176"/>
        <v>20000</v>
      </c>
      <c r="N910" s="42">
        <f t="shared" si="172"/>
        <v>8478.0700317534083</v>
      </c>
      <c r="O910" s="36">
        <v>6.3975583772150024</v>
      </c>
      <c r="P910" s="42">
        <f t="shared" si="173"/>
        <v>1681.0448723991176</v>
      </c>
      <c r="Q910" s="42"/>
      <c r="R910">
        <v>0.95815912350840782</v>
      </c>
      <c r="S910">
        <v>0.59874263740958888</v>
      </c>
    </row>
    <row r="911" spans="1:19" x14ac:dyDescent="0.25">
      <c r="A911" s="40">
        <f t="shared" si="174"/>
        <v>0</v>
      </c>
      <c r="B911" s="40">
        <f t="shared" si="175"/>
        <v>50</v>
      </c>
      <c r="C911" s="41">
        <f t="shared" si="168"/>
        <v>1.0313000000000001</v>
      </c>
      <c r="D911" s="41">
        <f t="shared" si="169"/>
        <v>0.88000000000000012</v>
      </c>
      <c r="E911" s="39">
        <f>IF(_xlfn.NORM.INV(R911,C911,'Regressão Grupo 2'!$B$7)&lt;=0,0,IF(_xlfn.NORM.INV(R911,C911,'Regressão Grupo 2'!$B$7)&gt;100%,100%,_xlfn.NORM.INV(R911,C911,'Regressão Grupo 2'!$B$7)))</f>
        <v>1</v>
      </c>
      <c r="F911" s="39">
        <f>IF(_xlfn.NORM.INV(S911,D911,'Regressão Grupo 2'!$B$7)&lt;=0,0,IF(_xlfn.NORM.INV(S911,D911,'Regressão Grupo 2'!$B$7)&gt;100%,100%,_xlfn.NORM.INV(S911,D911,'Regressão Grupo 2'!$B$7)))</f>
        <v>1</v>
      </c>
      <c r="G911" s="41">
        <v>1.8211760866853593E-2</v>
      </c>
      <c r="H911" s="41">
        <v>1.8341087810990222E-2</v>
      </c>
      <c r="I911" s="40">
        <f t="shared" si="170"/>
        <v>0</v>
      </c>
      <c r="J911" s="40">
        <f t="shared" si="171"/>
        <v>366.82175621980446</v>
      </c>
      <c r="K911" s="36">
        <v>0.3126052516073124</v>
      </c>
      <c r="L911" s="42">
        <f t="shared" si="176"/>
        <v>0</v>
      </c>
      <c r="M911" s="42">
        <f t="shared" si="176"/>
        <v>20000</v>
      </c>
      <c r="N911" s="42">
        <f t="shared" si="172"/>
        <v>6252.105032146248</v>
      </c>
      <c r="O911" s="36">
        <v>9.8868527141662224</v>
      </c>
      <c r="P911" s="42">
        <f t="shared" si="173"/>
        <v>8462.2701027469793</v>
      </c>
      <c r="Q911" s="42"/>
      <c r="R911">
        <v>0.86980803857539601</v>
      </c>
      <c r="S911">
        <v>0.93655201879940186</v>
      </c>
    </row>
    <row r="912" spans="1:19" x14ac:dyDescent="0.25">
      <c r="A912" s="40">
        <f t="shared" si="174"/>
        <v>0</v>
      </c>
      <c r="B912" s="40">
        <f t="shared" si="175"/>
        <v>50</v>
      </c>
      <c r="C912" s="41">
        <f t="shared" si="168"/>
        <v>1.0313000000000001</v>
      </c>
      <c r="D912" s="41">
        <f t="shared" si="169"/>
        <v>0.88000000000000012</v>
      </c>
      <c r="E912" s="39">
        <f>IF(_xlfn.NORM.INV(R912,C912,'Regressão Grupo 2'!$B$7)&lt;=0,0,IF(_xlfn.NORM.INV(R912,C912,'Regressão Grupo 2'!$B$7)&gt;100%,100%,_xlfn.NORM.INV(R912,C912,'Regressão Grupo 2'!$B$7)))</f>
        <v>0.92495548243937786</v>
      </c>
      <c r="F912" s="39">
        <f>IF(_xlfn.NORM.INV(S912,D912,'Regressão Grupo 2'!$B$7)&lt;=0,0,IF(_xlfn.NORM.INV(S912,D912,'Regressão Grupo 2'!$B$7)&gt;100%,100%,_xlfn.NORM.INV(S912,D912,'Regressão Grupo 2'!$B$7)))</f>
        <v>0.63867000095444426</v>
      </c>
      <c r="G912" s="41">
        <v>9.6325664256795753E-3</v>
      </c>
      <c r="H912" s="41">
        <v>1.5461063209088174E-2</v>
      </c>
      <c r="I912" s="40">
        <f t="shared" si="170"/>
        <v>0</v>
      </c>
      <c r="J912" s="40">
        <f t="shared" si="171"/>
        <v>197.49034509010136</v>
      </c>
      <c r="K912" s="36">
        <v>0.44373122634523798</v>
      </c>
      <c r="L912" s="42">
        <f t="shared" si="176"/>
        <v>0</v>
      </c>
      <c r="M912" s="42">
        <f t="shared" si="176"/>
        <v>20000</v>
      </c>
      <c r="N912" s="42">
        <f t="shared" si="172"/>
        <v>8874.6245269047595</v>
      </c>
      <c r="O912" s="36">
        <v>5.0439098263515625</v>
      </c>
      <c r="P912" s="42">
        <f t="shared" si="173"/>
        <v>3.7692353907859797</v>
      </c>
      <c r="Q912" s="42"/>
      <c r="R912">
        <v>0.22092349009674367</v>
      </c>
      <c r="S912">
        <v>4.0467543565172279E-2</v>
      </c>
    </row>
    <row r="913" spans="1:19" x14ac:dyDescent="0.25">
      <c r="A913" s="40">
        <f t="shared" si="174"/>
        <v>0</v>
      </c>
      <c r="B913" s="40">
        <f t="shared" si="175"/>
        <v>50</v>
      </c>
      <c r="C913" s="41">
        <f t="shared" si="168"/>
        <v>1.0313000000000001</v>
      </c>
      <c r="D913" s="41">
        <f t="shared" si="169"/>
        <v>0.88000000000000012</v>
      </c>
      <c r="E913" s="39">
        <f>IF(_xlfn.NORM.INV(R913,C913,'Regressão Grupo 2'!$B$7)&lt;=0,0,IF(_xlfn.NORM.INV(R913,C913,'Regressão Grupo 2'!$B$7)&gt;100%,100%,_xlfn.NORM.INV(R913,C913,'Regressão Grupo 2'!$B$7)))</f>
        <v>1</v>
      </c>
      <c r="F913" s="39">
        <f>IF(_xlfn.NORM.INV(S913,D913,'Regressão Grupo 2'!$B$7)&lt;=0,0,IF(_xlfn.NORM.INV(S913,D913,'Regressão Grupo 2'!$B$7)&gt;100%,100%,_xlfn.NORM.INV(S913,D913,'Regressão Grupo 2'!$B$7)))</f>
        <v>0.90948559705537591</v>
      </c>
      <c r="G913" s="41">
        <v>2.3288405480533805E-2</v>
      </c>
      <c r="H913" s="41">
        <v>1.3702017988424502E-2</v>
      </c>
      <c r="I913" s="40">
        <f t="shared" si="170"/>
        <v>0</v>
      </c>
      <c r="J913" s="40">
        <f t="shared" si="171"/>
        <v>249.23576022131519</v>
      </c>
      <c r="K913" s="36">
        <v>0.2165756324549663</v>
      </c>
      <c r="L913" s="42">
        <f t="shared" si="176"/>
        <v>0</v>
      </c>
      <c r="M913" s="42">
        <f t="shared" si="176"/>
        <v>20000</v>
      </c>
      <c r="N913" s="42">
        <f t="shared" si="172"/>
        <v>4331.5126490993262</v>
      </c>
      <c r="O913" s="36">
        <v>5.8443816485189446</v>
      </c>
      <c r="P913" s="42">
        <f t="shared" si="173"/>
        <v>6673.6464587743103</v>
      </c>
      <c r="Q913" s="42"/>
      <c r="R913">
        <v>0.68413342692342904</v>
      </c>
      <c r="S913">
        <v>0.58442945646534628</v>
      </c>
    </row>
    <row r="914" spans="1:19" x14ac:dyDescent="0.25">
      <c r="A914" s="40">
        <f t="shared" si="174"/>
        <v>0</v>
      </c>
      <c r="B914" s="40">
        <f t="shared" si="175"/>
        <v>50</v>
      </c>
      <c r="C914" s="41">
        <f t="shared" si="168"/>
        <v>1.0313000000000001</v>
      </c>
      <c r="D914" s="41">
        <f t="shared" si="169"/>
        <v>0.88000000000000012</v>
      </c>
      <c r="E914" s="39">
        <f>IF(_xlfn.NORM.INV(R914,C914,'Regressão Grupo 2'!$B$7)&lt;=0,0,IF(_xlfn.NORM.INV(R914,C914,'Regressão Grupo 2'!$B$7)&gt;100%,100%,_xlfn.NORM.INV(R914,C914,'Regressão Grupo 2'!$B$7)))</f>
        <v>1</v>
      </c>
      <c r="F914" s="39">
        <f>IF(_xlfn.NORM.INV(S914,D914,'Regressão Grupo 2'!$B$7)&lt;=0,0,IF(_xlfn.NORM.INV(S914,D914,'Regressão Grupo 2'!$B$7)&gt;100%,100%,_xlfn.NORM.INV(S914,D914,'Regressão Grupo 2'!$B$7)))</f>
        <v>0.79574640393551288</v>
      </c>
      <c r="G914" s="41">
        <v>1.9715890849412089E-2</v>
      </c>
      <c r="H914" s="41">
        <v>1.2261484504204893E-2</v>
      </c>
      <c r="I914" s="40">
        <f t="shared" si="170"/>
        <v>0</v>
      </c>
      <c r="J914" s="40">
        <f t="shared" si="171"/>
        <v>195.14064402264117</v>
      </c>
      <c r="K914" s="36">
        <v>0.17935181767305383</v>
      </c>
      <c r="L914" s="42">
        <f t="shared" si="176"/>
        <v>0</v>
      </c>
      <c r="M914" s="42">
        <f t="shared" si="176"/>
        <v>20000</v>
      </c>
      <c r="N914" s="42">
        <f t="shared" si="172"/>
        <v>3587.0363534610765</v>
      </c>
      <c r="O914" s="36">
        <v>2.6611822608475508</v>
      </c>
      <c r="P914" s="42">
        <f t="shared" si="173"/>
        <v>5650.6910274275615</v>
      </c>
      <c r="Q914" s="42"/>
      <c r="R914">
        <v>0.47529526657918025</v>
      </c>
      <c r="S914">
        <v>0.27115695669423506</v>
      </c>
    </row>
    <row r="915" spans="1:19" x14ac:dyDescent="0.25">
      <c r="A915" s="40">
        <f t="shared" si="174"/>
        <v>0</v>
      </c>
      <c r="B915" s="40">
        <f t="shared" si="175"/>
        <v>50</v>
      </c>
      <c r="C915" s="41">
        <f t="shared" si="168"/>
        <v>1.0313000000000001</v>
      </c>
      <c r="D915" s="41">
        <f t="shared" si="169"/>
        <v>0.88000000000000012</v>
      </c>
      <c r="E915" s="39">
        <f>IF(_xlfn.NORM.INV(R915,C915,'Regressão Grupo 2'!$B$7)&lt;=0,0,IF(_xlfn.NORM.INV(R915,C915,'Regressão Grupo 2'!$B$7)&gt;100%,100%,_xlfn.NORM.INV(R915,C915,'Regressão Grupo 2'!$B$7)))</f>
        <v>0.93682601152145517</v>
      </c>
      <c r="F915" s="39">
        <f>IF(_xlfn.NORM.INV(S915,D915,'Regressão Grupo 2'!$B$7)&lt;=0,0,IF(_xlfn.NORM.INV(S915,D915,'Regressão Grupo 2'!$B$7)&gt;100%,100%,_xlfn.NORM.INV(S915,D915,'Regressão Grupo 2'!$B$7)))</f>
        <v>0.85235144097969551</v>
      </c>
      <c r="G915" s="41">
        <v>2.2855709384348409E-3</v>
      </c>
      <c r="H915" s="41">
        <v>2.9950890877135962E-3</v>
      </c>
      <c r="I915" s="40">
        <f t="shared" si="170"/>
        <v>0</v>
      </c>
      <c r="J915" s="40">
        <f t="shared" si="171"/>
        <v>51.057369995504907</v>
      </c>
      <c r="K915" s="36">
        <v>0.36058107255791427</v>
      </c>
      <c r="L915" s="42">
        <f t="shared" si="176"/>
        <v>0</v>
      </c>
      <c r="M915" s="42">
        <f t="shared" si="176"/>
        <v>20000</v>
      </c>
      <c r="N915" s="42">
        <f t="shared" si="172"/>
        <v>7211.6214511582857</v>
      </c>
      <c r="O915" s="36">
        <v>6.6040978700739172</v>
      </c>
      <c r="P915" s="42">
        <f t="shared" si="173"/>
        <v>-4995.9408198219298</v>
      </c>
      <c r="Q915" s="42"/>
      <c r="R915">
        <v>0.24723044526505325</v>
      </c>
      <c r="S915">
        <v>0.42075869014557327</v>
      </c>
    </row>
    <row r="916" spans="1:19" x14ac:dyDescent="0.25">
      <c r="A916" s="40">
        <f t="shared" si="174"/>
        <v>0</v>
      </c>
      <c r="B916" s="40">
        <f t="shared" si="175"/>
        <v>50</v>
      </c>
      <c r="C916" s="41">
        <f t="shared" si="168"/>
        <v>1.0313000000000001</v>
      </c>
      <c r="D916" s="41">
        <f t="shared" si="169"/>
        <v>0.88000000000000012</v>
      </c>
      <c r="E916" s="39">
        <f>IF(_xlfn.NORM.INV(R916,C916,'Regressão Grupo 2'!$B$7)&lt;=0,0,IF(_xlfn.NORM.INV(R916,C916,'Regressão Grupo 2'!$B$7)&gt;100%,100%,_xlfn.NORM.INV(R916,C916,'Regressão Grupo 2'!$B$7)))</f>
        <v>1</v>
      </c>
      <c r="F916" s="39">
        <f>IF(_xlfn.NORM.INV(S916,D916,'Regressão Grupo 2'!$B$7)&lt;=0,0,IF(_xlfn.NORM.INV(S916,D916,'Regressão Grupo 2'!$B$7)&gt;100%,100%,_xlfn.NORM.INV(S916,D916,'Regressão Grupo 2'!$B$7)))</f>
        <v>0.71498978433243143</v>
      </c>
      <c r="G916" s="41">
        <v>1.700507050517271E-2</v>
      </c>
      <c r="H916" s="41">
        <v>1.8551416691049892E-2</v>
      </c>
      <c r="I916" s="40">
        <f t="shared" si="170"/>
        <v>0</v>
      </c>
      <c r="J916" s="40">
        <f t="shared" si="171"/>
        <v>265.28146837989664</v>
      </c>
      <c r="K916" s="36">
        <v>0.18853194837904033</v>
      </c>
      <c r="L916" s="42">
        <f t="shared" si="176"/>
        <v>0</v>
      </c>
      <c r="M916" s="42">
        <f t="shared" si="176"/>
        <v>20000</v>
      </c>
      <c r="N916" s="42">
        <f t="shared" si="172"/>
        <v>3770.6389675808068</v>
      </c>
      <c r="O916" s="36">
        <v>5.3829320567496355</v>
      </c>
      <c r="P916" s="42">
        <f t="shared" si="173"/>
        <v>8065.4423312102654</v>
      </c>
      <c r="Q916" s="42"/>
      <c r="R916">
        <v>0.51646473586230046</v>
      </c>
      <c r="S916">
        <v>0.11636707663197729</v>
      </c>
    </row>
    <row r="917" spans="1:19" x14ac:dyDescent="0.25">
      <c r="A917" s="40">
        <f t="shared" si="174"/>
        <v>0</v>
      </c>
      <c r="B917" s="40">
        <f t="shared" si="175"/>
        <v>50</v>
      </c>
      <c r="C917" s="41">
        <f t="shared" si="168"/>
        <v>1.0313000000000001</v>
      </c>
      <c r="D917" s="41">
        <f t="shared" si="169"/>
        <v>0.88000000000000012</v>
      </c>
      <c r="E917" s="39">
        <f>IF(_xlfn.NORM.INV(R917,C917,'Regressão Grupo 2'!$B$7)&lt;=0,0,IF(_xlfn.NORM.INV(R917,C917,'Regressão Grupo 2'!$B$7)&gt;100%,100%,_xlfn.NORM.INV(R917,C917,'Regressão Grupo 2'!$B$7)))</f>
        <v>1</v>
      </c>
      <c r="F917" s="39">
        <f>IF(_xlfn.NORM.INV(S917,D917,'Regressão Grupo 2'!$B$7)&lt;=0,0,IF(_xlfn.NORM.INV(S917,D917,'Regressão Grupo 2'!$B$7)&gt;100%,100%,_xlfn.NORM.INV(S917,D917,'Regressão Grupo 2'!$B$7)))</f>
        <v>0.75426060503364456</v>
      </c>
      <c r="G917" s="41">
        <v>1.6979485335216739E-2</v>
      </c>
      <c r="H917" s="41">
        <v>2.0002744574479911E-2</v>
      </c>
      <c r="I917" s="40">
        <f t="shared" si="170"/>
        <v>0</v>
      </c>
      <c r="J917" s="40">
        <f t="shared" si="171"/>
        <v>301.74564450161336</v>
      </c>
      <c r="K917" s="36">
        <v>0.27795376494353968</v>
      </c>
      <c r="L917" s="42">
        <f t="shared" si="176"/>
        <v>0</v>
      </c>
      <c r="M917" s="42">
        <f t="shared" si="176"/>
        <v>20000</v>
      </c>
      <c r="N917" s="42">
        <f t="shared" si="172"/>
        <v>5559.0752988707936</v>
      </c>
      <c r="O917" s="36">
        <v>9.4743865074582327</v>
      </c>
      <c r="P917" s="42">
        <f t="shared" si="173"/>
        <v>6669.3520632594991</v>
      </c>
      <c r="Q917" s="42"/>
      <c r="R917">
        <v>0.94802697836237682</v>
      </c>
      <c r="S917">
        <v>0.1815851313821833</v>
      </c>
    </row>
    <row r="918" spans="1:19" x14ac:dyDescent="0.25">
      <c r="A918" s="40">
        <f t="shared" si="174"/>
        <v>0</v>
      </c>
      <c r="B918" s="40">
        <f t="shared" si="175"/>
        <v>50</v>
      </c>
      <c r="C918" s="41">
        <f t="shared" si="168"/>
        <v>1.0313000000000001</v>
      </c>
      <c r="D918" s="41">
        <f t="shared" si="169"/>
        <v>0.88000000000000012</v>
      </c>
      <c r="E918" s="39">
        <f>IF(_xlfn.NORM.INV(R918,C918,'Regressão Grupo 2'!$B$7)&lt;=0,0,IF(_xlfn.NORM.INV(R918,C918,'Regressão Grupo 2'!$B$7)&gt;100%,100%,_xlfn.NORM.INV(R918,C918,'Regressão Grupo 2'!$B$7)))</f>
        <v>1</v>
      </c>
      <c r="F918" s="39">
        <f>IF(_xlfn.NORM.INV(S918,D918,'Regressão Grupo 2'!$B$7)&lt;=0,0,IF(_xlfn.NORM.INV(S918,D918,'Regressão Grupo 2'!$B$7)&gt;100%,100%,_xlfn.NORM.INV(S918,D918,'Regressão Grupo 2'!$B$7)))</f>
        <v>1</v>
      </c>
      <c r="G918" s="41">
        <v>1.4667182830195356E-2</v>
      </c>
      <c r="H918" s="41">
        <v>1.6670599791246337E-2</v>
      </c>
      <c r="I918" s="40">
        <f t="shared" si="170"/>
        <v>0</v>
      </c>
      <c r="J918" s="40">
        <f t="shared" si="171"/>
        <v>333.41199582492675</v>
      </c>
      <c r="K918" s="36">
        <v>0.31884648490523582</v>
      </c>
      <c r="L918" s="42">
        <f t="shared" si="176"/>
        <v>0</v>
      </c>
      <c r="M918" s="42">
        <f t="shared" si="176"/>
        <v>20000</v>
      </c>
      <c r="N918" s="42">
        <f t="shared" si="172"/>
        <v>6376.9296981047164</v>
      </c>
      <c r="O918" s="36">
        <v>4.4498227483507442</v>
      </c>
      <c r="P918" s="42">
        <f t="shared" si="173"/>
        <v>8810.0458095468421</v>
      </c>
      <c r="Q918" s="42"/>
      <c r="R918">
        <v>0.9276406140324106</v>
      </c>
      <c r="S918">
        <v>0.95214697714163643</v>
      </c>
    </row>
    <row r="919" spans="1:19" x14ac:dyDescent="0.25">
      <c r="A919" s="40">
        <f t="shared" si="174"/>
        <v>0</v>
      </c>
      <c r="B919" s="40">
        <f t="shared" si="175"/>
        <v>50</v>
      </c>
      <c r="C919" s="41">
        <f t="shared" si="168"/>
        <v>1.0313000000000001</v>
      </c>
      <c r="D919" s="41">
        <f t="shared" si="169"/>
        <v>0.88000000000000012</v>
      </c>
      <c r="E919" s="39">
        <f>IF(_xlfn.NORM.INV(R919,C919,'Regressão Grupo 2'!$B$7)&lt;=0,0,IF(_xlfn.NORM.INV(R919,C919,'Regressão Grupo 2'!$B$7)&gt;100%,100%,_xlfn.NORM.INV(R919,C919,'Regressão Grupo 2'!$B$7)))</f>
        <v>1</v>
      </c>
      <c r="F919" s="39">
        <f>IF(_xlfn.NORM.INV(S919,D919,'Regressão Grupo 2'!$B$7)&lt;=0,0,IF(_xlfn.NORM.INV(S919,D919,'Regressão Grupo 2'!$B$7)&gt;100%,100%,_xlfn.NORM.INV(S919,D919,'Regressão Grupo 2'!$B$7)))</f>
        <v>0.55837571672540887</v>
      </c>
      <c r="G919" s="41">
        <v>2.8881542793952743E-2</v>
      </c>
      <c r="H919" s="41">
        <v>2.2424850261393053E-2</v>
      </c>
      <c r="I919" s="40">
        <f t="shared" si="170"/>
        <v>0</v>
      </c>
      <c r="J919" s="40">
        <f t="shared" si="171"/>
        <v>250.42983674330637</v>
      </c>
      <c r="K919" s="36">
        <v>0.28513916194304523</v>
      </c>
      <c r="L919" s="42">
        <f t="shared" ref="L919:M934" si="177">L918</f>
        <v>0</v>
      </c>
      <c r="M919" s="42">
        <f t="shared" si="177"/>
        <v>20000</v>
      </c>
      <c r="N919" s="42">
        <f t="shared" si="172"/>
        <v>5702.7832388609049</v>
      </c>
      <c r="O919" s="36">
        <v>5.518379022588217</v>
      </c>
      <c r="P919" s="42">
        <f t="shared" si="173"/>
        <v>5436.7418405899598</v>
      </c>
      <c r="Q919" s="42"/>
      <c r="R919">
        <v>0.78191473128452404</v>
      </c>
      <c r="S919">
        <v>1.0010071108127079E-2</v>
      </c>
    </row>
    <row r="920" spans="1:19" x14ac:dyDescent="0.25">
      <c r="A920" s="40">
        <f t="shared" si="174"/>
        <v>0</v>
      </c>
      <c r="B920" s="40">
        <f t="shared" si="175"/>
        <v>50</v>
      </c>
      <c r="C920" s="41">
        <f t="shared" si="168"/>
        <v>1.0313000000000001</v>
      </c>
      <c r="D920" s="41">
        <f t="shared" si="169"/>
        <v>0.88000000000000012</v>
      </c>
      <c r="E920" s="39">
        <f>IF(_xlfn.NORM.INV(R920,C920,'Regressão Grupo 2'!$B$7)&lt;=0,0,IF(_xlfn.NORM.INV(R920,C920,'Regressão Grupo 2'!$B$7)&gt;100%,100%,_xlfn.NORM.INV(R920,C920,'Regressão Grupo 2'!$B$7)))</f>
        <v>0.99319230937728897</v>
      </c>
      <c r="F920" s="39">
        <f>IF(_xlfn.NORM.INV(S920,D920,'Regressão Grupo 2'!$B$7)&lt;=0,0,IF(_xlfn.NORM.INV(S920,D920,'Regressão Grupo 2'!$B$7)&gt;100%,100%,_xlfn.NORM.INV(S920,D920,'Regressão Grupo 2'!$B$7)))</f>
        <v>1</v>
      </c>
      <c r="G920" s="41">
        <v>1.6625526993508798E-2</v>
      </c>
      <c r="H920" s="41">
        <v>2.4161998822572049E-2</v>
      </c>
      <c r="I920" s="40">
        <f t="shared" si="170"/>
        <v>0</v>
      </c>
      <c r="J920" s="40">
        <f t="shared" si="171"/>
        <v>483.23997645144101</v>
      </c>
      <c r="K920" s="36">
        <v>0.3985542616414286</v>
      </c>
      <c r="L920" s="42">
        <f t="shared" si="177"/>
        <v>0</v>
      </c>
      <c r="M920" s="42">
        <f t="shared" si="177"/>
        <v>20000</v>
      </c>
      <c r="N920" s="42">
        <f t="shared" si="172"/>
        <v>7971.0852328285719</v>
      </c>
      <c r="O920" s="36">
        <v>4.5532633110131941</v>
      </c>
      <c r="P920" s="42">
        <f t="shared" si="173"/>
        <v>13990.594734552255</v>
      </c>
      <c r="Q920" s="42"/>
      <c r="R920">
        <v>0.39143040253913997</v>
      </c>
      <c r="S920">
        <v>0.89495529038361765</v>
      </c>
    </row>
    <row r="921" spans="1:19" x14ac:dyDescent="0.25">
      <c r="A921" s="40">
        <f t="shared" si="174"/>
        <v>0</v>
      </c>
      <c r="B921" s="40">
        <f t="shared" si="175"/>
        <v>50</v>
      </c>
      <c r="C921" s="41">
        <f t="shared" si="168"/>
        <v>1.0313000000000001</v>
      </c>
      <c r="D921" s="41">
        <f t="shared" si="169"/>
        <v>0.88000000000000012</v>
      </c>
      <c r="E921" s="39">
        <f>IF(_xlfn.NORM.INV(R921,C921,'Regressão Grupo 2'!$B$7)&lt;=0,0,IF(_xlfn.NORM.INV(R921,C921,'Regressão Grupo 2'!$B$7)&gt;100%,100%,_xlfn.NORM.INV(R921,C921,'Regressão Grupo 2'!$B$7)))</f>
        <v>0.99830935531893994</v>
      </c>
      <c r="F921" s="39">
        <f>IF(_xlfn.NORM.INV(S921,D921,'Regressão Grupo 2'!$B$7)&lt;=0,0,IF(_xlfn.NORM.INV(S921,D921,'Regressão Grupo 2'!$B$7)&gt;100%,100%,_xlfn.NORM.INV(S921,D921,'Regressão Grupo 2'!$B$7)))</f>
        <v>0.85088221673545528</v>
      </c>
      <c r="G921" s="41">
        <v>1.5592974458111719E-2</v>
      </c>
      <c r="H921" s="41">
        <v>1.4585343858093706E-2</v>
      </c>
      <c r="I921" s="40">
        <f t="shared" si="170"/>
        <v>0</v>
      </c>
      <c r="J921" s="40">
        <f t="shared" si="171"/>
        <v>248.20819427647263</v>
      </c>
      <c r="K921" s="36">
        <v>0.18737462461988502</v>
      </c>
      <c r="L921" s="42">
        <f t="shared" si="177"/>
        <v>0</v>
      </c>
      <c r="M921" s="42">
        <f t="shared" si="177"/>
        <v>20000</v>
      </c>
      <c r="N921" s="42">
        <f t="shared" si="172"/>
        <v>3747.4924923977005</v>
      </c>
      <c r="O921" s="36">
        <v>6.4721600308298104</v>
      </c>
      <c r="P921" s="42">
        <f t="shared" si="173"/>
        <v>7056.474067105305</v>
      </c>
      <c r="Q921" s="42"/>
      <c r="R921">
        <v>0.40571306497390669</v>
      </c>
      <c r="S921">
        <v>0.41660817285683766</v>
      </c>
    </row>
    <row r="922" spans="1:19" x14ac:dyDescent="0.25">
      <c r="A922" s="40">
        <f t="shared" si="174"/>
        <v>0</v>
      </c>
      <c r="B922" s="40">
        <f t="shared" si="175"/>
        <v>50</v>
      </c>
      <c r="C922" s="41">
        <f t="shared" si="168"/>
        <v>1.0313000000000001</v>
      </c>
      <c r="D922" s="41">
        <f t="shared" si="169"/>
        <v>0.88000000000000012</v>
      </c>
      <c r="E922" s="39">
        <f>IF(_xlfn.NORM.INV(R922,C922,'Regressão Grupo 2'!$B$7)&lt;=0,0,IF(_xlfn.NORM.INV(R922,C922,'Regressão Grupo 2'!$B$7)&gt;100%,100%,_xlfn.NORM.INV(R922,C922,'Regressão Grupo 2'!$B$7)))</f>
        <v>1</v>
      </c>
      <c r="F922" s="39">
        <f>IF(_xlfn.NORM.INV(S922,D922,'Regressão Grupo 2'!$B$7)&lt;=0,0,IF(_xlfn.NORM.INV(S922,D922,'Regressão Grupo 2'!$B$7)&gt;100%,100%,_xlfn.NORM.INV(S922,D922,'Regressão Grupo 2'!$B$7)))</f>
        <v>0.9513019259962141</v>
      </c>
      <c r="G922" s="41">
        <v>1.8404469078446103E-2</v>
      </c>
      <c r="H922" s="41">
        <v>2.4155709419162598E-2</v>
      </c>
      <c r="I922" s="40">
        <f t="shared" si="170"/>
        <v>0</v>
      </c>
      <c r="J922" s="40">
        <f t="shared" si="171"/>
        <v>459.58745788508537</v>
      </c>
      <c r="K922" s="36">
        <v>0.2741243799640819</v>
      </c>
      <c r="L922" s="42">
        <f t="shared" si="177"/>
        <v>0</v>
      </c>
      <c r="M922" s="42">
        <f t="shared" si="177"/>
        <v>20000</v>
      </c>
      <c r="N922" s="42">
        <f t="shared" si="172"/>
        <v>5482.4875992816378</v>
      </c>
      <c r="O922" s="36">
        <v>6.0466757492526915</v>
      </c>
      <c r="P922" s="42">
        <f t="shared" si="173"/>
        <v>14717.908958718192</v>
      </c>
      <c r="Q922" s="42"/>
      <c r="R922">
        <v>0.43342387157811213</v>
      </c>
      <c r="S922">
        <v>0.69695120090334783</v>
      </c>
    </row>
    <row r="923" spans="1:19" x14ac:dyDescent="0.25">
      <c r="A923" s="40">
        <f t="shared" si="174"/>
        <v>0</v>
      </c>
      <c r="B923" s="40">
        <f t="shared" si="175"/>
        <v>50</v>
      </c>
      <c r="C923" s="41">
        <f t="shared" si="168"/>
        <v>1.0313000000000001</v>
      </c>
      <c r="D923" s="41">
        <f t="shared" si="169"/>
        <v>0.88000000000000012</v>
      </c>
      <c r="E923" s="39">
        <f>IF(_xlfn.NORM.INV(R923,C923,'Regressão Grupo 2'!$B$7)&lt;=0,0,IF(_xlfn.NORM.INV(R923,C923,'Regressão Grupo 2'!$B$7)&gt;100%,100%,_xlfn.NORM.INV(R923,C923,'Regressão Grupo 2'!$B$7)))</f>
        <v>0.83435587404968736</v>
      </c>
      <c r="F923" s="39">
        <f>IF(_xlfn.NORM.INV(S923,D923,'Regressão Grupo 2'!$B$7)&lt;=0,0,IF(_xlfn.NORM.INV(S923,D923,'Regressão Grupo 2'!$B$7)&gt;100%,100%,_xlfn.NORM.INV(S923,D923,'Regressão Grupo 2'!$B$7)))</f>
        <v>0.90990775833469995</v>
      </c>
      <c r="G923" s="41">
        <v>2.0246885760361225E-2</v>
      </c>
      <c r="H923" s="41">
        <v>1.506502956502693E-2</v>
      </c>
      <c r="I923" s="40">
        <f t="shared" si="170"/>
        <v>0</v>
      </c>
      <c r="J923" s="40">
        <f t="shared" si="171"/>
        <v>274.15574561519264</v>
      </c>
      <c r="K923" s="36">
        <v>0.28111580451911544</v>
      </c>
      <c r="L923" s="42">
        <f t="shared" si="177"/>
        <v>0</v>
      </c>
      <c r="M923" s="42">
        <f t="shared" si="177"/>
        <v>20000</v>
      </c>
      <c r="N923" s="42">
        <f t="shared" si="172"/>
        <v>5622.3160903823091</v>
      </c>
      <c r="O923" s="36">
        <v>6.8998642705495614</v>
      </c>
      <c r="P923" s="42">
        <f t="shared" si="173"/>
        <v>6193.8337566411801</v>
      </c>
      <c r="Q923" s="42"/>
      <c r="R923">
        <v>7.7181310464796898E-2</v>
      </c>
      <c r="S923">
        <v>0.58561967833491013</v>
      </c>
    </row>
    <row r="924" spans="1:19" x14ac:dyDescent="0.25">
      <c r="A924" s="40">
        <f t="shared" si="174"/>
        <v>0</v>
      </c>
      <c r="B924" s="40">
        <f t="shared" si="175"/>
        <v>50</v>
      </c>
      <c r="C924" s="41">
        <f t="shared" si="168"/>
        <v>1.0313000000000001</v>
      </c>
      <c r="D924" s="41">
        <f t="shared" si="169"/>
        <v>0.88000000000000012</v>
      </c>
      <c r="E924" s="39">
        <f>IF(_xlfn.NORM.INV(R924,C924,'Regressão Grupo 2'!$B$7)&lt;=0,0,IF(_xlfn.NORM.INV(R924,C924,'Regressão Grupo 2'!$B$7)&gt;100%,100%,_xlfn.NORM.INV(R924,C924,'Regressão Grupo 2'!$B$7)))</f>
        <v>0.87425019359308065</v>
      </c>
      <c r="F924" s="39">
        <f>IF(_xlfn.NORM.INV(S924,D924,'Regressão Grupo 2'!$B$7)&lt;=0,0,IF(_xlfn.NORM.INV(S924,D924,'Regressão Grupo 2'!$B$7)&gt;100%,100%,_xlfn.NORM.INV(S924,D924,'Regressão Grupo 2'!$B$7)))</f>
        <v>0.97431374783667835</v>
      </c>
      <c r="G924" s="41">
        <v>7.726501156030182E-4</v>
      </c>
      <c r="H924" s="41">
        <v>1.9127717629120609E-2</v>
      </c>
      <c r="I924" s="40">
        <f t="shared" si="170"/>
        <v>0</v>
      </c>
      <c r="J924" s="40">
        <f t="shared" si="171"/>
        <v>372.72796501580405</v>
      </c>
      <c r="K924" s="36">
        <v>0.32740614970035897</v>
      </c>
      <c r="L924" s="42">
        <f t="shared" si="177"/>
        <v>0</v>
      </c>
      <c r="M924" s="42">
        <f t="shared" si="177"/>
        <v>20000</v>
      </c>
      <c r="N924" s="42">
        <f t="shared" si="172"/>
        <v>6548.1229940071798</v>
      </c>
      <c r="O924" s="36">
        <v>6.9683143496267093</v>
      </c>
      <c r="P924" s="42">
        <f t="shared" si="173"/>
        <v>9490.9896296562365</v>
      </c>
      <c r="Q924" s="42"/>
      <c r="R924">
        <v>0.12802514725180822</v>
      </c>
      <c r="S924">
        <v>0.75240333262123482</v>
      </c>
    </row>
    <row r="925" spans="1:19" x14ac:dyDescent="0.25">
      <c r="A925" s="40">
        <f t="shared" si="174"/>
        <v>0</v>
      </c>
      <c r="B925" s="40">
        <f t="shared" si="175"/>
        <v>50</v>
      </c>
      <c r="C925" s="41">
        <f t="shared" si="168"/>
        <v>1.0313000000000001</v>
      </c>
      <c r="D925" s="41">
        <f t="shared" si="169"/>
        <v>0.88000000000000012</v>
      </c>
      <c r="E925" s="39">
        <f>IF(_xlfn.NORM.INV(R925,C925,'Regressão Grupo 2'!$B$7)&lt;=0,0,IF(_xlfn.NORM.INV(R925,C925,'Regressão Grupo 2'!$B$7)&gt;100%,100%,_xlfn.NORM.INV(R925,C925,'Regressão Grupo 2'!$B$7)))</f>
        <v>0.94258279243192633</v>
      </c>
      <c r="F925" s="39">
        <f>IF(_xlfn.NORM.INV(S925,D925,'Regressão Grupo 2'!$B$7)&lt;=0,0,IF(_xlfn.NORM.INV(S925,D925,'Regressão Grupo 2'!$B$7)&gt;100%,100%,_xlfn.NORM.INV(S925,D925,'Regressão Grupo 2'!$B$7)))</f>
        <v>0.94598919523363756</v>
      </c>
      <c r="G925" s="41">
        <v>2.0479105336771473E-2</v>
      </c>
      <c r="H925" s="41">
        <v>2.1882771761044618E-2</v>
      </c>
      <c r="I925" s="40">
        <f t="shared" si="170"/>
        <v>0</v>
      </c>
      <c r="J925" s="40">
        <f t="shared" si="171"/>
        <v>414.0173129542394</v>
      </c>
      <c r="K925" s="36">
        <v>0.22952188234772136</v>
      </c>
      <c r="L925" s="42">
        <f t="shared" si="177"/>
        <v>0</v>
      </c>
      <c r="M925" s="42">
        <f t="shared" si="177"/>
        <v>20000</v>
      </c>
      <c r="N925" s="42">
        <f t="shared" si="172"/>
        <v>4590.4376469544277</v>
      </c>
      <c r="O925" s="36">
        <v>5.2450728690835797</v>
      </c>
      <c r="P925" s="42">
        <f t="shared" si="173"/>
        <v>13938.877025250376</v>
      </c>
      <c r="Q925" s="42"/>
      <c r="R925">
        <v>0.26056703390606401</v>
      </c>
      <c r="S925">
        <v>0.68340098269600513</v>
      </c>
    </row>
    <row r="926" spans="1:19" x14ac:dyDescent="0.25">
      <c r="A926" s="40">
        <f t="shared" si="174"/>
        <v>0</v>
      </c>
      <c r="B926" s="40">
        <f t="shared" si="175"/>
        <v>50</v>
      </c>
      <c r="C926" s="41">
        <f t="shared" si="168"/>
        <v>1.0313000000000001</v>
      </c>
      <c r="D926" s="41">
        <f t="shared" si="169"/>
        <v>0.88000000000000012</v>
      </c>
      <c r="E926" s="39">
        <f>IF(_xlfn.NORM.INV(R926,C926,'Regressão Grupo 2'!$B$7)&lt;=0,0,IF(_xlfn.NORM.INV(R926,C926,'Regressão Grupo 2'!$B$7)&gt;100%,100%,_xlfn.NORM.INV(R926,C926,'Regressão Grupo 2'!$B$7)))</f>
        <v>1</v>
      </c>
      <c r="F926" s="39">
        <f>IF(_xlfn.NORM.INV(S926,D926,'Regressão Grupo 2'!$B$7)&lt;=0,0,IF(_xlfn.NORM.INV(S926,D926,'Regressão Grupo 2'!$B$7)&gt;100%,100%,_xlfn.NORM.INV(S926,D926,'Regressão Grupo 2'!$B$7)))</f>
        <v>0.718682067028661</v>
      </c>
      <c r="G926" s="41">
        <v>7.944397460099055E-3</v>
      </c>
      <c r="H926" s="41">
        <v>5.9856689488475522E-3</v>
      </c>
      <c r="I926" s="40">
        <f t="shared" si="170"/>
        <v>0</v>
      </c>
      <c r="J926" s="40">
        <f t="shared" si="171"/>
        <v>86.035858654140625</v>
      </c>
      <c r="K926" s="36">
        <v>0.26241574670809342</v>
      </c>
      <c r="L926" s="42">
        <f t="shared" si="177"/>
        <v>0</v>
      </c>
      <c r="M926" s="42">
        <f t="shared" si="177"/>
        <v>20000</v>
      </c>
      <c r="N926" s="42">
        <f t="shared" si="172"/>
        <v>5248.3149341618682</v>
      </c>
      <c r="O926" s="36">
        <v>2.9808529105024708</v>
      </c>
      <c r="P926" s="42">
        <f t="shared" si="173"/>
        <v>-1202.9822411316109</v>
      </c>
      <c r="Q926" s="42"/>
      <c r="R926">
        <v>0.79903561510055854</v>
      </c>
      <c r="S926">
        <v>0.1216772972808008</v>
      </c>
    </row>
    <row r="927" spans="1:19" x14ac:dyDescent="0.25">
      <c r="A927" s="40">
        <f t="shared" si="174"/>
        <v>0</v>
      </c>
      <c r="B927" s="40">
        <f t="shared" si="175"/>
        <v>50</v>
      </c>
      <c r="C927" s="41">
        <f t="shared" si="168"/>
        <v>1.0313000000000001</v>
      </c>
      <c r="D927" s="41">
        <f t="shared" si="169"/>
        <v>0.88000000000000012</v>
      </c>
      <c r="E927" s="39">
        <f>IF(_xlfn.NORM.INV(R927,C927,'Regressão Grupo 2'!$B$7)&lt;=0,0,IF(_xlfn.NORM.INV(R927,C927,'Regressão Grupo 2'!$B$7)&gt;100%,100%,_xlfn.NORM.INV(R927,C927,'Regressão Grupo 2'!$B$7)))</f>
        <v>0.90446909348300564</v>
      </c>
      <c r="F927" s="39">
        <f>IF(_xlfn.NORM.INV(S927,D927,'Regressão Grupo 2'!$B$7)&lt;=0,0,IF(_xlfn.NORM.INV(S927,D927,'Regressão Grupo 2'!$B$7)&gt;100%,100%,_xlfn.NORM.INV(S927,D927,'Regressão Grupo 2'!$B$7)))</f>
        <v>0.8171353881848511</v>
      </c>
      <c r="G927" s="41">
        <v>1.797984966278874E-2</v>
      </c>
      <c r="H927" s="41">
        <v>2.0910214688661478E-2</v>
      </c>
      <c r="I927" s="40">
        <f t="shared" si="170"/>
        <v>0</v>
      </c>
      <c r="J927" s="40">
        <f t="shared" si="171"/>
        <v>341.7295279329594</v>
      </c>
      <c r="K927" s="36">
        <v>0.32835907663085645</v>
      </c>
      <c r="L927" s="42">
        <f t="shared" si="177"/>
        <v>0</v>
      </c>
      <c r="M927" s="42">
        <f t="shared" si="177"/>
        <v>20000</v>
      </c>
      <c r="N927" s="42">
        <f t="shared" si="172"/>
        <v>6567.1815326171291</v>
      </c>
      <c r="O927" s="36">
        <v>6.486775042789354</v>
      </c>
      <c r="P927" s="42">
        <f t="shared" si="173"/>
        <v>8302.5722908511325</v>
      </c>
      <c r="Q927" s="42"/>
      <c r="R927">
        <v>0.17950987273781549</v>
      </c>
      <c r="S927">
        <v>0.32468642231513412</v>
      </c>
    </row>
    <row r="928" spans="1:19" x14ac:dyDescent="0.25">
      <c r="A928" s="40">
        <f t="shared" si="174"/>
        <v>0</v>
      </c>
      <c r="B928" s="40">
        <f t="shared" si="175"/>
        <v>50</v>
      </c>
      <c r="C928" s="41">
        <f t="shared" si="168"/>
        <v>1.0313000000000001</v>
      </c>
      <c r="D928" s="41">
        <f t="shared" si="169"/>
        <v>0.88000000000000012</v>
      </c>
      <c r="E928" s="39">
        <f>IF(_xlfn.NORM.INV(R928,C928,'Regressão Grupo 2'!$B$7)&lt;=0,0,IF(_xlfn.NORM.INV(R928,C928,'Regressão Grupo 2'!$B$7)&gt;100%,100%,_xlfn.NORM.INV(R928,C928,'Regressão Grupo 2'!$B$7)))</f>
        <v>0.93596924010940385</v>
      </c>
      <c r="F928" s="39">
        <f>IF(_xlfn.NORM.INV(S928,D928,'Regressão Grupo 2'!$B$7)&lt;=0,0,IF(_xlfn.NORM.INV(S928,D928,'Regressão Grupo 2'!$B$7)&gt;100%,100%,_xlfn.NORM.INV(S928,D928,'Regressão Grupo 2'!$B$7)))</f>
        <v>1</v>
      </c>
      <c r="G928" s="41">
        <v>1.1834526355582386E-2</v>
      </c>
      <c r="H928" s="41">
        <v>1.0479828395894536E-2</v>
      </c>
      <c r="I928" s="40">
        <f t="shared" si="170"/>
        <v>0</v>
      </c>
      <c r="J928" s="40">
        <f t="shared" si="171"/>
        <v>209.59656791789072</v>
      </c>
      <c r="K928" s="36">
        <v>0.32897296969689466</v>
      </c>
      <c r="L928" s="42">
        <f t="shared" si="177"/>
        <v>0</v>
      </c>
      <c r="M928" s="42">
        <f t="shared" si="177"/>
        <v>20000</v>
      </c>
      <c r="N928" s="42">
        <f t="shared" si="172"/>
        <v>6579.4593939378929</v>
      </c>
      <c r="O928" s="36">
        <v>4.9879422163776379</v>
      </c>
      <c r="P928" s="42">
        <f t="shared" si="173"/>
        <v>2854.9134324311335</v>
      </c>
      <c r="Q928" s="42"/>
      <c r="R928">
        <v>0.24527726065858943</v>
      </c>
      <c r="S928">
        <v>0.97924741355632194</v>
      </c>
    </row>
    <row r="929" spans="1:19" x14ac:dyDescent="0.25">
      <c r="A929" s="40">
        <f t="shared" si="174"/>
        <v>0</v>
      </c>
      <c r="B929" s="40">
        <f t="shared" si="175"/>
        <v>50</v>
      </c>
      <c r="C929" s="41">
        <f t="shared" si="168"/>
        <v>1.0313000000000001</v>
      </c>
      <c r="D929" s="41">
        <f t="shared" si="169"/>
        <v>0.88000000000000012</v>
      </c>
      <c r="E929" s="39">
        <f>IF(_xlfn.NORM.INV(R929,C929,'Regressão Grupo 2'!$B$7)&lt;=0,0,IF(_xlfn.NORM.INV(R929,C929,'Regressão Grupo 2'!$B$7)&gt;100%,100%,_xlfn.NORM.INV(R929,C929,'Regressão Grupo 2'!$B$7)))</f>
        <v>0.85279398469509715</v>
      </c>
      <c r="F929" s="39">
        <f>IF(_xlfn.NORM.INV(S929,D929,'Regressão Grupo 2'!$B$7)&lt;=0,0,IF(_xlfn.NORM.INV(S929,D929,'Regressão Grupo 2'!$B$7)&gt;100%,100%,_xlfn.NORM.INV(S929,D929,'Regressão Grupo 2'!$B$7)))</f>
        <v>1</v>
      </c>
      <c r="G929" s="41">
        <v>2.117334394945157E-2</v>
      </c>
      <c r="H929" s="41">
        <v>1.2498598497023618E-2</v>
      </c>
      <c r="I929" s="40">
        <f t="shared" si="170"/>
        <v>0</v>
      </c>
      <c r="J929" s="40">
        <f t="shared" si="171"/>
        <v>249.97196994047235</v>
      </c>
      <c r="K929" s="36">
        <v>0.22888050168982241</v>
      </c>
      <c r="L929" s="42">
        <f t="shared" si="177"/>
        <v>0</v>
      </c>
      <c r="M929" s="42">
        <f t="shared" si="177"/>
        <v>20000</v>
      </c>
      <c r="N929" s="42">
        <f t="shared" si="172"/>
        <v>4577.6100337964481</v>
      </c>
      <c r="O929" s="36">
        <v>6.5476400129002181</v>
      </c>
      <c r="P929" s="42">
        <f t="shared" si="173"/>
        <v>6284.2619907414419</v>
      </c>
      <c r="Q929" s="42"/>
      <c r="R929">
        <v>9.8361156041138945E-2</v>
      </c>
      <c r="S929">
        <v>0.85360271004364152</v>
      </c>
    </row>
    <row r="930" spans="1:19" x14ac:dyDescent="0.25">
      <c r="A930" s="40">
        <f t="shared" si="174"/>
        <v>0</v>
      </c>
      <c r="B930" s="40">
        <f t="shared" si="175"/>
        <v>50</v>
      </c>
      <c r="C930" s="41">
        <f t="shared" si="168"/>
        <v>1.0313000000000001</v>
      </c>
      <c r="D930" s="41">
        <f t="shared" si="169"/>
        <v>0.88000000000000012</v>
      </c>
      <c r="E930" s="39">
        <f>IF(_xlfn.NORM.INV(R930,C930,'Regressão Grupo 2'!$B$7)&lt;=0,0,IF(_xlfn.NORM.INV(R930,C930,'Regressão Grupo 2'!$B$7)&gt;100%,100%,_xlfn.NORM.INV(R930,C930,'Regressão Grupo 2'!$B$7)))</f>
        <v>1</v>
      </c>
      <c r="F930" s="39">
        <f>IF(_xlfn.NORM.INV(S930,D930,'Regressão Grupo 2'!$B$7)&lt;=0,0,IF(_xlfn.NORM.INV(S930,D930,'Regressão Grupo 2'!$B$7)&gt;100%,100%,_xlfn.NORM.INV(S930,D930,'Regressão Grupo 2'!$B$7)))</f>
        <v>0.84187033431611047</v>
      </c>
      <c r="G930" s="41">
        <v>1.3062197430770538E-2</v>
      </c>
      <c r="H930" s="41">
        <v>1.757945856757839E-2</v>
      </c>
      <c r="I930" s="40">
        <f t="shared" si="170"/>
        <v>0</v>
      </c>
      <c r="J930" s="40">
        <f t="shared" si="171"/>
        <v>295.9924932276686</v>
      </c>
      <c r="K930" s="36">
        <v>0.22852970498360053</v>
      </c>
      <c r="L930" s="42">
        <f t="shared" si="177"/>
        <v>0</v>
      </c>
      <c r="M930" s="42">
        <f t="shared" si="177"/>
        <v>20000</v>
      </c>
      <c r="N930" s="42">
        <f t="shared" si="172"/>
        <v>4570.594099672011</v>
      </c>
      <c r="O930" s="36">
        <v>3.7882417187002346</v>
      </c>
      <c r="P930" s="42">
        <f t="shared" si="173"/>
        <v>9107.7394504442691</v>
      </c>
      <c r="Q930" s="42"/>
      <c r="R930">
        <v>0.52287362285225991</v>
      </c>
      <c r="S930">
        <v>0.39136936552018797</v>
      </c>
    </row>
    <row r="931" spans="1:19" x14ac:dyDescent="0.25">
      <c r="A931" s="40">
        <f t="shared" si="174"/>
        <v>0</v>
      </c>
      <c r="B931" s="40">
        <f t="shared" si="175"/>
        <v>50</v>
      </c>
      <c r="C931" s="41">
        <f t="shared" si="168"/>
        <v>1.0313000000000001</v>
      </c>
      <c r="D931" s="41">
        <f t="shared" si="169"/>
        <v>0.88000000000000012</v>
      </c>
      <c r="E931" s="39">
        <f>IF(_xlfn.NORM.INV(R931,C931,'Regressão Grupo 2'!$B$7)&lt;=0,0,IF(_xlfn.NORM.INV(R931,C931,'Regressão Grupo 2'!$B$7)&gt;100%,100%,_xlfn.NORM.INV(R931,C931,'Regressão Grupo 2'!$B$7)))</f>
        <v>1</v>
      </c>
      <c r="F931" s="39">
        <f>IF(_xlfn.NORM.INV(S931,D931,'Regressão Grupo 2'!$B$7)&lt;=0,0,IF(_xlfn.NORM.INV(S931,D931,'Regressão Grupo 2'!$B$7)&gt;100%,100%,_xlfn.NORM.INV(S931,D931,'Regressão Grupo 2'!$B$7)))</f>
        <v>0.91327367856814501</v>
      </c>
      <c r="G931" s="41">
        <v>1.6511244367034942E-2</v>
      </c>
      <c r="H931" s="41">
        <v>1.5437792230844004E-2</v>
      </c>
      <c r="I931" s="40">
        <f t="shared" si="170"/>
        <v>0</v>
      </c>
      <c r="J931" s="40">
        <f t="shared" si="171"/>
        <v>281.97858599267266</v>
      </c>
      <c r="K931" s="36">
        <v>0.31729984964377955</v>
      </c>
      <c r="L931" s="42">
        <f t="shared" si="177"/>
        <v>0</v>
      </c>
      <c r="M931" s="42">
        <f t="shared" si="177"/>
        <v>20000</v>
      </c>
      <c r="N931" s="42">
        <f t="shared" si="172"/>
        <v>6345.9969928755909</v>
      </c>
      <c r="O931" s="36">
        <v>3.192086972739193</v>
      </c>
      <c r="P931" s="42">
        <f t="shared" si="173"/>
        <v>6852.8321358194135</v>
      </c>
      <c r="Q931" s="42"/>
      <c r="R931">
        <v>0.61342204046754356</v>
      </c>
      <c r="S931">
        <v>0.59508041627246921</v>
      </c>
    </row>
    <row r="932" spans="1:19" x14ac:dyDescent="0.25">
      <c r="A932" s="40">
        <f t="shared" si="174"/>
        <v>0</v>
      </c>
      <c r="B932" s="40">
        <f t="shared" si="175"/>
        <v>50</v>
      </c>
      <c r="C932" s="41">
        <f t="shared" si="168"/>
        <v>1.0313000000000001</v>
      </c>
      <c r="D932" s="41">
        <f t="shared" si="169"/>
        <v>0.88000000000000012</v>
      </c>
      <c r="E932" s="39">
        <f>IF(_xlfn.NORM.INV(R932,C932,'Regressão Grupo 2'!$B$7)&lt;=0,0,IF(_xlfn.NORM.INV(R932,C932,'Regressão Grupo 2'!$B$7)&gt;100%,100%,_xlfn.NORM.INV(R932,C932,'Regressão Grupo 2'!$B$7)))</f>
        <v>1</v>
      </c>
      <c r="F932" s="39">
        <f>IF(_xlfn.NORM.INV(S932,D932,'Regressão Grupo 2'!$B$7)&lt;=0,0,IF(_xlfn.NORM.INV(S932,D932,'Regressão Grupo 2'!$B$7)&gt;100%,100%,_xlfn.NORM.INV(S932,D932,'Regressão Grupo 2'!$B$7)))</f>
        <v>1</v>
      </c>
      <c r="G932" s="41">
        <v>1.5765860201363786E-2</v>
      </c>
      <c r="H932" s="41">
        <v>1.9230080032836716E-2</v>
      </c>
      <c r="I932" s="40">
        <f t="shared" si="170"/>
        <v>0</v>
      </c>
      <c r="J932" s="40">
        <f t="shared" si="171"/>
        <v>384.60160065673432</v>
      </c>
      <c r="K932" s="36">
        <v>0.41968914820362213</v>
      </c>
      <c r="L932" s="42">
        <f t="shared" si="177"/>
        <v>0</v>
      </c>
      <c r="M932" s="42">
        <f t="shared" si="177"/>
        <v>20000</v>
      </c>
      <c r="N932" s="42">
        <f t="shared" si="172"/>
        <v>8393.7829640724431</v>
      </c>
      <c r="O932" s="36">
        <v>5.7260409803778343</v>
      </c>
      <c r="P932" s="42">
        <f t="shared" si="173"/>
        <v>8634.0525422849005</v>
      </c>
      <c r="Q932" s="42"/>
      <c r="R932">
        <v>0.81560716574602499</v>
      </c>
      <c r="S932">
        <v>0.8307748649555956</v>
      </c>
    </row>
    <row r="933" spans="1:19" x14ac:dyDescent="0.25">
      <c r="A933" s="40">
        <f t="shared" si="174"/>
        <v>0</v>
      </c>
      <c r="B933" s="40">
        <f t="shared" si="175"/>
        <v>50</v>
      </c>
      <c r="C933" s="41">
        <f t="shared" si="168"/>
        <v>1.0313000000000001</v>
      </c>
      <c r="D933" s="41">
        <f t="shared" si="169"/>
        <v>0.88000000000000012</v>
      </c>
      <c r="E933" s="39">
        <f>IF(_xlfn.NORM.INV(R933,C933,'Regressão Grupo 2'!$B$7)&lt;=0,0,IF(_xlfn.NORM.INV(R933,C933,'Regressão Grupo 2'!$B$7)&gt;100%,100%,_xlfn.NORM.INV(R933,C933,'Regressão Grupo 2'!$B$7)))</f>
        <v>1</v>
      </c>
      <c r="F933" s="39">
        <f>IF(_xlfn.NORM.INV(S933,D933,'Regressão Grupo 2'!$B$7)&lt;=0,0,IF(_xlfn.NORM.INV(S933,D933,'Regressão Grupo 2'!$B$7)&gt;100%,100%,_xlfn.NORM.INV(S933,D933,'Regressão Grupo 2'!$B$7)))</f>
        <v>0.96622346207777088</v>
      </c>
      <c r="G933" s="41">
        <v>5.3406965667233009E-3</v>
      </c>
      <c r="H933" s="41">
        <v>1.6020761550061248E-2</v>
      </c>
      <c r="I933" s="40">
        <f t="shared" si="170"/>
        <v>0</v>
      </c>
      <c r="J933" s="40">
        <f t="shared" si="171"/>
        <v>309.59271380045226</v>
      </c>
      <c r="K933" s="36">
        <v>0.23199995222957787</v>
      </c>
      <c r="L933" s="42">
        <f t="shared" si="177"/>
        <v>0</v>
      </c>
      <c r="M933" s="42">
        <f t="shared" si="177"/>
        <v>20000</v>
      </c>
      <c r="N933" s="42">
        <f t="shared" si="172"/>
        <v>4639.9990445915573</v>
      </c>
      <c r="O933" s="36">
        <v>6.8977825578713059</v>
      </c>
      <c r="P933" s="42">
        <f t="shared" si="173"/>
        <v>8704.133424134252</v>
      </c>
      <c r="Q933" s="42"/>
      <c r="R933">
        <v>0.73494674520096437</v>
      </c>
      <c r="S933">
        <v>0.73354289376506854</v>
      </c>
    </row>
    <row r="934" spans="1:19" x14ac:dyDescent="0.25">
      <c r="A934" s="40">
        <f t="shared" si="174"/>
        <v>0</v>
      </c>
      <c r="B934" s="40">
        <f t="shared" si="175"/>
        <v>50</v>
      </c>
      <c r="C934" s="41">
        <f t="shared" si="168"/>
        <v>1.0313000000000001</v>
      </c>
      <c r="D934" s="41">
        <f t="shared" si="169"/>
        <v>0.88000000000000012</v>
      </c>
      <c r="E934" s="39">
        <f>IF(_xlfn.NORM.INV(R934,C934,'Regressão Grupo 2'!$B$7)&lt;=0,0,IF(_xlfn.NORM.INV(R934,C934,'Regressão Grupo 2'!$B$7)&gt;100%,100%,_xlfn.NORM.INV(R934,C934,'Regressão Grupo 2'!$B$7)))</f>
        <v>1</v>
      </c>
      <c r="F934" s="39">
        <f>IF(_xlfn.NORM.INV(S934,D934,'Regressão Grupo 2'!$B$7)&lt;=0,0,IF(_xlfn.NORM.INV(S934,D934,'Regressão Grupo 2'!$B$7)&gt;100%,100%,_xlfn.NORM.INV(S934,D934,'Regressão Grupo 2'!$B$7)))</f>
        <v>0.82037913735965928</v>
      </c>
      <c r="G934" s="41">
        <v>1.4733388922372151E-2</v>
      </c>
      <c r="H934" s="41">
        <v>1.9222214549338121E-2</v>
      </c>
      <c r="I934" s="40">
        <f t="shared" si="170"/>
        <v>0</v>
      </c>
      <c r="J934" s="40">
        <f t="shared" si="171"/>
        <v>315.390075802566</v>
      </c>
      <c r="K934" s="36">
        <v>0.29842693871455406</v>
      </c>
      <c r="L934" s="42">
        <f t="shared" si="177"/>
        <v>0</v>
      </c>
      <c r="M934" s="42">
        <f t="shared" si="177"/>
        <v>20000</v>
      </c>
      <c r="N934" s="42">
        <f t="shared" si="172"/>
        <v>5968.5387742910807</v>
      </c>
      <c r="O934" s="36">
        <v>4.6420103761576064</v>
      </c>
      <c r="P934" s="42">
        <f t="shared" si="173"/>
        <v>8336.9210114245743</v>
      </c>
      <c r="Q934" s="42"/>
      <c r="R934">
        <v>0.42420728171636096</v>
      </c>
      <c r="S934">
        <v>0.33317056794946137</v>
      </c>
    </row>
    <row r="935" spans="1:19" x14ac:dyDescent="0.25">
      <c r="A935" s="40">
        <f t="shared" si="174"/>
        <v>0</v>
      </c>
      <c r="B935" s="40">
        <f t="shared" si="175"/>
        <v>50</v>
      </c>
      <c r="C935" s="41">
        <f t="shared" si="168"/>
        <v>1.0313000000000001</v>
      </c>
      <c r="D935" s="41">
        <f t="shared" si="169"/>
        <v>0.88000000000000012</v>
      </c>
      <c r="E935" s="39">
        <f>IF(_xlfn.NORM.INV(R935,C935,'Regressão Grupo 2'!$B$7)&lt;=0,0,IF(_xlfn.NORM.INV(R935,C935,'Regressão Grupo 2'!$B$7)&gt;100%,100%,_xlfn.NORM.INV(R935,C935,'Regressão Grupo 2'!$B$7)))</f>
        <v>0.79188709127492729</v>
      </c>
      <c r="F935" s="39">
        <f>IF(_xlfn.NORM.INV(S935,D935,'Regressão Grupo 2'!$B$7)&lt;=0,0,IF(_xlfn.NORM.INV(S935,D935,'Regressão Grupo 2'!$B$7)&gt;100%,100%,_xlfn.NORM.INV(S935,D935,'Regressão Grupo 2'!$B$7)))</f>
        <v>1</v>
      </c>
      <c r="G935" s="41">
        <v>1.8352995717875967E-2</v>
      </c>
      <c r="H935" s="41">
        <v>2.4132816177552176E-2</v>
      </c>
      <c r="I935" s="40">
        <f t="shared" si="170"/>
        <v>0</v>
      </c>
      <c r="J935" s="40">
        <f t="shared" si="171"/>
        <v>482.6563235510435</v>
      </c>
      <c r="K935" s="36">
        <v>0.25222747277782276</v>
      </c>
      <c r="L935" s="42">
        <f t="shared" ref="L935:M950" si="178">L934</f>
        <v>0</v>
      </c>
      <c r="M935" s="42">
        <f t="shared" si="178"/>
        <v>20000</v>
      </c>
      <c r="N935" s="42">
        <f t="shared" si="172"/>
        <v>5044.5494555564555</v>
      </c>
      <c r="O935" s="36">
        <v>5.6739084986339687</v>
      </c>
      <c r="P935" s="42">
        <f t="shared" si="173"/>
        <v>16349.718905880029</v>
      </c>
      <c r="Q935" s="42"/>
      <c r="R935">
        <v>4.1688283944212166E-2</v>
      </c>
      <c r="S935">
        <v>0.97463911862544639</v>
      </c>
    </row>
    <row r="936" spans="1:19" x14ac:dyDescent="0.25">
      <c r="A936" s="40">
        <f t="shared" si="174"/>
        <v>0</v>
      </c>
      <c r="B936" s="40">
        <f t="shared" si="175"/>
        <v>50</v>
      </c>
      <c r="C936" s="41">
        <f t="shared" si="168"/>
        <v>1.0313000000000001</v>
      </c>
      <c r="D936" s="41">
        <f t="shared" si="169"/>
        <v>0.88000000000000012</v>
      </c>
      <c r="E936" s="39">
        <f>IF(_xlfn.NORM.INV(R936,C936,'Regressão Grupo 2'!$B$7)&lt;=0,0,IF(_xlfn.NORM.INV(R936,C936,'Regressão Grupo 2'!$B$7)&gt;100%,100%,_xlfn.NORM.INV(R936,C936,'Regressão Grupo 2'!$B$7)))</f>
        <v>0.99848346126584475</v>
      </c>
      <c r="F936" s="39">
        <f>IF(_xlfn.NORM.INV(S936,D936,'Regressão Grupo 2'!$B$7)&lt;=0,0,IF(_xlfn.NORM.INV(S936,D936,'Regressão Grupo 2'!$B$7)&gt;100%,100%,_xlfn.NORM.INV(S936,D936,'Regressão Grupo 2'!$B$7)))</f>
        <v>0.95379036775729742</v>
      </c>
      <c r="G936" s="41">
        <v>1.4659331886294787E-2</v>
      </c>
      <c r="H936" s="41">
        <v>1.9470466329929527E-2</v>
      </c>
      <c r="I936" s="40">
        <f t="shared" si="170"/>
        <v>0</v>
      </c>
      <c r="J936" s="40">
        <f t="shared" si="171"/>
        <v>371.41486482459123</v>
      </c>
      <c r="K936" s="36">
        <v>0.30363623982330656</v>
      </c>
      <c r="L936" s="42">
        <f t="shared" si="178"/>
        <v>0</v>
      </c>
      <c r="M936" s="42">
        <f t="shared" si="178"/>
        <v>20000</v>
      </c>
      <c r="N936" s="42">
        <f t="shared" si="172"/>
        <v>6072.724796466131</v>
      </c>
      <c r="O936" s="36">
        <v>3.0364543333247971</v>
      </c>
      <c r="P936" s="42">
        <f t="shared" si="173"/>
        <v>11370.234169005556</v>
      </c>
      <c r="Q936" s="42"/>
      <c r="R936">
        <v>0.40620136112552263</v>
      </c>
      <c r="S936">
        <v>0.7032074953459273</v>
      </c>
    </row>
    <row r="937" spans="1:19" x14ac:dyDescent="0.25">
      <c r="A937" s="40">
        <f t="shared" si="174"/>
        <v>0</v>
      </c>
      <c r="B937" s="40">
        <f t="shared" si="175"/>
        <v>50</v>
      </c>
      <c r="C937" s="41">
        <f t="shared" si="168"/>
        <v>1.0313000000000001</v>
      </c>
      <c r="D937" s="41">
        <f t="shared" si="169"/>
        <v>0.88000000000000012</v>
      </c>
      <c r="E937" s="39">
        <f>IF(_xlfn.NORM.INV(R937,C937,'Regressão Grupo 2'!$B$7)&lt;=0,0,IF(_xlfn.NORM.INV(R937,C937,'Regressão Grupo 2'!$B$7)&gt;100%,100%,_xlfn.NORM.INV(R937,C937,'Regressão Grupo 2'!$B$7)))</f>
        <v>1</v>
      </c>
      <c r="F937" s="39">
        <f>IF(_xlfn.NORM.INV(S937,D937,'Regressão Grupo 2'!$B$7)&lt;=0,0,IF(_xlfn.NORM.INV(S937,D937,'Regressão Grupo 2'!$B$7)&gt;100%,100%,_xlfn.NORM.INV(S937,D937,'Regressão Grupo 2'!$B$7)))</f>
        <v>0.93189813577881975</v>
      </c>
      <c r="G937" s="41">
        <v>1.6541784394979921E-2</v>
      </c>
      <c r="H937" s="41">
        <v>2.5633399716243632E-2</v>
      </c>
      <c r="I937" s="40">
        <f t="shared" si="170"/>
        <v>0</v>
      </c>
      <c r="J937" s="40">
        <f t="shared" si="171"/>
        <v>477.7543481848154</v>
      </c>
      <c r="K937" s="36">
        <v>0.29222369589758274</v>
      </c>
      <c r="L937" s="42">
        <f t="shared" si="178"/>
        <v>0</v>
      </c>
      <c r="M937" s="42">
        <f t="shared" si="178"/>
        <v>20000</v>
      </c>
      <c r="N937" s="42">
        <f t="shared" si="172"/>
        <v>5844.4739179516546</v>
      </c>
      <c r="O937" s="36">
        <v>4.9778551313647519</v>
      </c>
      <c r="P937" s="42">
        <f t="shared" si="173"/>
        <v>15665.051557645507</v>
      </c>
      <c r="Q937" s="42"/>
      <c r="R937">
        <v>0.68889431440168458</v>
      </c>
      <c r="S937">
        <v>0.64629047517319249</v>
      </c>
    </row>
    <row r="938" spans="1:19" x14ac:dyDescent="0.25">
      <c r="A938" s="40">
        <f t="shared" si="174"/>
        <v>0</v>
      </c>
      <c r="B938" s="40">
        <f t="shared" si="175"/>
        <v>50</v>
      </c>
      <c r="C938" s="41">
        <f t="shared" si="168"/>
        <v>1.0313000000000001</v>
      </c>
      <c r="D938" s="41">
        <f t="shared" si="169"/>
        <v>0.88000000000000012</v>
      </c>
      <c r="E938" s="39">
        <f>IF(_xlfn.NORM.INV(R938,C938,'Regressão Grupo 2'!$B$7)&lt;=0,0,IF(_xlfn.NORM.INV(R938,C938,'Regressão Grupo 2'!$B$7)&gt;100%,100%,_xlfn.NORM.INV(R938,C938,'Regressão Grupo 2'!$B$7)))</f>
        <v>1</v>
      </c>
      <c r="F938" s="39">
        <f>IF(_xlfn.NORM.INV(S938,D938,'Regressão Grupo 2'!$B$7)&lt;=0,0,IF(_xlfn.NORM.INV(S938,D938,'Regressão Grupo 2'!$B$7)&gt;100%,100%,_xlfn.NORM.INV(S938,D938,'Regressão Grupo 2'!$B$7)))</f>
        <v>0.94271216615027886</v>
      </c>
      <c r="G938" s="41">
        <v>1.374356552770447E-2</v>
      </c>
      <c r="H938" s="41">
        <v>3.4146206397360993E-3</v>
      </c>
      <c r="I938" s="40">
        <f t="shared" si="170"/>
        <v>0</v>
      </c>
      <c r="J938" s="40">
        <f t="shared" si="171"/>
        <v>64.380088397341382</v>
      </c>
      <c r="K938" s="36">
        <v>0.45349552364770912</v>
      </c>
      <c r="L938" s="42">
        <f t="shared" si="178"/>
        <v>0</v>
      </c>
      <c r="M938" s="42">
        <f t="shared" si="178"/>
        <v>20000</v>
      </c>
      <c r="N938" s="42">
        <f t="shared" si="172"/>
        <v>9069.9104729541832</v>
      </c>
      <c r="O938" s="36">
        <v>4.8788129462724221</v>
      </c>
      <c r="P938" s="42">
        <f t="shared" si="173"/>
        <v>-6165.0044618422262</v>
      </c>
      <c r="Q938" s="42"/>
      <c r="R938">
        <v>0.89724417859431749</v>
      </c>
      <c r="S938">
        <v>0.67491683706167793</v>
      </c>
    </row>
    <row r="939" spans="1:19" x14ac:dyDescent="0.25">
      <c r="A939" s="40">
        <f t="shared" si="174"/>
        <v>0</v>
      </c>
      <c r="B939" s="40">
        <f t="shared" si="175"/>
        <v>50</v>
      </c>
      <c r="C939" s="41">
        <f t="shared" si="168"/>
        <v>1.0313000000000001</v>
      </c>
      <c r="D939" s="41">
        <f t="shared" si="169"/>
        <v>0.88000000000000012</v>
      </c>
      <c r="E939" s="39">
        <f>IF(_xlfn.NORM.INV(R939,C939,'Regressão Grupo 2'!$B$7)&lt;=0,0,IF(_xlfn.NORM.INV(R939,C939,'Regressão Grupo 2'!$B$7)&gt;100%,100%,_xlfn.NORM.INV(R939,C939,'Regressão Grupo 2'!$B$7)))</f>
        <v>1</v>
      </c>
      <c r="F939" s="39">
        <f>IF(_xlfn.NORM.INV(S939,D939,'Regressão Grupo 2'!$B$7)&lt;=0,0,IF(_xlfn.NORM.INV(S939,D939,'Regressão Grupo 2'!$B$7)&gt;100%,100%,_xlfn.NORM.INV(S939,D939,'Regressão Grupo 2'!$B$7)))</f>
        <v>0.84347202410357869</v>
      </c>
      <c r="G939" s="41">
        <v>2.6105528469409649E-2</v>
      </c>
      <c r="H939" s="41">
        <v>1.4276547598917139E-2</v>
      </c>
      <c r="I939" s="40">
        <f t="shared" si="170"/>
        <v>0</v>
      </c>
      <c r="J939" s="40">
        <f t="shared" si="171"/>
        <v>240.8373700093945</v>
      </c>
      <c r="K939" s="36">
        <v>0.18034492520897594</v>
      </c>
      <c r="L939" s="42">
        <f t="shared" si="178"/>
        <v>0</v>
      </c>
      <c r="M939" s="42">
        <f t="shared" si="178"/>
        <v>20000</v>
      </c>
      <c r="N939" s="42">
        <f t="shared" si="172"/>
        <v>3606.8985041795186</v>
      </c>
      <c r="O939" s="36">
        <v>6.3808528972775997</v>
      </c>
      <c r="P939" s="42">
        <f t="shared" si="173"/>
        <v>6898.2221660930445</v>
      </c>
      <c r="Q939" s="42"/>
      <c r="R939">
        <v>0.55073702200384533</v>
      </c>
      <c r="S939">
        <v>0.3958250679036836</v>
      </c>
    </row>
    <row r="940" spans="1:19" x14ac:dyDescent="0.25">
      <c r="A940" s="40">
        <f t="shared" si="174"/>
        <v>0</v>
      </c>
      <c r="B940" s="40">
        <f t="shared" si="175"/>
        <v>50</v>
      </c>
      <c r="C940" s="41">
        <f t="shared" si="168"/>
        <v>1.0313000000000001</v>
      </c>
      <c r="D940" s="41">
        <f t="shared" si="169"/>
        <v>0.88000000000000012</v>
      </c>
      <c r="E940" s="39">
        <f>IF(_xlfn.NORM.INV(R940,C940,'Regressão Grupo 2'!$B$7)&lt;=0,0,IF(_xlfn.NORM.INV(R940,C940,'Regressão Grupo 2'!$B$7)&gt;100%,100%,_xlfn.NORM.INV(R940,C940,'Regressão Grupo 2'!$B$7)))</f>
        <v>1</v>
      </c>
      <c r="F940" s="39">
        <f>IF(_xlfn.NORM.INV(S940,D940,'Regressão Grupo 2'!$B$7)&lt;=0,0,IF(_xlfn.NORM.INV(S940,D940,'Regressão Grupo 2'!$B$7)&gt;100%,100%,_xlfn.NORM.INV(S940,D940,'Regressão Grupo 2'!$B$7)))</f>
        <v>0.85707364970253341</v>
      </c>
      <c r="G940" s="41">
        <v>1.9368337593230239E-2</v>
      </c>
      <c r="H940" s="41">
        <v>2.1224569083466982E-2</v>
      </c>
      <c r="I940" s="40">
        <f t="shared" si="170"/>
        <v>0</v>
      </c>
      <c r="J940" s="40">
        <f t="shared" si="171"/>
        <v>363.82037775461203</v>
      </c>
      <c r="K940" s="36">
        <v>0.27410400443689376</v>
      </c>
      <c r="L940" s="42">
        <f t="shared" si="178"/>
        <v>0</v>
      </c>
      <c r="M940" s="42">
        <f t="shared" si="178"/>
        <v>20000</v>
      </c>
      <c r="N940" s="42">
        <f t="shared" si="172"/>
        <v>5482.0800887378755</v>
      </c>
      <c r="O940" s="36">
        <v>6.239454781718897</v>
      </c>
      <c r="P940" s="42">
        <f t="shared" si="173"/>
        <v>10438.898003324937</v>
      </c>
      <c r="Q940" s="42"/>
      <c r="R940">
        <v>0.6454054383983886</v>
      </c>
      <c r="S940">
        <v>0.43415631580553604</v>
      </c>
    </row>
    <row r="941" spans="1:19" x14ac:dyDescent="0.25">
      <c r="A941" s="40">
        <f t="shared" si="174"/>
        <v>0</v>
      </c>
      <c r="B941" s="40">
        <f t="shared" si="175"/>
        <v>50</v>
      </c>
      <c r="C941" s="41">
        <f t="shared" si="168"/>
        <v>1.0313000000000001</v>
      </c>
      <c r="D941" s="41">
        <f t="shared" si="169"/>
        <v>0.88000000000000012</v>
      </c>
      <c r="E941" s="39">
        <f>IF(_xlfn.NORM.INV(R941,C941,'Regressão Grupo 2'!$B$7)&lt;=0,0,IF(_xlfn.NORM.INV(R941,C941,'Regressão Grupo 2'!$B$7)&gt;100%,100%,_xlfn.NORM.INV(R941,C941,'Regressão Grupo 2'!$B$7)))</f>
        <v>0.95040935453978526</v>
      </c>
      <c r="F941" s="39">
        <f>IF(_xlfn.NORM.INV(S941,D941,'Regressão Grupo 2'!$B$7)&lt;=0,0,IF(_xlfn.NORM.INV(S941,D941,'Regressão Grupo 2'!$B$7)&gt;100%,100%,_xlfn.NORM.INV(S941,D941,'Regressão Grupo 2'!$B$7)))</f>
        <v>0.72977428242803788</v>
      </c>
      <c r="G941" s="41">
        <v>1.0971337428949053E-2</v>
      </c>
      <c r="H941" s="41">
        <v>2.1183757846045568E-2</v>
      </c>
      <c r="I941" s="40">
        <f t="shared" si="170"/>
        <v>0</v>
      </c>
      <c r="J941" s="40">
        <f t="shared" si="171"/>
        <v>309.18723362454443</v>
      </c>
      <c r="K941" s="36">
        <v>0.3683729773058263</v>
      </c>
      <c r="L941" s="42">
        <f t="shared" si="178"/>
        <v>0</v>
      </c>
      <c r="M941" s="42">
        <f t="shared" si="178"/>
        <v>20000</v>
      </c>
      <c r="N941" s="42">
        <f t="shared" si="172"/>
        <v>7367.4595461165263</v>
      </c>
      <c r="O941" s="36">
        <v>3.5355072202683537</v>
      </c>
      <c r="P941" s="42">
        <f t="shared" si="173"/>
        <v>6998.7684382163206</v>
      </c>
      <c r="Q941" s="42"/>
      <c r="R941">
        <v>0.27927488021485031</v>
      </c>
      <c r="S941">
        <v>0.13864558854945525</v>
      </c>
    </row>
    <row r="942" spans="1:19" x14ac:dyDescent="0.25">
      <c r="A942" s="40">
        <f t="shared" si="174"/>
        <v>0</v>
      </c>
      <c r="B942" s="40">
        <f t="shared" si="175"/>
        <v>50</v>
      </c>
      <c r="C942" s="41">
        <f t="shared" si="168"/>
        <v>1.0313000000000001</v>
      </c>
      <c r="D942" s="41">
        <f t="shared" si="169"/>
        <v>0.88000000000000012</v>
      </c>
      <c r="E942" s="39">
        <f>IF(_xlfn.NORM.INV(R942,C942,'Regressão Grupo 2'!$B$7)&lt;=0,0,IF(_xlfn.NORM.INV(R942,C942,'Regressão Grupo 2'!$B$7)&gt;100%,100%,_xlfn.NORM.INV(R942,C942,'Regressão Grupo 2'!$B$7)))</f>
        <v>1</v>
      </c>
      <c r="F942" s="39">
        <f>IF(_xlfn.NORM.INV(S942,D942,'Regressão Grupo 2'!$B$7)&lt;=0,0,IF(_xlfn.NORM.INV(S942,D942,'Regressão Grupo 2'!$B$7)&gt;100%,100%,_xlfn.NORM.INV(S942,D942,'Regressão Grupo 2'!$B$7)))</f>
        <v>0.84783589783919311</v>
      </c>
      <c r="G942" s="41">
        <v>2.7121088201354778E-2</v>
      </c>
      <c r="H942" s="41">
        <v>2.1492034787374253E-2</v>
      </c>
      <c r="I942" s="40">
        <f t="shared" si="170"/>
        <v>0</v>
      </c>
      <c r="J942" s="40">
        <f t="shared" si="171"/>
        <v>364.43437220689242</v>
      </c>
      <c r="K942" s="36">
        <v>0.27929686170257984</v>
      </c>
      <c r="L942" s="42">
        <f t="shared" si="178"/>
        <v>0</v>
      </c>
      <c r="M942" s="42">
        <f t="shared" si="178"/>
        <v>20000</v>
      </c>
      <c r="N942" s="42">
        <f t="shared" si="172"/>
        <v>5585.9372340515965</v>
      </c>
      <c r="O942" s="36">
        <v>6.6719325375852492</v>
      </c>
      <c r="P942" s="42">
        <f t="shared" si="173"/>
        <v>10204.299830551407</v>
      </c>
      <c r="Q942" s="42"/>
      <c r="R942">
        <v>0.78978850672933132</v>
      </c>
      <c r="S942">
        <v>0.40803247169408247</v>
      </c>
    </row>
    <row r="943" spans="1:19" x14ac:dyDescent="0.25">
      <c r="A943" s="40">
        <f t="shared" si="174"/>
        <v>0</v>
      </c>
      <c r="B943" s="40">
        <f t="shared" si="175"/>
        <v>50</v>
      </c>
      <c r="C943" s="41">
        <f t="shared" si="168"/>
        <v>1.0313000000000001</v>
      </c>
      <c r="D943" s="41">
        <f t="shared" si="169"/>
        <v>0.88000000000000012</v>
      </c>
      <c r="E943" s="39">
        <f>IF(_xlfn.NORM.INV(R943,C943,'Regressão Grupo 2'!$B$7)&lt;=0,0,IF(_xlfn.NORM.INV(R943,C943,'Regressão Grupo 2'!$B$7)&gt;100%,100%,_xlfn.NORM.INV(R943,C943,'Regressão Grupo 2'!$B$7)))</f>
        <v>1</v>
      </c>
      <c r="F943" s="39">
        <f>IF(_xlfn.NORM.INV(S943,D943,'Regressão Grupo 2'!$B$7)&lt;=0,0,IF(_xlfn.NORM.INV(S943,D943,'Regressão Grupo 2'!$B$7)&gt;100%,100%,_xlfn.NORM.INV(S943,D943,'Regressão Grupo 2'!$B$7)))</f>
        <v>0.85042782829136299</v>
      </c>
      <c r="G943" s="41">
        <v>1.5147628298271369E-2</v>
      </c>
      <c r="H943" s="41">
        <v>2.7367695813763039E-3</v>
      </c>
      <c r="I943" s="40">
        <f t="shared" si="170"/>
        <v>0</v>
      </c>
      <c r="J943" s="40">
        <f t="shared" si="171"/>
        <v>46.548500232474254</v>
      </c>
      <c r="K943" s="36">
        <v>0.3689159716094883</v>
      </c>
      <c r="L943" s="42">
        <f t="shared" si="178"/>
        <v>0</v>
      </c>
      <c r="M943" s="42">
        <f t="shared" si="178"/>
        <v>20000</v>
      </c>
      <c r="N943" s="42">
        <f t="shared" si="172"/>
        <v>7378.3194321897663</v>
      </c>
      <c r="O943" s="36">
        <v>7.6343240789583691</v>
      </c>
      <c r="P943" s="42">
        <f t="shared" si="173"/>
        <v>-5406.2607567302312</v>
      </c>
      <c r="Q943" s="42"/>
      <c r="R943">
        <v>0.56041138950773639</v>
      </c>
      <c r="S943">
        <v>0.41532639545884581</v>
      </c>
    </row>
    <row r="944" spans="1:19" x14ac:dyDescent="0.25">
      <c r="A944" s="40">
        <f t="shared" si="174"/>
        <v>0</v>
      </c>
      <c r="B944" s="40">
        <f t="shared" si="175"/>
        <v>50</v>
      </c>
      <c r="C944" s="41">
        <f t="shared" si="168"/>
        <v>1.0313000000000001</v>
      </c>
      <c r="D944" s="41">
        <f t="shared" si="169"/>
        <v>0.88000000000000012</v>
      </c>
      <c r="E944" s="39">
        <f>IF(_xlfn.NORM.INV(R944,C944,'Regressão Grupo 2'!$B$7)&lt;=0,0,IF(_xlfn.NORM.INV(R944,C944,'Regressão Grupo 2'!$B$7)&gt;100%,100%,_xlfn.NORM.INV(R944,C944,'Regressão Grupo 2'!$B$7)))</f>
        <v>1</v>
      </c>
      <c r="F944" s="39">
        <f>IF(_xlfn.NORM.INV(S944,D944,'Regressão Grupo 2'!$B$7)&lt;=0,0,IF(_xlfn.NORM.INV(S944,D944,'Regressão Grupo 2'!$B$7)&gt;100%,100%,_xlfn.NORM.INV(S944,D944,'Regressão Grupo 2'!$B$7)))</f>
        <v>0.96415173450549929</v>
      </c>
      <c r="G944" s="41">
        <v>2.1674401256682005E-2</v>
      </c>
      <c r="H944" s="41">
        <v>2.8146118843258079E-2</v>
      </c>
      <c r="I944" s="40">
        <f t="shared" si="170"/>
        <v>0</v>
      </c>
      <c r="J944" s="40">
        <f t="shared" si="171"/>
        <v>542.7425860465039</v>
      </c>
      <c r="K944" s="36">
        <v>0.30878099530631775</v>
      </c>
      <c r="L944" s="42">
        <f t="shared" si="178"/>
        <v>0</v>
      </c>
      <c r="M944" s="42">
        <f t="shared" si="178"/>
        <v>20000</v>
      </c>
      <c r="N944" s="42">
        <f t="shared" si="172"/>
        <v>6175.6199061263551</v>
      </c>
      <c r="O944" s="36">
        <v>8.3550488623605581</v>
      </c>
      <c r="P944" s="42">
        <f t="shared" si="173"/>
        <v>16426.868570096372</v>
      </c>
      <c r="Q944" s="42"/>
      <c r="R944">
        <v>0.4141056550798059</v>
      </c>
      <c r="S944">
        <v>0.72859889522995702</v>
      </c>
    </row>
    <row r="945" spans="1:19" x14ac:dyDescent="0.25">
      <c r="A945" s="40">
        <f t="shared" si="174"/>
        <v>0</v>
      </c>
      <c r="B945" s="40">
        <f t="shared" si="175"/>
        <v>50</v>
      </c>
      <c r="C945" s="41">
        <f t="shared" si="168"/>
        <v>1.0313000000000001</v>
      </c>
      <c r="D945" s="41">
        <f t="shared" si="169"/>
        <v>0.88000000000000012</v>
      </c>
      <c r="E945" s="39">
        <f>IF(_xlfn.NORM.INV(R945,C945,'Regressão Grupo 2'!$B$7)&lt;=0,0,IF(_xlfn.NORM.INV(R945,C945,'Regressão Grupo 2'!$B$7)&gt;100%,100%,_xlfn.NORM.INV(R945,C945,'Regressão Grupo 2'!$B$7)))</f>
        <v>0.97735314466220802</v>
      </c>
      <c r="F945" s="39">
        <f>IF(_xlfn.NORM.INV(S945,D945,'Regressão Grupo 2'!$B$7)&lt;=0,0,IF(_xlfn.NORM.INV(S945,D945,'Regressão Grupo 2'!$B$7)&gt;100%,100%,_xlfn.NORM.INV(S945,D945,'Regressão Grupo 2'!$B$7)))</f>
        <v>1</v>
      </c>
      <c r="G945" s="41">
        <v>2.1287314072982375E-2</v>
      </c>
      <c r="H945" s="41">
        <v>1.4146090973805179E-2</v>
      </c>
      <c r="I945" s="40">
        <f t="shared" si="170"/>
        <v>0</v>
      </c>
      <c r="J945" s="40">
        <f t="shared" si="171"/>
        <v>282.92181947610356</v>
      </c>
      <c r="K945" s="36">
        <v>0.36078198160177499</v>
      </c>
      <c r="L945" s="42">
        <f t="shared" si="178"/>
        <v>0</v>
      </c>
      <c r="M945" s="42">
        <f t="shared" si="178"/>
        <v>20000</v>
      </c>
      <c r="N945" s="42">
        <f t="shared" si="172"/>
        <v>7215.6396320354997</v>
      </c>
      <c r="O945" s="36">
        <v>8.4519631397257573</v>
      </c>
      <c r="P945" s="42">
        <f t="shared" si="173"/>
        <v>4539.2065521335062</v>
      </c>
      <c r="Q945" s="42"/>
      <c r="R945">
        <v>0.34821619312112795</v>
      </c>
      <c r="S945">
        <v>0.81319620349742117</v>
      </c>
    </row>
    <row r="946" spans="1:19" x14ac:dyDescent="0.25">
      <c r="A946" s="40">
        <f t="shared" si="174"/>
        <v>0</v>
      </c>
      <c r="B946" s="40">
        <f t="shared" si="175"/>
        <v>50</v>
      </c>
      <c r="C946" s="41">
        <f t="shared" si="168"/>
        <v>1.0313000000000001</v>
      </c>
      <c r="D946" s="41">
        <f t="shared" si="169"/>
        <v>0.88000000000000012</v>
      </c>
      <c r="E946" s="39">
        <f>IF(_xlfn.NORM.INV(R946,C946,'Regressão Grupo 2'!$B$7)&lt;=0,0,IF(_xlfn.NORM.INV(R946,C946,'Regressão Grupo 2'!$B$7)&gt;100%,100%,_xlfn.NORM.INV(R946,C946,'Regressão Grupo 2'!$B$7)))</f>
        <v>1</v>
      </c>
      <c r="F946" s="39">
        <f>IF(_xlfn.NORM.INV(S946,D946,'Regressão Grupo 2'!$B$7)&lt;=0,0,IF(_xlfn.NORM.INV(S946,D946,'Regressão Grupo 2'!$B$7)&gt;100%,100%,_xlfn.NORM.INV(S946,D946,'Regressão Grupo 2'!$B$7)))</f>
        <v>0.797850799920234</v>
      </c>
      <c r="G946" s="41">
        <v>2.3184403519513008E-2</v>
      </c>
      <c r="H946" s="41">
        <v>2.6192169265884649E-2</v>
      </c>
      <c r="I946" s="40">
        <f t="shared" si="170"/>
        <v>0</v>
      </c>
      <c r="J946" s="40">
        <f t="shared" si="171"/>
        <v>417.9488640086447</v>
      </c>
      <c r="K946" s="36">
        <v>0.31695386377956647</v>
      </c>
      <c r="L946" s="42">
        <f t="shared" si="178"/>
        <v>0</v>
      </c>
      <c r="M946" s="42">
        <f t="shared" si="178"/>
        <v>20000</v>
      </c>
      <c r="N946" s="42">
        <f t="shared" si="172"/>
        <v>6339.0772755913295</v>
      </c>
      <c r="O946" s="36">
        <v>4.6254795862514682</v>
      </c>
      <c r="P946" s="42">
        <f t="shared" si="173"/>
        <v>12625.151986271931</v>
      </c>
      <c r="Q946" s="42"/>
      <c r="R946">
        <v>0.90737632374034849</v>
      </c>
      <c r="S946">
        <v>0.27622302926725056</v>
      </c>
    </row>
    <row r="947" spans="1:19" x14ac:dyDescent="0.25">
      <c r="A947" s="40">
        <f t="shared" si="174"/>
        <v>0</v>
      </c>
      <c r="B947" s="40">
        <f t="shared" si="175"/>
        <v>50</v>
      </c>
      <c r="C947" s="41">
        <f t="shared" si="168"/>
        <v>1.0313000000000001</v>
      </c>
      <c r="D947" s="41">
        <f t="shared" si="169"/>
        <v>0.88000000000000012</v>
      </c>
      <c r="E947" s="39">
        <f>IF(_xlfn.NORM.INV(R947,C947,'Regressão Grupo 2'!$B$7)&lt;=0,0,IF(_xlfn.NORM.INV(R947,C947,'Regressão Grupo 2'!$B$7)&gt;100%,100%,_xlfn.NORM.INV(R947,C947,'Regressão Grupo 2'!$B$7)))</f>
        <v>0.98151826412232923</v>
      </c>
      <c r="F947" s="39">
        <f>IF(_xlfn.NORM.INV(S947,D947,'Regressão Grupo 2'!$B$7)&lt;=0,0,IF(_xlfn.NORM.INV(S947,D947,'Regressão Grupo 2'!$B$7)&gt;100%,100%,_xlfn.NORM.INV(S947,D947,'Regressão Grupo 2'!$B$7)))</f>
        <v>0.91805275717895218</v>
      </c>
      <c r="G947" s="41">
        <v>8.7888020794751939E-3</v>
      </c>
      <c r="H947" s="41">
        <v>2.2620723299487513E-2</v>
      </c>
      <c r="I947" s="40">
        <f t="shared" si="170"/>
        <v>0</v>
      </c>
      <c r="J947" s="40">
        <f t="shared" si="171"/>
        <v>415.34034788953352</v>
      </c>
      <c r="K947" s="36">
        <v>0.16341155024109955</v>
      </c>
      <c r="L947" s="42">
        <f t="shared" si="178"/>
        <v>0</v>
      </c>
      <c r="M947" s="42">
        <f t="shared" si="178"/>
        <v>20000</v>
      </c>
      <c r="N947" s="42">
        <f t="shared" si="172"/>
        <v>3268.2310048219911</v>
      </c>
      <c r="O947" s="36">
        <v>6.5278553018385077</v>
      </c>
      <c r="P947" s="42">
        <f t="shared" si="173"/>
        <v>14787.504697616543</v>
      </c>
      <c r="Q947" s="42"/>
      <c r="R947">
        <v>0.35941648609881893</v>
      </c>
      <c r="S947">
        <v>0.60841700491348005</v>
      </c>
    </row>
    <row r="948" spans="1:19" x14ac:dyDescent="0.25">
      <c r="A948" s="40">
        <f t="shared" si="174"/>
        <v>0</v>
      </c>
      <c r="B948" s="40">
        <f t="shared" si="175"/>
        <v>50</v>
      </c>
      <c r="C948" s="41">
        <f t="shared" si="168"/>
        <v>1.0313000000000001</v>
      </c>
      <c r="D948" s="41">
        <f t="shared" si="169"/>
        <v>0.88000000000000012</v>
      </c>
      <c r="E948" s="39">
        <f>IF(_xlfn.NORM.INV(R948,C948,'Regressão Grupo 2'!$B$7)&lt;=0,0,IF(_xlfn.NORM.INV(R948,C948,'Regressão Grupo 2'!$B$7)&gt;100%,100%,_xlfn.NORM.INV(R948,C948,'Regressão Grupo 2'!$B$7)))</f>
        <v>1</v>
      </c>
      <c r="F948" s="39">
        <f>IF(_xlfn.NORM.INV(S948,D948,'Regressão Grupo 2'!$B$7)&lt;=0,0,IF(_xlfn.NORM.INV(S948,D948,'Regressão Grupo 2'!$B$7)&gt;100%,100%,_xlfn.NORM.INV(S948,D948,'Regressão Grupo 2'!$B$7)))</f>
        <v>0.95637685713550658</v>
      </c>
      <c r="G948" s="41">
        <v>1.2688812469848746E-2</v>
      </c>
      <c r="H948" s="41">
        <v>7.6111238259845846E-3</v>
      </c>
      <c r="I948" s="40">
        <f t="shared" si="170"/>
        <v>0</v>
      </c>
      <c r="J948" s="40">
        <f t="shared" si="171"/>
        <v>145.58205367928619</v>
      </c>
      <c r="K948" s="36">
        <v>0.24460104417014994</v>
      </c>
      <c r="L948" s="42">
        <f t="shared" si="178"/>
        <v>0</v>
      </c>
      <c r="M948" s="42">
        <f t="shared" si="178"/>
        <v>20000</v>
      </c>
      <c r="N948" s="42">
        <f t="shared" si="172"/>
        <v>4892.0208834029991</v>
      </c>
      <c r="O948" s="36">
        <v>4.4351625238655341</v>
      </c>
      <c r="P948" s="42">
        <f t="shared" si="173"/>
        <v>1741.4017319355598</v>
      </c>
      <c r="Q948" s="42"/>
      <c r="R948">
        <v>0.66216010010071114</v>
      </c>
      <c r="S948">
        <v>0.70964690084536275</v>
      </c>
    </row>
    <row r="949" spans="1:19" x14ac:dyDescent="0.25">
      <c r="A949" s="40">
        <f t="shared" si="174"/>
        <v>0</v>
      </c>
      <c r="B949" s="40">
        <f t="shared" si="175"/>
        <v>50</v>
      </c>
      <c r="C949" s="41">
        <f t="shared" si="168"/>
        <v>1.0313000000000001</v>
      </c>
      <c r="D949" s="41">
        <f t="shared" si="169"/>
        <v>0.88000000000000012</v>
      </c>
      <c r="E949" s="39">
        <f>IF(_xlfn.NORM.INV(R949,C949,'Regressão Grupo 2'!$B$7)&lt;=0,0,IF(_xlfn.NORM.INV(R949,C949,'Regressão Grupo 2'!$B$7)&gt;100%,100%,_xlfn.NORM.INV(R949,C949,'Regressão Grupo 2'!$B$7)))</f>
        <v>1</v>
      </c>
      <c r="F949" s="39">
        <f>IF(_xlfn.NORM.INV(S949,D949,'Regressão Grupo 2'!$B$7)&lt;=0,0,IF(_xlfn.NORM.INV(S949,D949,'Regressão Grupo 2'!$B$7)&gt;100%,100%,_xlfn.NORM.INV(S949,D949,'Regressão Grupo 2'!$B$7)))</f>
        <v>0.8015693690044905</v>
      </c>
      <c r="G949" s="41">
        <v>1.7360990049152019E-2</v>
      </c>
      <c r="H949" s="41">
        <v>7.9500315107764747E-3</v>
      </c>
      <c r="I949" s="40">
        <f t="shared" si="170"/>
        <v>0</v>
      </c>
      <c r="J949" s="40">
        <f t="shared" si="171"/>
        <v>127.45003483317829</v>
      </c>
      <c r="K949" s="36">
        <v>0.29887216376314818</v>
      </c>
      <c r="L949" s="42">
        <f t="shared" si="178"/>
        <v>0</v>
      </c>
      <c r="M949" s="42">
        <f t="shared" si="178"/>
        <v>20000</v>
      </c>
      <c r="N949" s="42">
        <f t="shared" si="172"/>
        <v>5977.4432752629637</v>
      </c>
      <c r="O949" s="36">
        <v>8.7792437315684388</v>
      </c>
      <c r="P949" s="42">
        <f t="shared" si="173"/>
        <v>-723.85645300140914</v>
      </c>
      <c r="Q949" s="42"/>
      <c r="R949">
        <v>0.60850856044190804</v>
      </c>
      <c r="S949">
        <v>0.28528702658162175</v>
      </c>
    </row>
    <row r="950" spans="1:19" x14ac:dyDescent="0.25">
      <c r="A950" s="40">
        <f t="shared" si="174"/>
        <v>0</v>
      </c>
      <c r="B950" s="40">
        <f t="shared" si="175"/>
        <v>50</v>
      </c>
      <c r="C950" s="41">
        <f t="shared" si="168"/>
        <v>1.0313000000000001</v>
      </c>
      <c r="D950" s="41">
        <f t="shared" si="169"/>
        <v>0.88000000000000012</v>
      </c>
      <c r="E950" s="39">
        <f>IF(_xlfn.NORM.INV(R950,C950,'Regressão Grupo 2'!$B$7)&lt;=0,0,IF(_xlfn.NORM.INV(R950,C950,'Regressão Grupo 2'!$B$7)&gt;100%,100%,_xlfn.NORM.INV(R950,C950,'Regressão Grupo 2'!$B$7)))</f>
        <v>0.88319417636220243</v>
      </c>
      <c r="F950" s="39">
        <f>IF(_xlfn.NORM.INV(S950,D950,'Regressão Grupo 2'!$B$7)&lt;=0,0,IF(_xlfn.NORM.INV(S950,D950,'Regressão Grupo 2'!$B$7)&gt;100%,100%,_xlfn.NORM.INV(S950,D950,'Regressão Grupo 2'!$B$7)))</f>
        <v>0.84080337562154939</v>
      </c>
      <c r="G950" s="41">
        <v>2.7358350942673615E-3</v>
      </c>
      <c r="H950" s="41">
        <v>2.3166333821114559E-2</v>
      </c>
      <c r="I950" s="40">
        <f t="shared" si="170"/>
        <v>0</v>
      </c>
      <c r="J950" s="40">
        <f t="shared" si="171"/>
        <v>389.56663355137573</v>
      </c>
      <c r="K950" s="36">
        <v>0.18468359568699833</v>
      </c>
      <c r="L950" s="42">
        <f t="shared" si="178"/>
        <v>0</v>
      </c>
      <c r="M950" s="42">
        <f t="shared" si="178"/>
        <v>20000</v>
      </c>
      <c r="N950" s="42">
        <f t="shared" si="172"/>
        <v>3693.6719137399664</v>
      </c>
      <c r="O950" s="36">
        <v>4.6140923716678994</v>
      </c>
      <c r="P950" s="42">
        <f t="shared" si="173"/>
        <v>13987.163331703072</v>
      </c>
      <c r="Q950" s="42"/>
      <c r="R950">
        <v>0.14206366161076692</v>
      </c>
      <c r="S950">
        <v>0.38840907010101627</v>
      </c>
    </row>
    <row r="951" spans="1:19" x14ac:dyDescent="0.25">
      <c r="A951" s="40">
        <f t="shared" si="174"/>
        <v>0</v>
      </c>
      <c r="B951" s="40">
        <f t="shared" si="175"/>
        <v>50</v>
      </c>
      <c r="C951" s="41">
        <f t="shared" si="168"/>
        <v>1.0313000000000001</v>
      </c>
      <c r="D951" s="41">
        <f t="shared" si="169"/>
        <v>0.88000000000000012</v>
      </c>
      <c r="E951" s="39">
        <f>IF(_xlfn.NORM.INV(R951,C951,'Regressão Grupo 2'!$B$7)&lt;=0,0,IF(_xlfn.NORM.INV(R951,C951,'Regressão Grupo 2'!$B$7)&gt;100%,100%,_xlfn.NORM.INV(R951,C951,'Regressão Grupo 2'!$B$7)))</f>
        <v>0.94462640458791847</v>
      </c>
      <c r="F951" s="39">
        <f>IF(_xlfn.NORM.INV(S951,D951,'Regressão Grupo 2'!$B$7)&lt;=0,0,IF(_xlfn.NORM.INV(S951,D951,'Regressão Grupo 2'!$B$7)&gt;100%,100%,_xlfn.NORM.INV(S951,D951,'Regressão Grupo 2'!$B$7)))</f>
        <v>0.69340349803384327</v>
      </c>
      <c r="G951" s="41">
        <v>8.0170904236564512E-3</v>
      </c>
      <c r="H951" s="41">
        <v>1.0968052833767941E-2</v>
      </c>
      <c r="I951" s="40">
        <f t="shared" si="170"/>
        <v>0</v>
      </c>
      <c r="J951" s="40">
        <f t="shared" si="171"/>
        <v>152.10572403109396</v>
      </c>
      <c r="K951" s="36">
        <v>0.41315753585488035</v>
      </c>
      <c r="L951" s="42">
        <f t="shared" ref="L951:M966" si="179">L950</f>
        <v>0</v>
      </c>
      <c r="M951" s="42">
        <f t="shared" si="179"/>
        <v>20000</v>
      </c>
      <c r="N951" s="42">
        <f t="shared" si="172"/>
        <v>8263.1507170976074</v>
      </c>
      <c r="O951" s="36">
        <v>3.2463771772777856</v>
      </c>
      <c r="P951" s="42">
        <f t="shared" si="173"/>
        <v>-1151.6570665707659</v>
      </c>
      <c r="Q951" s="42"/>
      <c r="R951">
        <v>0.26538895840327159</v>
      </c>
      <c r="S951">
        <v>8.8595233008819843E-2</v>
      </c>
    </row>
    <row r="952" spans="1:19" x14ac:dyDescent="0.25">
      <c r="A952" s="40">
        <f t="shared" si="174"/>
        <v>0</v>
      </c>
      <c r="B952" s="40">
        <f t="shared" si="175"/>
        <v>50</v>
      </c>
      <c r="C952" s="41">
        <f t="shared" si="168"/>
        <v>1.0313000000000001</v>
      </c>
      <c r="D952" s="41">
        <f t="shared" si="169"/>
        <v>0.88000000000000012</v>
      </c>
      <c r="E952" s="39">
        <f>IF(_xlfn.NORM.INV(R952,C952,'Regressão Grupo 2'!$B$7)&lt;=0,0,IF(_xlfn.NORM.INV(R952,C952,'Regressão Grupo 2'!$B$7)&gt;100%,100%,_xlfn.NORM.INV(R952,C952,'Regressão Grupo 2'!$B$7)))</f>
        <v>1</v>
      </c>
      <c r="F952" s="39">
        <f>IF(_xlfn.NORM.INV(S952,D952,'Regressão Grupo 2'!$B$7)&lt;=0,0,IF(_xlfn.NORM.INV(S952,D952,'Regressão Grupo 2'!$B$7)&gt;100%,100%,_xlfn.NORM.INV(S952,D952,'Regressão Grupo 2'!$B$7)))</f>
        <v>0.91295799584005399</v>
      </c>
      <c r="G952" s="41">
        <v>1.0914208271251878E-2</v>
      </c>
      <c r="H952" s="41">
        <v>2.7291504302367861E-2</v>
      </c>
      <c r="I952" s="40">
        <f t="shared" si="170"/>
        <v>0</v>
      </c>
      <c r="J952" s="40">
        <f t="shared" si="171"/>
        <v>498.31994142699949</v>
      </c>
      <c r="K952" s="36">
        <v>0.23366320851165945</v>
      </c>
      <c r="L952" s="42">
        <f t="shared" si="179"/>
        <v>0</v>
      </c>
      <c r="M952" s="42">
        <f t="shared" si="179"/>
        <v>20000</v>
      </c>
      <c r="N952" s="42">
        <f t="shared" si="172"/>
        <v>4673.2641702331894</v>
      </c>
      <c r="O952" s="36">
        <v>7.4679471650052225</v>
      </c>
      <c r="P952" s="42">
        <f t="shared" si="173"/>
        <v>16521.305907271457</v>
      </c>
      <c r="Q952" s="42"/>
      <c r="R952">
        <v>0.84978789635914187</v>
      </c>
      <c r="S952">
        <v>0.59419537949766532</v>
      </c>
    </row>
    <row r="953" spans="1:19" x14ac:dyDescent="0.25">
      <c r="A953" s="40">
        <f t="shared" si="174"/>
        <v>0</v>
      </c>
      <c r="B953" s="40">
        <f t="shared" si="175"/>
        <v>50</v>
      </c>
      <c r="C953" s="41">
        <f t="shared" si="168"/>
        <v>1.0313000000000001</v>
      </c>
      <c r="D953" s="41">
        <f t="shared" si="169"/>
        <v>0.88000000000000012</v>
      </c>
      <c r="E953" s="39">
        <f>IF(_xlfn.NORM.INV(R953,C953,'Regressão Grupo 2'!$B$7)&lt;=0,0,IF(_xlfn.NORM.INV(R953,C953,'Regressão Grupo 2'!$B$7)&gt;100%,100%,_xlfn.NORM.INV(R953,C953,'Regressão Grupo 2'!$B$7)))</f>
        <v>1</v>
      </c>
      <c r="F953" s="39">
        <f>IF(_xlfn.NORM.INV(S953,D953,'Regressão Grupo 2'!$B$7)&lt;=0,0,IF(_xlfn.NORM.INV(S953,D953,'Regressão Grupo 2'!$B$7)&gt;100%,100%,_xlfn.NORM.INV(S953,D953,'Regressão Grupo 2'!$B$7)))</f>
        <v>0.79327490233504017</v>
      </c>
      <c r="G953" s="41">
        <v>2.7142296701289103E-2</v>
      </c>
      <c r="H953" s="41">
        <v>2.2382411087049248E-2</v>
      </c>
      <c r="I953" s="40">
        <f t="shared" si="170"/>
        <v>0</v>
      </c>
      <c r="J953" s="40">
        <f t="shared" si="171"/>
        <v>355.1080993820342</v>
      </c>
      <c r="K953" s="36">
        <v>0.30613665050929084</v>
      </c>
      <c r="L953" s="42">
        <f t="shared" si="179"/>
        <v>0</v>
      </c>
      <c r="M953" s="42">
        <f t="shared" si="179"/>
        <v>20000</v>
      </c>
      <c r="N953" s="42">
        <f t="shared" si="172"/>
        <v>6122.733010185817</v>
      </c>
      <c r="O953" s="36">
        <v>8.1907668967433072</v>
      </c>
      <c r="P953" s="42">
        <f t="shared" si="173"/>
        <v>8724.0642937320954</v>
      </c>
      <c r="Q953" s="42"/>
      <c r="R953">
        <v>0.61641285439619131</v>
      </c>
      <c r="S953">
        <v>0.26526688436536761</v>
      </c>
    </row>
    <row r="954" spans="1:19" x14ac:dyDescent="0.25">
      <c r="A954" s="40">
        <f t="shared" si="174"/>
        <v>0</v>
      </c>
      <c r="B954" s="40">
        <f t="shared" si="175"/>
        <v>50</v>
      </c>
      <c r="C954" s="41">
        <f t="shared" si="168"/>
        <v>1.0313000000000001</v>
      </c>
      <c r="D954" s="41">
        <f t="shared" si="169"/>
        <v>0.88000000000000012</v>
      </c>
      <c r="E954" s="39">
        <f>IF(_xlfn.NORM.INV(R954,C954,'Regressão Grupo 2'!$B$7)&lt;=0,0,IF(_xlfn.NORM.INV(R954,C954,'Regressão Grupo 2'!$B$7)&gt;100%,100%,_xlfn.NORM.INV(R954,C954,'Regressão Grupo 2'!$B$7)))</f>
        <v>0.92748278807599083</v>
      </c>
      <c r="F954" s="39">
        <f>IF(_xlfn.NORM.INV(S954,D954,'Regressão Grupo 2'!$B$7)&lt;=0,0,IF(_xlfn.NORM.INV(S954,D954,'Regressão Grupo 2'!$B$7)&gt;100%,100%,_xlfn.NORM.INV(S954,D954,'Regressão Grupo 2'!$B$7)))</f>
        <v>1</v>
      </c>
      <c r="G954" s="41">
        <v>2.1318249526144903E-2</v>
      </c>
      <c r="H954" s="41">
        <v>2.5195046408973638E-2</v>
      </c>
      <c r="I954" s="40">
        <f t="shared" si="170"/>
        <v>0</v>
      </c>
      <c r="J954" s="40">
        <f t="shared" si="171"/>
        <v>503.90092817947277</v>
      </c>
      <c r="K954" s="36">
        <v>0.30859033704413985</v>
      </c>
      <c r="L954" s="42">
        <f t="shared" si="179"/>
        <v>0</v>
      </c>
      <c r="M954" s="42">
        <f t="shared" si="179"/>
        <v>20000</v>
      </c>
      <c r="N954" s="42">
        <f t="shared" si="172"/>
        <v>6171.8067408827974</v>
      </c>
      <c r="O954" s="36">
        <v>7.5373022452683696</v>
      </c>
      <c r="P954" s="42">
        <f t="shared" si="173"/>
        <v>15225.186070730886</v>
      </c>
      <c r="Q954" s="42"/>
      <c r="R954">
        <v>0.22638630329294718</v>
      </c>
      <c r="S954">
        <v>0.95721304971465193</v>
      </c>
    </row>
    <row r="955" spans="1:19" x14ac:dyDescent="0.25">
      <c r="A955" s="40">
        <f t="shared" si="174"/>
        <v>0</v>
      </c>
      <c r="B955" s="40">
        <f t="shared" si="175"/>
        <v>50</v>
      </c>
      <c r="C955" s="41">
        <f t="shared" si="168"/>
        <v>1.0313000000000001</v>
      </c>
      <c r="D955" s="41">
        <f t="shared" si="169"/>
        <v>0.88000000000000012</v>
      </c>
      <c r="E955" s="39">
        <f>IF(_xlfn.NORM.INV(R955,C955,'Regressão Grupo 2'!$B$7)&lt;=0,0,IF(_xlfn.NORM.INV(R955,C955,'Regressão Grupo 2'!$B$7)&gt;100%,100%,_xlfn.NORM.INV(R955,C955,'Regressão Grupo 2'!$B$7)))</f>
        <v>0.99986360741120406</v>
      </c>
      <c r="F955" s="39">
        <f>IF(_xlfn.NORM.INV(S955,D955,'Regressão Grupo 2'!$B$7)&lt;=0,0,IF(_xlfn.NORM.INV(S955,D955,'Regressão Grupo 2'!$B$7)&gt;100%,100%,_xlfn.NORM.INV(S955,D955,'Regressão Grupo 2'!$B$7)))</f>
        <v>0.73794691323269634</v>
      </c>
      <c r="G955" s="41">
        <v>2.450122682209048E-2</v>
      </c>
      <c r="H955" s="41">
        <v>2.4501235969663607E-3</v>
      </c>
      <c r="I955" s="40">
        <f t="shared" si="170"/>
        <v>0</v>
      </c>
      <c r="J955" s="40">
        <f t="shared" si="171"/>
        <v>36.161222908398337</v>
      </c>
      <c r="K955" s="36">
        <v>0.26273091855089181</v>
      </c>
      <c r="L955" s="42">
        <f t="shared" si="179"/>
        <v>0</v>
      </c>
      <c r="M955" s="42">
        <f t="shared" si="179"/>
        <v>20000</v>
      </c>
      <c r="N955" s="42">
        <f t="shared" si="172"/>
        <v>5254.6183710178366</v>
      </c>
      <c r="O955" s="36">
        <v>4.504021747561703</v>
      </c>
      <c r="P955" s="42">
        <f t="shared" si="173"/>
        <v>-3609.4281599957721</v>
      </c>
      <c r="Q955" s="42"/>
      <c r="R955">
        <v>0.41007721182897428</v>
      </c>
      <c r="S955">
        <v>0.15213476973784601</v>
      </c>
    </row>
    <row r="956" spans="1:19" x14ac:dyDescent="0.25">
      <c r="A956" s="40">
        <f t="shared" si="174"/>
        <v>0</v>
      </c>
      <c r="B956" s="40">
        <f t="shared" si="175"/>
        <v>50</v>
      </c>
      <c r="C956" s="41">
        <f t="shared" si="168"/>
        <v>1.0313000000000001</v>
      </c>
      <c r="D956" s="41">
        <f t="shared" si="169"/>
        <v>0.88000000000000012</v>
      </c>
      <c r="E956" s="39">
        <f>IF(_xlfn.NORM.INV(R956,C956,'Regressão Grupo 2'!$B$7)&lt;=0,0,IF(_xlfn.NORM.INV(R956,C956,'Regressão Grupo 2'!$B$7)&gt;100%,100%,_xlfn.NORM.INV(R956,C956,'Regressão Grupo 2'!$B$7)))</f>
        <v>0.72750048363877551</v>
      </c>
      <c r="F956" s="39">
        <f>IF(_xlfn.NORM.INV(S956,D956,'Regressão Grupo 2'!$B$7)&lt;=0,0,IF(_xlfn.NORM.INV(S956,D956,'Regressão Grupo 2'!$B$7)&gt;100%,100%,_xlfn.NORM.INV(S956,D956,'Regressão Grupo 2'!$B$7)))</f>
        <v>0.87786847616077546</v>
      </c>
      <c r="G956" s="41">
        <v>2.5217786175505463E-2</v>
      </c>
      <c r="H956" s="41">
        <v>2.3685189584963746E-2</v>
      </c>
      <c r="I956" s="40">
        <f t="shared" si="170"/>
        <v>0</v>
      </c>
      <c r="J956" s="40">
        <f t="shared" si="171"/>
        <v>415.84962577062385</v>
      </c>
      <c r="K956" s="36">
        <v>0.2914098124269886</v>
      </c>
      <c r="L956" s="42">
        <f t="shared" si="179"/>
        <v>0</v>
      </c>
      <c r="M956" s="42">
        <f t="shared" si="179"/>
        <v>20000</v>
      </c>
      <c r="N956" s="42">
        <f t="shared" si="172"/>
        <v>5828.1962485397717</v>
      </c>
      <c r="O956" s="36">
        <v>4.7353118381523416</v>
      </c>
      <c r="P956" s="42">
        <f t="shared" si="173"/>
        <v>12995.107384188563</v>
      </c>
      <c r="Q956" s="42"/>
      <c r="R956">
        <v>1.4007995849482712E-2</v>
      </c>
      <c r="S956">
        <v>0.49385052034058657</v>
      </c>
    </row>
    <row r="957" spans="1:19" x14ac:dyDescent="0.25">
      <c r="A957" s="40">
        <f t="shared" si="174"/>
        <v>0</v>
      </c>
      <c r="B957" s="40">
        <f t="shared" si="175"/>
        <v>50</v>
      </c>
      <c r="C957" s="41">
        <f t="shared" si="168"/>
        <v>1.0313000000000001</v>
      </c>
      <c r="D957" s="41">
        <f t="shared" si="169"/>
        <v>0.88000000000000012</v>
      </c>
      <c r="E957" s="39">
        <f>IF(_xlfn.NORM.INV(R957,C957,'Regressão Grupo 2'!$B$7)&lt;=0,0,IF(_xlfn.NORM.INV(R957,C957,'Regressão Grupo 2'!$B$7)&gt;100%,100%,_xlfn.NORM.INV(R957,C957,'Regressão Grupo 2'!$B$7)))</f>
        <v>0.98509096998078172</v>
      </c>
      <c r="F957" s="39">
        <f>IF(_xlfn.NORM.INV(S957,D957,'Regressão Grupo 2'!$B$7)&lt;=0,0,IF(_xlfn.NORM.INV(S957,D957,'Regressão Grupo 2'!$B$7)&gt;100%,100%,_xlfn.NORM.INV(S957,D957,'Regressão Grupo 2'!$B$7)))</f>
        <v>0.980014282866565</v>
      </c>
      <c r="G957" s="41">
        <v>1.9030085974362277E-2</v>
      </c>
      <c r="H957" s="41">
        <v>1.6484103087582618E-2</v>
      </c>
      <c r="I957" s="40">
        <f t="shared" si="170"/>
        <v>0</v>
      </c>
      <c r="J957" s="40">
        <f t="shared" si="171"/>
        <v>323.09312932151619</v>
      </c>
      <c r="K957" s="36">
        <v>0.24706711885953977</v>
      </c>
      <c r="L957" s="42">
        <f t="shared" si="179"/>
        <v>0</v>
      </c>
      <c r="M957" s="42">
        <f t="shared" si="179"/>
        <v>20000</v>
      </c>
      <c r="N957" s="42">
        <f t="shared" si="172"/>
        <v>4941.3423771907956</v>
      </c>
      <c r="O957" s="36">
        <v>4.5351453054982418</v>
      </c>
      <c r="P957" s="42">
        <f t="shared" si="173"/>
        <v>9748.0398002038019</v>
      </c>
      <c r="Q957" s="42"/>
      <c r="R957">
        <v>0.36912137211218604</v>
      </c>
      <c r="S957">
        <v>0.76525162511062961</v>
      </c>
    </row>
    <row r="958" spans="1:19" x14ac:dyDescent="0.25">
      <c r="A958" s="40">
        <f t="shared" si="174"/>
        <v>0</v>
      </c>
      <c r="B958" s="40">
        <f t="shared" si="175"/>
        <v>50</v>
      </c>
      <c r="C958" s="41">
        <f t="shared" si="168"/>
        <v>1.0313000000000001</v>
      </c>
      <c r="D958" s="41">
        <f t="shared" si="169"/>
        <v>0.88000000000000012</v>
      </c>
      <c r="E958" s="39">
        <f>IF(_xlfn.NORM.INV(R958,C958,'Regressão Grupo 2'!$B$7)&lt;=0,0,IF(_xlfn.NORM.INV(R958,C958,'Regressão Grupo 2'!$B$7)&gt;100%,100%,_xlfn.NORM.INV(R958,C958,'Regressão Grupo 2'!$B$7)))</f>
        <v>0.86331977674055016</v>
      </c>
      <c r="F958" s="39">
        <f>IF(_xlfn.NORM.INV(S958,D958,'Regressão Grupo 2'!$B$7)&lt;=0,0,IF(_xlfn.NORM.INV(S958,D958,'Regressão Grupo 2'!$B$7)&gt;100%,100%,_xlfn.NORM.INV(S958,D958,'Regressão Grupo 2'!$B$7)))</f>
        <v>0.74368744516027774</v>
      </c>
      <c r="G958" s="41">
        <v>2.0043635801118939E-2</v>
      </c>
      <c r="H958" s="41">
        <v>7.0921813642093314E-3</v>
      </c>
      <c r="I958" s="40">
        <f t="shared" si="170"/>
        <v>0</v>
      </c>
      <c r="J958" s="40">
        <f t="shared" si="171"/>
        <v>105.48732478724341</v>
      </c>
      <c r="K958" s="36">
        <v>0.42452072059049434</v>
      </c>
      <c r="L958" s="42">
        <f t="shared" si="179"/>
        <v>0</v>
      </c>
      <c r="M958" s="42">
        <f t="shared" si="179"/>
        <v>20000</v>
      </c>
      <c r="N958" s="42">
        <f t="shared" si="172"/>
        <v>8490.4144118098866</v>
      </c>
      <c r="O958" s="36">
        <v>5.602135651426182</v>
      </c>
      <c r="P958" s="42">
        <f t="shared" si="173"/>
        <v>-3807.0024754119049</v>
      </c>
      <c r="Q958" s="42"/>
      <c r="R958">
        <v>0.11221655934324168</v>
      </c>
      <c r="S958">
        <v>0.16211432233649709</v>
      </c>
    </row>
    <row r="959" spans="1:19" x14ac:dyDescent="0.25">
      <c r="A959" s="40">
        <f t="shared" si="174"/>
        <v>0</v>
      </c>
      <c r="B959" s="40">
        <f t="shared" si="175"/>
        <v>50</v>
      </c>
      <c r="C959" s="41">
        <f t="shared" si="168"/>
        <v>1.0313000000000001</v>
      </c>
      <c r="D959" s="41">
        <f t="shared" si="169"/>
        <v>0.88000000000000012</v>
      </c>
      <c r="E959" s="39">
        <f>IF(_xlfn.NORM.INV(R959,C959,'Regressão Grupo 2'!$B$7)&lt;=0,0,IF(_xlfn.NORM.INV(R959,C959,'Regressão Grupo 2'!$B$7)&gt;100%,100%,_xlfn.NORM.INV(R959,C959,'Regressão Grupo 2'!$B$7)))</f>
        <v>0.88764160123497315</v>
      </c>
      <c r="F959" s="39">
        <f>IF(_xlfn.NORM.INV(S959,D959,'Regressão Grupo 2'!$B$7)&lt;=0,0,IF(_xlfn.NORM.INV(S959,D959,'Regressão Grupo 2'!$B$7)&gt;100%,100%,_xlfn.NORM.INV(S959,D959,'Regressão Grupo 2'!$B$7)))</f>
        <v>0.64920333594160462</v>
      </c>
      <c r="G959" s="41">
        <v>1.7634859208836645E-2</v>
      </c>
      <c r="H959" s="41">
        <v>1.4782261029561332E-2</v>
      </c>
      <c r="I959" s="40">
        <f t="shared" si="170"/>
        <v>0</v>
      </c>
      <c r="J959" s="40">
        <f t="shared" si="171"/>
        <v>191.93386346301591</v>
      </c>
      <c r="K959" s="36">
        <v>0.18035652705365329</v>
      </c>
      <c r="L959" s="42">
        <f t="shared" si="179"/>
        <v>0</v>
      </c>
      <c r="M959" s="42">
        <f t="shared" si="179"/>
        <v>20000</v>
      </c>
      <c r="N959" s="42">
        <f t="shared" si="172"/>
        <v>3607.1305410730661</v>
      </c>
      <c r="O959" s="36">
        <v>9.3879416161169953</v>
      </c>
      <c r="P959" s="42">
        <f t="shared" si="173"/>
        <v>4187.6987277311655</v>
      </c>
      <c r="Q959" s="42"/>
      <c r="R959">
        <v>0.14941862239448225</v>
      </c>
      <c r="S959">
        <v>4.7547837763603627E-2</v>
      </c>
    </row>
    <row r="960" spans="1:19" x14ac:dyDescent="0.25">
      <c r="A960" s="40">
        <f t="shared" si="174"/>
        <v>0</v>
      </c>
      <c r="B960" s="40">
        <f t="shared" si="175"/>
        <v>50</v>
      </c>
      <c r="C960" s="41">
        <f t="shared" si="168"/>
        <v>1.0313000000000001</v>
      </c>
      <c r="D960" s="41">
        <f t="shared" si="169"/>
        <v>0.88000000000000012</v>
      </c>
      <c r="E960" s="39">
        <f>IF(_xlfn.NORM.INV(R960,C960,'Regressão Grupo 2'!$B$7)&lt;=0,0,IF(_xlfn.NORM.INV(R960,C960,'Regressão Grupo 2'!$B$7)&gt;100%,100%,_xlfn.NORM.INV(R960,C960,'Regressão Grupo 2'!$B$7)))</f>
        <v>1</v>
      </c>
      <c r="F960" s="39">
        <f>IF(_xlfn.NORM.INV(S960,D960,'Regressão Grupo 2'!$B$7)&lt;=0,0,IF(_xlfn.NORM.INV(S960,D960,'Regressão Grupo 2'!$B$7)&gt;100%,100%,_xlfn.NORM.INV(S960,D960,'Regressão Grupo 2'!$B$7)))</f>
        <v>0.82321082865482242</v>
      </c>
      <c r="G960" s="41">
        <v>2.4052468291724353E-2</v>
      </c>
      <c r="H960" s="41">
        <v>1.697532079783988E-2</v>
      </c>
      <c r="I960" s="40">
        <f t="shared" si="170"/>
        <v>0</v>
      </c>
      <c r="J960" s="40">
        <f t="shared" si="171"/>
        <v>279.48535801342416</v>
      </c>
      <c r="K960" s="36">
        <v>0.42404374342489731</v>
      </c>
      <c r="L960" s="42">
        <f t="shared" si="179"/>
        <v>0</v>
      </c>
      <c r="M960" s="42">
        <f t="shared" si="179"/>
        <v>20000</v>
      </c>
      <c r="N960" s="42">
        <f t="shared" si="172"/>
        <v>8480.8748684979455</v>
      </c>
      <c r="O960" s="36">
        <v>4.0288802481987611</v>
      </c>
      <c r="P960" s="42">
        <f t="shared" si="173"/>
        <v>4367.3799936122177</v>
      </c>
      <c r="Q960" s="42"/>
      <c r="R960">
        <v>0.46009704886013369</v>
      </c>
      <c r="S960">
        <v>0.34064760277108064</v>
      </c>
    </row>
    <row r="961" spans="1:19" x14ac:dyDescent="0.25">
      <c r="A961" s="40">
        <f t="shared" si="174"/>
        <v>0</v>
      </c>
      <c r="B961" s="40">
        <f t="shared" si="175"/>
        <v>50</v>
      </c>
      <c r="C961" s="41">
        <f t="shared" si="168"/>
        <v>1.0313000000000001</v>
      </c>
      <c r="D961" s="41">
        <f t="shared" si="169"/>
        <v>0.88000000000000012</v>
      </c>
      <c r="E961" s="39">
        <f>IF(_xlfn.NORM.INV(R961,C961,'Regressão Grupo 2'!$B$7)&lt;=0,0,IF(_xlfn.NORM.INV(R961,C961,'Regressão Grupo 2'!$B$7)&gt;100%,100%,_xlfn.NORM.INV(R961,C961,'Regressão Grupo 2'!$B$7)))</f>
        <v>1</v>
      </c>
      <c r="F961" s="39">
        <f>IF(_xlfn.NORM.INV(S961,D961,'Regressão Grupo 2'!$B$7)&lt;=0,0,IF(_xlfn.NORM.INV(S961,D961,'Regressão Grupo 2'!$B$7)&gt;100%,100%,_xlfn.NORM.INV(S961,D961,'Regressão Grupo 2'!$B$7)))</f>
        <v>0.85604347506300305</v>
      </c>
      <c r="G961" s="41">
        <v>1.3732871744737947E-2</v>
      </c>
      <c r="H961" s="41">
        <v>1.5661974836771342E-2</v>
      </c>
      <c r="I961" s="40">
        <f t="shared" si="170"/>
        <v>0</v>
      </c>
      <c r="J961" s="40">
        <f t="shared" si="171"/>
        <v>268.14662731238099</v>
      </c>
      <c r="K961" s="36">
        <v>0.34621983769721432</v>
      </c>
      <c r="L961" s="42">
        <f t="shared" si="179"/>
        <v>0</v>
      </c>
      <c r="M961" s="42">
        <f t="shared" si="179"/>
        <v>20000</v>
      </c>
      <c r="N961" s="42">
        <f t="shared" si="172"/>
        <v>6924.3967539442865</v>
      </c>
      <c r="O961" s="36">
        <v>4.3255895082615012</v>
      </c>
      <c r="P961" s="42">
        <f t="shared" si="173"/>
        <v>5323.042373896621</v>
      </c>
      <c r="Q961" s="42"/>
      <c r="R961">
        <v>0.52766502883999145</v>
      </c>
      <c r="S961">
        <v>0.43122653889584034</v>
      </c>
    </row>
    <row r="962" spans="1:19" x14ac:dyDescent="0.25">
      <c r="A962" s="40">
        <f t="shared" si="174"/>
        <v>0</v>
      </c>
      <c r="B962" s="40">
        <f t="shared" si="175"/>
        <v>50</v>
      </c>
      <c r="C962" s="41">
        <f t="shared" si="168"/>
        <v>1.0313000000000001</v>
      </c>
      <c r="D962" s="41">
        <f t="shared" si="169"/>
        <v>0.88000000000000012</v>
      </c>
      <c r="E962" s="39">
        <f>IF(_xlfn.NORM.INV(R962,C962,'Regressão Grupo 2'!$B$7)&lt;=0,0,IF(_xlfn.NORM.INV(R962,C962,'Regressão Grupo 2'!$B$7)&gt;100%,100%,_xlfn.NORM.INV(R962,C962,'Regressão Grupo 2'!$B$7)))</f>
        <v>1</v>
      </c>
      <c r="F962" s="39">
        <f>IF(_xlfn.NORM.INV(S962,D962,'Regressão Grupo 2'!$B$7)&lt;=0,0,IF(_xlfn.NORM.INV(S962,D962,'Regressão Grupo 2'!$B$7)&gt;100%,100%,_xlfn.NORM.INV(S962,D962,'Regressão Grupo 2'!$B$7)))</f>
        <v>0.7293154062241004</v>
      </c>
      <c r="G962" s="41">
        <v>1.3491685426136253E-2</v>
      </c>
      <c r="H962" s="41">
        <v>1.5894534595008211E-2</v>
      </c>
      <c r="I962" s="40">
        <f t="shared" si="170"/>
        <v>0</v>
      </c>
      <c r="J962" s="40">
        <f t="shared" si="171"/>
        <v>231.84257909802861</v>
      </c>
      <c r="K962" s="36">
        <v>0.16856560688055941</v>
      </c>
      <c r="L962" s="42">
        <f t="shared" si="179"/>
        <v>0</v>
      </c>
      <c r="M962" s="42">
        <f t="shared" si="179"/>
        <v>20000</v>
      </c>
      <c r="N962" s="42">
        <f t="shared" si="172"/>
        <v>3371.3121376111881</v>
      </c>
      <c r="O962" s="36">
        <v>4.6628049192308367</v>
      </c>
      <c r="P962" s="42">
        <f t="shared" si="173"/>
        <v>7139.7800989847892</v>
      </c>
      <c r="Q962" s="42"/>
      <c r="R962">
        <v>0.97473067415387438</v>
      </c>
      <c r="S962">
        <v>0.13791314432203131</v>
      </c>
    </row>
    <row r="963" spans="1:19" x14ac:dyDescent="0.25">
      <c r="A963" s="40">
        <f t="shared" si="174"/>
        <v>0</v>
      </c>
      <c r="B963" s="40">
        <f t="shared" si="175"/>
        <v>50</v>
      </c>
      <c r="C963" s="41">
        <f t="shared" si="168"/>
        <v>1.0313000000000001</v>
      </c>
      <c r="D963" s="41">
        <f t="shared" si="169"/>
        <v>0.88000000000000012</v>
      </c>
      <c r="E963" s="39">
        <f>IF(_xlfn.NORM.INV(R963,C963,'Regressão Grupo 2'!$B$7)&lt;=0,0,IF(_xlfn.NORM.INV(R963,C963,'Regressão Grupo 2'!$B$7)&gt;100%,100%,_xlfn.NORM.INV(R963,C963,'Regressão Grupo 2'!$B$7)))</f>
        <v>0.85310991122090318</v>
      </c>
      <c r="F963" s="39">
        <f>IF(_xlfn.NORM.INV(S963,D963,'Regressão Grupo 2'!$B$7)&lt;=0,0,IF(_xlfn.NORM.INV(S963,D963,'Regressão Grupo 2'!$B$7)&gt;100%,100%,_xlfn.NORM.INV(S963,D963,'Regressão Grupo 2'!$B$7)))</f>
        <v>1</v>
      </c>
      <c r="G963" s="41">
        <v>1.9623980003625887E-2</v>
      </c>
      <c r="H963" s="41">
        <v>8.4175361114987215E-3</v>
      </c>
      <c r="I963" s="40">
        <f t="shared" si="170"/>
        <v>0</v>
      </c>
      <c r="J963" s="40">
        <f t="shared" si="171"/>
        <v>168.35072222997442</v>
      </c>
      <c r="K963" s="36">
        <v>0.44763621244067048</v>
      </c>
      <c r="L963" s="42">
        <f t="shared" si="179"/>
        <v>0</v>
      </c>
      <c r="M963" s="42">
        <f t="shared" si="179"/>
        <v>20000</v>
      </c>
      <c r="N963" s="42">
        <f t="shared" si="172"/>
        <v>8952.7242488134088</v>
      </c>
      <c r="O963" s="36">
        <v>10.228337330234627</v>
      </c>
      <c r="P963" s="42">
        <f t="shared" si="173"/>
        <v>-2257.1361140714962</v>
      </c>
      <c r="Q963" s="42"/>
      <c r="R963">
        <v>9.8757896664326911E-2</v>
      </c>
      <c r="S963">
        <v>0.87020477919858397</v>
      </c>
    </row>
    <row r="964" spans="1:19" x14ac:dyDescent="0.25">
      <c r="A964" s="40">
        <f t="shared" si="174"/>
        <v>0</v>
      </c>
      <c r="B964" s="40">
        <f t="shared" si="175"/>
        <v>50</v>
      </c>
      <c r="C964" s="41">
        <f t="shared" si="168"/>
        <v>1.0313000000000001</v>
      </c>
      <c r="D964" s="41">
        <f t="shared" si="169"/>
        <v>0.88000000000000012</v>
      </c>
      <c r="E964" s="39">
        <f>IF(_xlfn.NORM.INV(R964,C964,'Regressão Grupo 2'!$B$7)&lt;=0,0,IF(_xlfn.NORM.INV(R964,C964,'Regressão Grupo 2'!$B$7)&gt;100%,100%,_xlfn.NORM.INV(R964,C964,'Regressão Grupo 2'!$B$7)))</f>
        <v>0.83493748535493362</v>
      </c>
      <c r="F964" s="39">
        <f>IF(_xlfn.NORM.INV(S964,D964,'Regressão Grupo 2'!$B$7)&lt;=0,0,IF(_xlfn.NORM.INV(S964,D964,'Regressão Grupo 2'!$B$7)&gt;100%,100%,_xlfn.NORM.INV(S964,D964,'Regressão Grupo 2'!$B$7)))</f>
        <v>1</v>
      </c>
      <c r="G964" s="41">
        <v>1.8353283135245823E-2</v>
      </c>
      <c r="H964" s="41">
        <v>2.4404939219009783E-2</v>
      </c>
      <c r="I964" s="40">
        <f t="shared" si="170"/>
        <v>0</v>
      </c>
      <c r="J964" s="40">
        <f t="shared" si="171"/>
        <v>488.09878438019564</v>
      </c>
      <c r="K964" s="36">
        <v>0.31743143820844</v>
      </c>
      <c r="L964" s="42">
        <f t="shared" si="179"/>
        <v>0</v>
      </c>
      <c r="M964" s="42">
        <f t="shared" si="179"/>
        <v>20000</v>
      </c>
      <c r="N964" s="42">
        <f t="shared" si="172"/>
        <v>6348.6287641687995</v>
      </c>
      <c r="O964" s="36">
        <v>10.877346121452563</v>
      </c>
      <c r="P964" s="42">
        <f t="shared" si="173"/>
        <v>12747.091035677349</v>
      </c>
      <c r="Q964" s="42"/>
      <c r="R964">
        <v>7.7791680654316839E-2</v>
      </c>
      <c r="S964">
        <v>0.93783379619739371</v>
      </c>
    </row>
    <row r="965" spans="1:19" x14ac:dyDescent="0.25">
      <c r="A965" s="40">
        <f t="shared" si="174"/>
        <v>0</v>
      </c>
      <c r="B965" s="40">
        <f t="shared" si="175"/>
        <v>50</v>
      </c>
      <c r="C965" s="41">
        <f t="shared" si="168"/>
        <v>1.0313000000000001</v>
      </c>
      <c r="D965" s="41">
        <f t="shared" si="169"/>
        <v>0.88000000000000012</v>
      </c>
      <c r="E965" s="39">
        <f>IF(_xlfn.NORM.INV(R965,C965,'Regressão Grupo 2'!$B$7)&lt;=0,0,IF(_xlfn.NORM.INV(R965,C965,'Regressão Grupo 2'!$B$7)&gt;100%,100%,_xlfn.NORM.INV(R965,C965,'Regressão Grupo 2'!$B$7)))</f>
        <v>0.94416245001332644</v>
      </c>
      <c r="F965" s="39">
        <f>IF(_xlfn.NORM.INV(S965,D965,'Regressão Grupo 2'!$B$7)&lt;=0,0,IF(_xlfn.NORM.INV(S965,D965,'Regressão Grupo 2'!$B$7)&gt;100%,100%,_xlfn.NORM.INV(S965,D965,'Regressão Grupo 2'!$B$7)))</f>
        <v>0.39290476110735456</v>
      </c>
      <c r="G965" s="41">
        <v>3.4593632478178383E-3</v>
      </c>
      <c r="H965" s="41">
        <v>1.5438290286202664E-2</v>
      </c>
      <c r="I965" s="40">
        <f t="shared" si="170"/>
        <v>0</v>
      </c>
      <c r="J965" s="40">
        <f t="shared" si="171"/>
        <v>121.31555513612901</v>
      </c>
      <c r="K965" s="36">
        <v>0.44291823024988469</v>
      </c>
      <c r="L965" s="42">
        <f t="shared" si="179"/>
        <v>0</v>
      </c>
      <c r="M965" s="42">
        <f t="shared" si="179"/>
        <v>20000</v>
      </c>
      <c r="N965" s="42">
        <f t="shared" si="172"/>
        <v>8858.3646049976942</v>
      </c>
      <c r="O965" s="36">
        <v>5.2801817656600099</v>
      </c>
      <c r="P965" s="42">
        <f t="shared" si="173"/>
        <v>-3433.1550303119539</v>
      </c>
      <c r="Q965" s="42"/>
      <c r="R965">
        <v>0.26429029206213567</v>
      </c>
      <c r="S965">
        <v>2.1362956633198035E-4</v>
      </c>
    </row>
    <row r="966" spans="1:19" x14ac:dyDescent="0.25">
      <c r="A966" s="40">
        <f t="shared" si="174"/>
        <v>0</v>
      </c>
      <c r="B966" s="40">
        <f t="shared" si="175"/>
        <v>50</v>
      </c>
      <c r="C966" s="41">
        <f t="shared" ref="C966:C1004" si="180">-0.0071*A966 + 1.0313</f>
        <v>1.0313000000000001</v>
      </c>
      <c r="D966" s="41">
        <f t="shared" ref="D966:D1004" si="181">-0.0059*B966+1.175</f>
        <v>0.88000000000000012</v>
      </c>
      <c r="E966" s="39">
        <f>IF(_xlfn.NORM.INV(R966,C966,'Regressão Grupo 2'!$B$7)&lt;=0,0,IF(_xlfn.NORM.INV(R966,C966,'Regressão Grupo 2'!$B$7)&gt;100%,100%,_xlfn.NORM.INV(R966,C966,'Regressão Grupo 2'!$B$7)))</f>
        <v>1</v>
      </c>
      <c r="F966" s="39">
        <f>IF(_xlfn.NORM.INV(S966,D966,'Regressão Grupo 2'!$B$7)&lt;=0,0,IF(_xlfn.NORM.INV(S966,D966,'Regressão Grupo 2'!$B$7)&gt;100%,100%,_xlfn.NORM.INV(S966,D966,'Regressão Grupo 2'!$B$7)))</f>
        <v>0.69266465027810731</v>
      </c>
      <c r="G966" s="41">
        <v>2.5511809427166385E-2</v>
      </c>
      <c r="H966" s="41">
        <v>1.5989630095406247E-2</v>
      </c>
      <c r="I966" s="40">
        <f t="shared" ref="I966:I1004" si="182">IF(E966*G966*L966&gt;0,E966*G966*L966,0)</f>
        <v>0</v>
      </c>
      <c r="J966" s="40">
        <f t="shared" ref="J966:J1004" si="183">IF(F966*H966*M966&gt;0,F966*H966*M966,0)</f>
        <v>221.50903076221732</v>
      </c>
      <c r="K966" s="36">
        <v>0.20953760321852885</v>
      </c>
      <c r="L966" s="42">
        <f t="shared" si="179"/>
        <v>0</v>
      </c>
      <c r="M966" s="42">
        <f t="shared" si="179"/>
        <v>20000</v>
      </c>
      <c r="N966" s="42">
        <f t="shared" ref="N966:N1004" si="184">(L966+M966)*K966</f>
        <v>4190.7520643705766</v>
      </c>
      <c r="O966" s="36">
        <v>9.5721898131661671</v>
      </c>
      <c r="P966" s="42">
        <f t="shared" ref="P966:P1004" si="185">SUMPRODUCT(A966:B966,I966:J966)-SUM(I966:J966)*O966-N966</f>
        <v>4764.3729859538826</v>
      </c>
      <c r="Q966" s="42"/>
      <c r="R966">
        <v>0.84118167668691057</v>
      </c>
      <c r="S966">
        <v>8.7740714743491932E-2</v>
      </c>
    </row>
    <row r="967" spans="1:19" x14ac:dyDescent="0.25">
      <c r="A967" s="40">
        <f t="shared" ref="A967:A1004" si="186">A966</f>
        <v>0</v>
      </c>
      <c r="B967" s="40">
        <f t="shared" ref="B967:B1004" si="187">B966</f>
        <v>50</v>
      </c>
      <c r="C967" s="41">
        <f t="shared" si="180"/>
        <v>1.0313000000000001</v>
      </c>
      <c r="D967" s="41">
        <f t="shared" si="181"/>
        <v>0.88000000000000012</v>
      </c>
      <c r="E967" s="39">
        <f>IF(_xlfn.NORM.INV(R967,C967,'Regressão Grupo 2'!$B$7)&lt;=0,0,IF(_xlfn.NORM.INV(R967,C967,'Regressão Grupo 2'!$B$7)&gt;100%,100%,_xlfn.NORM.INV(R967,C967,'Regressão Grupo 2'!$B$7)))</f>
        <v>1</v>
      </c>
      <c r="F967" s="39">
        <f>IF(_xlfn.NORM.INV(S967,D967,'Regressão Grupo 2'!$B$7)&lt;=0,0,IF(_xlfn.NORM.INV(S967,D967,'Regressão Grupo 2'!$B$7)&gt;100%,100%,_xlfn.NORM.INV(S967,D967,'Regressão Grupo 2'!$B$7)))</f>
        <v>0.90851241986072639</v>
      </c>
      <c r="G967" s="41">
        <v>1.3766675287679662E-2</v>
      </c>
      <c r="H967" s="41">
        <v>4.1108859225335737E-3</v>
      </c>
      <c r="I967" s="40">
        <f t="shared" si="182"/>
        <v>0</v>
      </c>
      <c r="J967" s="40">
        <f t="shared" si="183"/>
        <v>74.695818345047428</v>
      </c>
      <c r="K967" s="36">
        <v>0.22198803868050229</v>
      </c>
      <c r="L967" s="42">
        <f t="shared" ref="L967:M982" si="188">L966</f>
        <v>0</v>
      </c>
      <c r="M967" s="42">
        <f t="shared" si="188"/>
        <v>20000</v>
      </c>
      <c r="N967" s="42">
        <f t="shared" si="184"/>
        <v>4439.7607736100463</v>
      </c>
      <c r="O967" s="36">
        <v>4.4389694626223157</v>
      </c>
      <c r="P967" s="42">
        <f t="shared" si="185"/>
        <v>-1036.5423129769242</v>
      </c>
      <c r="Q967" s="42"/>
      <c r="R967">
        <v>0.79308450575273903</v>
      </c>
      <c r="S967">
        <v>0.5816827906125065</v>
      </c>
    </row>
    <row r="968" spans="1:19" x14ac:dyDescent="0.25">
      <c r="A968" s="40">
        <f t="shared" si="186"/>
        <v>0</v>
      </c>
      <c r="B968" s="40">
        <f t="shared" si="187"/>
        <v>50</v>
      </c>
      <c r="C968" s="41">
        <f t="shared" si="180"/>
        <v>1.0313000000000001</v>
      </c>
      <c r="D968" s="41">
        <f t="shared" si="181"/>
        <v>0.88000000000000012</v>
      </c>
      <c r="E968" s="39">
        <f>IF(_xlfn.NORM.INV(R968,C968,'Regressão Grupo 2'!$B$7)&lt;=0,0,IF(_xlfn.NORM.INV(R968,C968,'Regressão Grupo 2'!$B$7)&gt;100%,100%,_xlfn.NORM.INV(R968,C968,'Regressão Grupo 2'!$B$7)))</f>
        <v>0.9518983628359462</v>
      </c>
      <c r="F968" s="39">
        <f>IF(_xlfn.NORM.INV(S968,D968,'Regressão Grupo 2'!$B$7)&lt;=0,0,IF(_xlfn.NORM.INV(S968,D968,'Regressão Grupo 2'!$B$7)&gt;100%,100%,_xlfn.NORM.INV(S968,D968,'Regressão Grupo 2'!$B$7)))</f>
        <v>0.72783184853512828</v>
      </c>
      <c r="G968" s="41">
        <v>1.5212850770691191E-2</v>
      </c>
      <c r="H968" s="41">
        <v>1.4118915563982981E-2</v>
      </c>
      <c r="I968" s="40">
        <f t="shared" si="182"/>
        <v>0</v>
      </c>
      <c r="J968" s="40">
        <f t="shared" si="183"/>
        <v>205.52392828490252</v>
      </c>
      <c r="K968" s="36">
        <v>0.36869535221443861</v>
      </c>
      <c r="L968" s="42">
        <f t="shared" si="188"/>
        <v>0</v>
      </c>
      <c r="M968" s="42">
        <f t="shared" si="188"/>
        <v>20000</v>
      </c>
      <c r="N968" s="42">
        <f t="shared" si="184"/>
        <v>7373.9070442887723</v>
      </c>
      <c r="O968" s="36">
        <v>6.0632443445869484</v>
      </c>
      <c r="P968" s="42">
        <f t="shared" si="185"/>
        <v>1656.1475741056265</v>
      </c>
      <c r="Q968" s="42"/>
      <c r="R968">
        <v>0.28290658284249398</v>
      </c>
      <c r="S968">
        <v>0.13556321909237953</v>
      </c>
    </row>
    <row r="969" spans="1:19" x14ac:dyDescent="0.25">
      <c r="A969" s="40">
        <f t="shared" si="186"/>
        <v>0</v>
      </c>
      <c r="B969" s="40">
        <f t="shared" si="187"/>
        <v>50</v>
      </c>
      <c r="C969" s="41">
        <f t="shared" si="180"/>
        <v>1.0313000000000001</v>
      </c>
      <c r="D969" s="41">
        <f t="shared" si="181"/>
        <v>0.88000000000000012</v>
      </c>
      <c r="E969" s="39">
        <f>IF(_xlfn.NORM.INV(R969,C969,'Regressão Grupo 2'!$B$7)&lt;=0,0,IF(_xlfn.NORM.INV(R969,C969,'Regressão Grupo 2'!$B$7)&gt;100%,100%,_xlfn.NORM.INV(R969,C969,'Regressão Grupo 2'!$B$7)))</f>
        <v>1</v>
      </c>
      <c r="F969" s="39">
        <f>IF(_xlfn.NORM.INV(S969,D969,'Regressão Grupo 2'!$B$7)&lt;=0,0,IF(_xlfn.NORM.INV(S969,D969,'Regressão Grupo 2'!$B$7)&gt;100%,100%,_xlfn.NORM.INV(S969,D969,'Regressão Grupo 2'!$B$7)))</f>
        <v>1</v>
      </c>
      <c r="G969" s="41">
        <v>7.5005602627345996E-3</v>
      </c>
      <c r="H969" s="41">
        <v>1.2913202108255709E-2</v>
      </c>
      <c r="I969" s="40">
        <f t="shared" si="182"/>
        <v>0</v>
      </c>
      <c r="J969" s="40">
        <f t="shared" si="183"/>
        <v>258.26404216511418</v>
      </c>
      <c r="K969" s="36">
        <v>0.26900251357336735</v>
      </c>
      <c r="L969" s="42">
        <f t="shared" si="188"/>
        <v>0</v>
      </c>
      <c r="M969" s="42">
        <f t="shared" si="188"/>
        <v>20000</v>
      </c>
      <c r="N969" s="42">
        <f t="shared" si="184"/>
        <v>5380.0502714673466</v>
      </c>
      <c r="O969" s="36">
        <v>8.7548718745169118</v>
      </c>
      <c r="P969" s="42">
        <f t="shared" si="185"/>
        <v>5272.0832378379555</v>
      </c>
      <c r="Q969" s="42"/>
      <c r="R969">
        <v>0.73537400433362832</v>
      </c>
      <c r="S969">
        <v>0.88219855342265086</v>
      </c>
    </row>
    <row r="970" spans="1:19" x14ac:dyDescent="0.25">
      <c r="A970" s="40">
        <f t="shared" si="186"/>
        <v>0</v>
      </c>
      <c r="B970" s="40">
        <f t="shared" si="187"/>
        <v>50</v>
      </c>
      <c r="C970" s="41">
        <f t="shared" si="180"/>
        <v>1.0313000000000001</v>
      </c>
      <c r="D970" s="41">
        <f t="shared" si="181"/>
        <v>0.88000000000000012</v>
      </c>
      <c r="E970" s="39">
        <f>IF(_xlfn.NORM.INV(R970,C970,'Regressão Grupo 2'!$B$7)&lt;=0,0,IF(_xlfn.NORM.INV(R970,C970,'Regressão Grupo 2'!$B$7)&gt;100%,100%,_xlfn.NORM.INV(R970,C970,'Regressão Grupo 2'!$B$7)))</f>
        <v>1</v>
      </c>
      <c r="F970" s="39">
        <f>IF(_xlfn.NORM.INV(S970,D970,'Regressão Grupo 2'!$B$7)&lt;=0,0,IF(_xlfn.NORM.INV(S970,D970,'Regressão Grupo 2'!$B$7)&gt;100%,100%,_xlfn.NORM.INV(S970,D970,'Regressão Grupo 2'!$B$7)))</f>
        <v>0.88749808903246197</v>
      </c>
      <c r="G970" s="41">
        <v>2.2243987785006653E-2</v>
      </c>
      <c r="H970" s="41">
        <v>1.8412747012033381E-2</v>
      </c>
      <c r="I970" s="40">
        <f t="shared" si="182"/>
        <v>0</v>
      </c>
      <c r="J970" s="40">
        <f t="shared" si="183"/>
        <v>326.82555574035598</v>
      </c>
      <c r="K970" s="36">
        <v>0.28606655226380129</v>
      </c>
      <c r="L970" s="42">
        <f t="shared" si="188"/>
        <v>0</v>
      </c>
      <c r="M970" s="42">
        <f t="shared" si="188"/>
        <v>20000</v>
      </c>
      <c r="N970" s="42">
        <f t="shared" si="184"/>
        <v>5721.3310452760261</v>
      </c>
      <c r="O970" s="36">
        <v>4.0016671772013108</v>
      </c>
      <c r="P970" s="42">
        <f t="shared" si="185"/>
        <v>9312.0996426650127</v>
      </c>
      <c r="Q970" s="42"/>
      <c r="R970">
        <v>0.84499649037141022</v>
      </c>
      <c r="S970">
        <v>0.52162236396374406</v>
      </c>
    </row>
    <row r="971" spans="1:19" x14ac:dyDescent="0.25">
      <c r="A971" s="40">
        <f t="shared" si="186"/>
        <v>0</v>
      </c>
      <c r="B971" s="40">
        <f t="shared" si="187"/>
        <v>50</v>
      </c>
      <c r="C971" s="41">
        <f t="shared" si="180"/>
        <v>1.0313000000000001</v>
      </c>
      <c r="D971" s="41">
        <f t="shared" si="181"/>
        <v>0.88000000000000012</v>
      </c>
      <c r="E971" s="39">
        <f>IF(_xlfn.NORM.INV(R971,C971,'Regressão Grupo 2'!$B$7)&lt;=0,0,IF(_xlfn.NORM.INV(R971,C971,'Regressão Grupo 2'!$B$7)&gt;100%,100%,_xlfn.NORM.INV(R971,C971,'Regressão Grupo 2'!$B$7)))</f>
        <v>1</v>
      </c>
      <c r="F971" s="39">
        <f>IF(_xlfn.NORM.INV(S971,D971,'Regressão Grupo 2'!$B$7)&lt;=0,0,IF(_xlfn.NORM.INV(S971,D971,'Regressão Grupo 2'!$B$7)&gt;100%,100%,_xlfn.NORM.INV(S971,D971,'Regressão Grupo 2'!$B$7)))</f>
        <v>0.73937372356212672</v>
      </c>
      <c r="G971" s="41">
        <v>1.8293934847279376E-2</v>
      </c>
      <c r="H971" s="41">
        <v>1.3986462059066904E-2</v>
      </c>
      <c r="I971" s="40">
        <f t="shared" si="182"/>
        <v>0</v>
      </c>
      <c r="J971" s="40">
        <f t="shared" si="183"/>
        <v>206.82445064145412</v>
      </c>
      <c r="K971" s="36">
        <v>0.35997380910357202</v>
      </c>
      <c r="L971" s="42">
        <f t="shared" si="188"/>
        <v>0</v>
      </c>
      <c r="M971" s="42">
        <f t="shared" si="188"/>
        <v>20000</v>
      </c>
      <c r="N971" s="42">
        <f t="shared" si="184"/>
        <v>7199.4761820714402</v>
      </c>
      <c r="O971" s="36">
        <v>6.4578028487080692</v>
      </c>
      <c r="P971" s="42">
        <f t="shared" si="185"/>
        <v>1806.1148234664024</v>
      </c>
      <c r="Q971" s="42"/>
      <c r="R971">
        <v>0.9719229712820826</v>
      </c>
      <c r="S971">
        <v>0.15457625049592577</v>
      </c>
    </row>
    <row r="972" spans="1:19" x14ac:dyDescent="0.25">
      <c r="A972" s="40">
        <f t="shared" si="186"/>
        <v>0</v>
      </c>
      <c r="B972" s="40">
        <f t="shared" si="187"/>
        <v>50</v>
      </c>
      <c r="C972" s="41">
        <f t="shared" si="180"/>
        <v>1.0313000000000001</v>
      </c>
      <c r="D972" s="41">
        <f t="shared" si="181"/>
        <v>0.88000000000000012</v>
      </c>
      <c r="E972" s="39">
        <f>IF(_xlfn.NORM.INV(R972,C972,'Regressão Grupo 2'!$B$7)&lt;=0,0,IF(_xlfn.NORM.INV(R972,C972,'Regressão Grupo 2'!$B$7)&gt;100%,100%,_xlfn.NORM.INV(R972,C972,'Regressão Grupo 2'!$B$7)))</f>
        <v>1</v>
      </c>
      <c r="F972" s="39">
        <f>IF(_xlfn.NORM.INV(S972,D972,'Regressão Grupo 2'!$B$7)&lt;=0,0,IF(_xlfn.NORM.INV(S972,D972,'Regressão Grupo 2'!$B$7)&gt;100%,100%,_xlfn.NORM.INV(S972,D972,'Regressão Grupo 2'!$B$7)))</f>
        <v>0.72554347963458832</v>
      </c>
      <c r="G972" s="41">
        <v>1.6975250221509409E-2</v>
      </c>
      <c r="H972" s="41">
        <v>8.5438406123928331E-3</v>
      </c>
      <c r="I972" s="40">
        <f t="shared" si="182"/>
        <v>0</v>
      </c>
      <c r="J972" s="40">
        <f t="shared" si="183"/>
        <v>123.97855694717616</v>
      </c>
      <c r="K972" s="36">
        <v>0.22885996594506869</v>
      </c>
      <c r="L972" s="42">
        <f t="shared" si="188"/>
        <v>0</v>
      </c>
      <c r="M972" s="42">
        <f t="shared" si="188"/>
        <v>20000</v>
      </c>
      <c r="N972" s="42">
        <f t="shared" si="184"/>
        <v>4577.1993189013738</v>
      </c>
      <c r="O972" s="36">
        <v>8.5956913493589671</v>
      </c>
      <c r="P972" s="42">
        <f t="shared" si="185"/>
        <v>556.04711900058464</v>
      </c>
      <c r="Q972" s="42"/>
      <c r="R972">
        <v>0.58369701223792225</v>
      </c>
      <c r="S972">
        <v>0.13199255348368785</v>
      </c>
    </row>
    <row r="973" spans="1:19" x14ac:dyDescent="0.25">
      <c r="A973" s="40">
        <f t="shared" si="186"/>
        <v>0</v>
      </c>
      <c r="B973" s="40">
        <f t="shared" si="187"/>
        <v>50</v>
      </c>
      <c r="C973" s="41">
        <f t="shared" si="180"/>
        <v>1.0313000000000001</v>
      </c>
      <c r="D973" s="41">
        <f t="shared" si="181"/>
        <v>0.88000000000000012</v>
      </c>
      <c r="E973" s="39">
        <f>IF(_xlfn.NORM.INV(R973,C973,'Regressão Grupo 2'!$B$7)&lt;=0,0,IF(_xlfn.NORM.INV(R973,C973,'Regressão Grupo 2'!$B$7)&gt;100%,100%,_xlfn.NORM.INV(R973,C973,'Regressão Grupo 2'!$B$7)))</f>
        <v>0.90409811330336698</v>
      </c>
      <c r="F973" s="39">
        <f>IF(_xlfn.NORM.INV(S973,D973,'Regressão Grupo 2'!$B$7)&lt;=0,0,IF(_xlfn.NORM.INV(S973,D973,'Regressão Grupo 2'!$B$7)&gt;100%,100%,_xlfn.NORM.INV(S973,D973,'Regressão Grupo 2'!$B$7)))</f>
        <v>1</v>
      </c>
      <c r="G973" s="41">
        <v>4.7633631607378229E-3</v>
      </c>
      <c r="H973" s="41">
        <v>2.035351730566045E-2</v>
      </c>
      <c r="I973" s="40">
        <f t="shared" si="182"/>
        <v>0</v>
      </c>
      <c r="J973" s="40">
        <f t="shared" si="183"/>
        <v>407.07034611320898</v>
      </c>
      <c r="K973" s="36">
        <v>0.29666994102898825</v>
      </c>
      <c r="L973" s="42">
        <f t="shared" si="188"/>
        <v>0</v>
      </c>
      <c r="M973" s="42">
        <f t="shared" si="188"/>
        <v>20000</v>
      </c>
      <c r="N973" s="42">
        <f t="shared" si="184"/>
        <v>5933.398820579765</v>
      </c>
      <c r="O973" s="36">
        <v>5.2203785586825653</v>
      </c>
      <c r="P973" s="42">
        <f t="shared" si="185"/>
        <v>12295.057178355797</v>
      </c>
      <c r="Q973" s="42"/>
      <c r="R973">
        <v>0.17880794701986755</v>
      </c>
      <c r="S973">
        <v>0.86712240974150823</v>
      </c>
    </row>
    <row r="974" spans="1:19" x14ac:dyDescent="0.25">
      <c r="A974" s="40">
        <f t="shared" si="186"/>
        <v>0</v>
      </c>
      <c r="B974" s="40">
        <f t="shared" si="187"/>
        <v>50</v>
      </c>
      <c r="C974" s="41">
        <f t="shared" si="180"/>
        <v>1.0313000000000001</v>
      </c>
      <c r="D974" s="41">
        <f t="shared" si="181"/>
        <v>0.88000000000000012</v>
      </c>
      <c r="E974" s="39">
        <f>IF(_xlfn.NORM.INV(R974,C974,'Regressão Grupo 2'!$B$7)&lt;=0,0,IF(_xlfn.NORM.INV(R974,C974,'Regressão Grupo 2'!$B$7)&gt;100%,100%,_xlfn.NORM.INV(R974,C974,'Regressão Grupo 2'!$B$7)))</f>
        <v>0.85760171050355383</v>
      </c>
      <c r="F974" s="39">
        <f>IF(_xlfn.NORM.INV(S974,D974,'Regressão Grupo 2'!$B$7)&lt;=0,0,IF(_xlfn.NORM.INV(S974,D974,'Regressão Grupo 2'!$B$7)&gt;100%,100%,_xlfn.NORM.INV(S974,D974,'Regressão Grupo 2'!$B$7)))</f>
        <v>0.92207933573537904</v>
      </c>
      <c r="G974" s="41">
        <v>3.0157168675793871E-3</v>
      </c>
      <c r="H974" s="41">
        <v>1.6502463373618301E-2</v>
      </c>
      <c r="I974" s="40">
        <f t="shared" si="182"/>
        <v>0</v>
      </c>
      <c r="J974" s="40">
        <f t="shared" si="183"/>
        <v>304.33160931086769</v>
      </c>
      <c r="K974" s="36">
        <v>0.2906216855620859</v>
      </c>
      <c r="L974" s="42">
        <f t="shared" si="188"/>
        <v>0</v>
      </c>
      <c r="M974" s="42">
        <f t="shared" si="188"/>
        <v>20000</v>
      </c>
      <c r="N974" s="42">
        <f t="shared" si="184"/>
        <v>5812.4337112417179</v>
      </c>
      <c r="O974" s="36">
        <v>7.7618243116183478</v>
      </c>
      <c r="P974" s="42">
        <f t="shared" si="185"/>
        <v>7041.978270358637</v>
      </c>
      <c r="Q974" s="42"/>
      <c r="R974">
        <v>0.10452589495529038</v>
      </c>
      <c r="S974">
        <v>0.61955626087221904</v>
      </c>
    </row>
    <row r="975" spans="1:19" x14ac:dyDescent="0.25">
      <c r="A975" s="40">
        <f t="shared" si="186"/>
        <v>0</v>
      </c>
      <c r="B975" s="40">
        <f t="shared" si="187"/>
        <v>50</v>
      </c>
      <c r="C975" s="41">
        <f t="shared" si="180"/>
        <v>1.0313000000000001</v>
      </c>
      <c r="D975" s="41">
        <f t="shared" si="181"/>
        <v>0.88000000000000012</v>
      </c>
      <c r="E975" s="39">
        <f>IF(_xlfn.NORM.INV(R975,C975,'Regressão Grupo 2'!$B$7)&lt;=0,0,IF(_xlfn.NORM.INV(R975,C975,'Regressão Grupo 2'!$B$7)&gt;100%,100%,_xlfn.NORM.INV(R975,C975,'Regressão Grupo 2'!$B$7)))</f>
        <v>1</v>
      </c>
      <c r="F975" s="39">
        <f>IF(_xlfn.NORM.INV(S975,D975,'Regressão Grupo 2'!$B$7)&lt;=0,0,IF(_xlfn.NORM.INV(S975,D975,'Regressão Grupo 2'!$B$7)&gt;100%,100%,_xlfn.NORM.INV(S975,D975,'Regressão Grupo 2'!$B$7)))</f>
        <v>1</v>
      </c>
      <c r="G975" s="41">
        <v>1.7103001700845021E-2</v>
      </c>
      <c r="H975" s="41">
        <v>2.0066970427195088E-2</v>
      </c>
      <c r="I975" s="40">
        <f t="shared" si="182"/>
        <v>0</v>
      </c>
      <c r="J975" s="40">
        <f t="shared" si="183"/>
        <v>401.33940854390175</v>
      </c>
      <c r="K975" s="36">
        <v>0.32869416583231831</v>
      </c>
      <c r="L975" s="42">
        <f t="shared" si="188"/>
        <v>0</v>
      </c>
      <c r="M975" s="42">
        <f t="shared" si="188"/>
        <v>20000</v>
      </c>
      <c r="N975" s="42">
        <f t="shared" si="184"/>
        <v>6573.8833166463664</v>
      </c>
      <c r="O975" s="36">
        <v>7.5089360450793965</v>
      </c>
      <c r="P975" s="42">
        <f t="shared" si="185"/>
        <v>10479.45515942257</v>
      </c>
      <c r="Q975" s="42"/>
      <c r="R975">
        <v>0.48979155858027895</v>
      </c>
      <c r="S975">
        <v>0.8417615283669545</v>
      </c>
    </row>
    <row r="976" spans="1:19" x14ac:dyDescent="0.25">
      <c r="A976" s="40">
        <f t="shared" si="186"/>
        <v>0</v>
      </c>
      <c r="B976" s="40">
        <f t="shared" si="187"/>
        <v>50</v>
      </c>
      <c r="C976" s="41">
        <f t="shared" si="180"/>
        <v>1.0313000000000001</v>
      </c>
      <c r="D976" s="41">
        <f t="shared" si="181"/>
        <v>0.88000000000000012</v>
      </c>
      <c r="E976" s="39">
        <f>IF(_xlfn.NORM.INV(R976,C976,'Regressão Grupo 2'!$B$7)&lt;=0,0,IF(_xlfn.NORM.INV(R976,C976,'Regressão Grupo 2'!$B$7)&gt;100%,100%,_xlfn.NORM.INV(R976,C976,'Regressão Grupo 2'!$B$7)))</f>
        <v>1</v>
      </c>
      <c r="F976" s="39">
        <f>IF(_xlfn.NORM.INV(S976,D976,'Regressão Grupo 2'!$B$7)&lt;=0,0,IF(_xlfn.NORM.INV(S976,D976,'Regressão Grupo 2'!$B$7)&gt;100%,100%,_xlfn.NORM.INV(S976,D976,'Regressão Grupo 2'!$B$7)))</f>
        <v>1</v>
      </c>
      <c r="G976" s="41">
        <v>1.7904896270549489E-2</v>
      </c>
      <c r="H976" s="41">
        <v>1.7024522204983711E-2</v>
      </c>
      <c r="I976" s="40">
        <f t="shared" si="182"/>
        <v>0</v>
      </c>
      <c r="J976" s="40">
        <f t="shared" si="183"/>
        <v>340.49044409967422</v>
      </c>
      <c r="K976" s="36">
        <v>0.31858965632731173</v>
      </c>
      <c r="L976" s="42">
        <f t="shared" si="188"/>
        <v>0</v>
      </c>
      <c r="M976" s="42">
        <f t="shared" si="188"/>
        <v>20000</v>
      </c>
      <c r="N976" s="42">
        <f t="shared" si="184"/>
        <v>6371.7931265462348</v>
      </c>
      <c r="O976" s="36">
        <v>6.0151430679886344</v>
      </c>
      <c r="P976" s="42">
        <f t="shared" si="185"/>
        <v>8604.6303438949471</v>
      </c>
      <c r="Q976" s="42"/>
      <c r="R976">
        <v>0.772179326761681</v>
      </c>
      <c r="S976">
        <v>0.89861751152073732</v>
      </c>
    </row>
    <row r="977" spans="1:19" x14ac:dyDescent="0.25">
      <c r="A977" s="40">
        <f t="shared" si="186"/>
        <v>0</v>
      </c>
      <c r="B977" s="40">
        <f t="shared" si="187"/>
        <v>50</v>
      </c>
      <c r="C977" s="41">
        <f t="shared" si="180"/>
        <v>1.0313000000000001</v>
      </c>
      <c r="D977" s="41">
        <f t="shared" si="181"/>
        <v>0.88000000000000012</v>
      </c>
      <c r="E977" s="39">
        <f>IF(_xlfn.NORM.INV(R977,C977,'Regressão Grupo 2'!$B$7)&lt;=0,0,IF(_xlfn.NORM.INV(R977,C977,'Regressão Grupo 2'!$B$7)&gt;100%,100%,_xlfn.NORM.INV(R977,C977,'Regressão Grupo 2'!$B$7)))</f>
        <v>1</v>
      </c>
      <c r="F977" s="39">
        <f>IF(_xlfn.NORM.INV(S977,D977,'Regressão Grupo 2'!$B$7)&lt;=0,0,IF(_xlfn.NORM.INV(S977,D977,'Regressão Grupo 2'!$B$7)&gt;100%,100%,_xlfn.NORM.INV(S977,D977,'Regressão Grupo 2'!$B$7)))</f>
        <v>1</v>
      </c>
      <c r="G977" s="41">
        <v>1.8924603026949618E-2</v>
      </c>
      <c r="H977" s="41">
        <v>2.4525738904465393E-2</v>
      </c>
      <c r="I977" s="40">
        <f t="shared" si="182"/>
        <v>0</v>
      </c>
      <c r="J977" s="40">
        <f t="shared" si="183"/>
        <v>490.51477808930787</v>
      </c>
      <c r="K977" s="36">
        <v>0.33972856895220716</v>
      </c>
      <c r="L977" s="42">
        <f t="shared" si="188"/>
        <v>0</v>
      </c>
      <c r="M977" s="42">
        <f t="shared" si="188"/>
        <v>20000</v>
      </c>
      <c r="N977" s="42">
        <f t="shared" si="184"/>
        <v>6794.5713790441432</v>
      </c>
      <c r="O977" s="36">
        <v>6.2429820005313541</v>
      </c>
      <c r="P977" s="42">
        <f t="shared" si="185"/>
        <v>14668.892594815068</v>
      </c>
      <c r="Q977" s="42"/>
      <c r="R977">
        <v>0.63698232978301339</v>
      </c>
      <c r="S977">
        <v>0.95699942014831996</v>
      </c>
    </row>
    <row r="978" spans="1:19" x14ac:dyDescent="0.25">
      <c r="A978" s="40">
        <f t="shared" si="186"/>
        <v>0</v>
      </c>
      <c r="B978" s="40">
        <f t="shared" si="187"/>
        <v>50</v>
      </c>
      <c r="C978" s="41">
        <f t="shared" si="180"/>
        <v>1.0313000000000001</v>
      </c>
      <c r="D978" s="41">
        <f t="shared" si="181"/>
        <v>0.88000000000000012</v>
      </c>
      <c r="E978" s="39">
        <f>IF(_xlfn.NORM.INV(R978,C978,'Regressão Grupo 2'!$B$7)&lt;=0,0,IF(_xlfn.NORM.INV(R978,C978,'Regressão Grupo 2'!$B$7)&gt;100%,100%,_xlfn.NORM.INV(R978,C978,'Regressão Grupo 2'!$B$7)))</f>
        <v>0.92781900487042646</v>
      </c>
      <c r="F978" s="39">
        <f>IF(_xlfn.NORM.INV(S978,D978,'Regressão Grupo 2'!$B$7)&lt;=0,0,IF(_xlfn.NORM.INV(S978,D978,'Regressão Grupo 2'!$B$7)&gt;100%,100%,_xlfn.NORM.INV(S978,D978,'Regressão Grupo 2'!$B$7)))</f>
        <v>0.96052691916812483</v>
      </c>
      <c r="G978" s="41">
        <v>2.1777023357915808E-2</v>
      </c>
      <c r="H978" s="41">
        <v>7.7578402515848513E-3</v>
      </c>
      <c r="I978" s="40">
        <f t="shared" si="182"/>
        <v>0</v>
      </c>
      <c r="J978" s="40">
        <f t="shared" si="183"/>
        <v>149.03228792506536</v>
      </c>
      <c r="K978" s="36">
        <v>0.30538719079204346</v>
      </c>
      <c r="L978" s="42">
        <f t="shared" si="188"/>
        <v>0</v>
      </c>
      <c r="M978" s="42">
        <f t="shared" si="188"/>
        <v>20000</v>
      </c>
      <c r="N978" s="42">
        <f t="shared" si="184"/>
        <v>6107.7438158408695</v>
      </c>
      <c r="O978" s="36">
        <v>3.47709755058961</v>
      </c>
      <c r="P978" s="42">
        <f t="shared" si="185"/>
        <v>825.67077710938793</v>
      </c>
      <c r="Q978" s="42"/>
      <c r="R978">
        <v>0.22711874752037112</v>
      </c>
      <c r="S978">
        <v>0.71984008301034574</v>
      </c>
    </row>
    <row r="979" spans="1:19" x14ac:dyDescent="0.25">
      <c r="A979" s="40">
        <f t="shared" si="186"/>
        <v>0</v>
      </c>
      <c r="B979" s="40">
        <f t="shared" si="187"/>
        <v>50</v>
      </c>
      <c r="C979" s="41">
        <f t="shared" si="180"/>
        <v>1.0313000000000001</v>
      </c>
      <c r="D979" s="41">
        <f t="shared" si="181"/>
        <v>0.88000000000000012</v>
      </c>
      <c r="E979" s="39">
        <f>IF(_xlfn.NORM.INV(R979,C979,'Regressão Grupo 2'!$B$7)&lt;=0,0,IF(_xlfn.NORM.INV(R979,C979,'Regressão Grupo 2'!$B$7)&gt;100%,100%,_xlfn.NORM.INV(R979,C979,'Regressão Grupo 2'!$B$7)))</f>
        <v>1</v>
      </c>
      <c r="F979" s="39">
        <f>IF(_xlfn.NORM.INV(S979,D979,'Regressão Grupo 2'!$B$7)&lt;=0,0,IF(_xlfn.NORM.INV(S979,D979,'Regressão Grupo 2'!$B$7)&gt;100%,100%,_xlfn.NORM.INV(S979,D979,'Regressão Grupo 2'!$B$7)))</f>
        <v>0.90477302112633184</v>
      </c>
      <c r="G979" s="41">
        <v>2.2556313691303606E-2</v>
      </c>
      <c r="H979" s="41">
        <v>2.0527627221642412E-2</v>
      </c>
      <c r="I979" s="40">
        <f t="shared" si="182"/>
        <v>0</v>
      </c>
      <c r="J979" s="40">
        <f t="shared" si="183"/>
        <v>371.45686595761072</v>
      </c>
      <c r="K979" s="36">
        <v>0.26152869219460551</v>
      </c>
      <c r="L979" s="42">
        <f t="shared" si="188"/>
        <v>0</v>
      </c>
      <c r="M979" s="42">
        <f t="shared" si="188"/>
        <v>20000</v>
      </c>
      <c r="N979" s="42">
        <f t="shared" si="184"/>
        <v>5230.5738438921098</v>
      </c>
      <c r="O979" s="36">
        <v>5.2086816464791283</v>
      </c>
      <c r="P979" s="42">
        <f t="shared" si="185"/>
        <v>11407.46889381636</v>
      </c>
      <c r="Q979" s="42"/>
      <c r="R979">
        <v>0.85128330332346569</v>
      </c>
      <c r="S979">
        <v>0.57109286782433544</v>
      </c>
    </row>
    <row r="980" spans="1:19" x14ac:dyDescent="0.25">
      <c r="A980" s="40">
        <f t="shared" si="186"/>
        <v>0</v>
      </c>
      <c r="B980" s="40">
        <f t="shared" si="187"/>
        <v>50</v>
      </c>
      <c r="C980" s="41">
        <f t="shared" si="180"/>
        <v>1.0313000000000001</v>
      </c>
      <c r="D980" s="41">
        <f t="shared" si="181"/>
        <v>0.88000000000000012</v>
      </c>
      <c r="E980" s="39">
        <f>IF(_xlfn.NORM.INV(R980,C980,'Regressão Grupo 2'!$B$7)&lt;=0,0,IF(_xlfn.NORM.INV(R980,C980,'Regressão Grupo 2'!$B$7)&gt;100%,100%,_xlfn.NORM.INV(R980,C980,'Regressão Grupo 2'!$B$7)))</f>
        <v>1</v>
      </c>
      <c r="F980" s="39">
        <f>IF(_xlfn.NORM.INV(S980,D980,'Regressão Grupo 2'!$B$7)&lt;=0,0,IF(_xlfn.NORM.INV(S980,D980,'Regressão Grupo 2'!$B$7)&gt;100%,100%,_xlfn.NORM.INV(S980,D980,'Regressão Grupo 2'!$B$7)))</f>
        <v>0.9653003315939741</v>
      </c>
      <c r="G980" s="41">
        <v>1.1755930094039605E-2</v>
      </c>
      <c r="H980" s="41">
        <v>2.5847058171507689E-2</v>
      </c>
      <c r="I980" s="40">
        <f t="shared" si="182"/>
        <v>0</v>
      </c>
      <c r="J980" s="40">
        <f t="shared" si="183"/>
        <v>499.00347647370216</v>
      </c>
      <c r="K980" s="36">
        <v>0.26154410104374359</v>
      </c>
      <c r="L980" s="42">
        <f t="shared" si="188"/>
        <v>0</v>
      </c>
      <c r="M980" s="42">
        <f t="shared" si="188"/>
        <v>20000</v>
      </c>
      <c r="N980" s="42">
        <f t="shared" si="184"/>
        <v>5230.8820208748721</v>
      </c>
      <c r="O980" s="36">
        <v>8.2368856931840249</v>
      </c>
      <c r="P980" s="42">
        <f t="shared" si="185"/>
        <v>15609.057206594909</v>
      </c>
      <c r="Q980" s="42"/>
      <c r="R980">
        <v>0.74053163243507192</v>
      </c>
      <c r="S980">
        <v>0.73134556108279669</v>
      </c>
    </row>
    <row r="981" spans="1:19" x14ac:dyDescent="0.25">
      <c r="A981" s="40">
        <f t="shared" si="186"/>
        <v>0</v>
      </c>
      <c r="B981" s="40">
        <f t="shared" si="187"/>
        <v>50</v>
      </c>
      <c r="C981" s="41">
        <f t="shared" si="180"/>
        <v>1.0313000000000001</v>
      </c>
      <c r="D981" s="41">
        <f t="shared" si="181"/>
        <v>0.88000000000000012</v>
      </c>
      <c r="E981" s="39">
        <f>IF(_xlfn.NORM.INV(R981,C981,'Regressão Grupo 2'!$B$7)&lt;=0,0,IF(_xlfn.NORM.INV(R981,C981,'Regressão Grupo 2'!$B$7)&gt;100%,100%,_xlfn.NORM.INV(R981,C981,'Regressão Grupo 2'!$B$7)))</f>
        <v>0.96040854627623817</v>
      </c>
      <c r="F981" s="39">
        <f>IF(_xlfn.NORM.INV(S981,D981,'Regressão Grupo 2'!$B$7)&lt;=0,0,IF(_xlfn.NORM.INV(S981,D981,'Regressão Grupo 2'!$B$7)&gt;100%,100%,_xlfn.NORM.INV(S981,D981,'Regressão Grupo 2'!$B$7)))</f>
        <v>0.8164307980470521</v>
      </c>
      <c r="G981" s="41">
        <v>2.5240722881679944E-2</v>
      </c>
      <c r="H981" s="41">
        <v>1.6506360475343065E-2</v>
      </c>
      <c r="I981" s="40">
        <f t="shared" si="182"/>
        <v>0</v>
      </c>
      <c r="J981" s="40">
        <f t="shared" si="183"/>
        <v>269.52602111473311</v>
      </c>
      <c r="K981" s="36">
        <v>0.17883385084545556</v>
      </c>
      <c r="L981" s="42">
        <f t="shared" si="188"/>
        <v>0</v>
      </c>
      <c r="M981" s="42">
        <f t="shared" si="188"/>
        <v>20000</v>
      </c>
      <c r="N981" s="42">
        <f t="shared" si="184"/>
        <v>3576.677016909111</v>
      </c>
      <c r="O981" s="36">
        <v>2.2991107277563843</v>
      </c>
      <c r="P981" s="42">
        <f t="shared" si="185"/>
        <v>9279.9538722731686</v>
      </c>
      <c r="Q981" s="42"/>
      <c r="R981">
        <v>0.30408642841883604</v>
      </c>
      <c r="S981">
        <v>0.32285531174657428</v>
      </c>
    </row>
    <row r="982" spans="1:19" x14ac:dyDescent="0.25">
      <c r="A982" s="40">
        <f t="shared" si="186"/>
        <v>0</v>
      </c>
      <c r="B982" s="40">
        <f t="shared" si="187"/>
        <v>50</v>
      </c>
      <c r="C982" s="41">
        <f t="shared" si="180"/>
        <v>1.0313000000000001</v>
      </c>
      <c r="D982" s="41">
        <f t="shared" si="181"/>
        <v>0.88000000000000012</v>
      </c>
      <c r="E982" s="39">
        <f>IF(_xlfn.NORM.INV(R982,C982,'Regressão Grupo 2'!$B$7)&lt;=0,0,IF(_xlfn.NORM.INV(R982,C982,'Regressão Grupo 2'!$B$7)&gt;100%,100%,_xlfn.NORM.INV(R982,C982,'Regressão Grupo 2'!$B$7)))</f>
        <v>1</v>
      </c>
      <c r="F982" s="39">
        <f>IF(_xlfn.NORM.INV(S982,D982,'Regressão Grupo 2'!$B$7)&lt;=0,0,IF(_xlfn.NORM.INV(S982,D982,'Regressão Grupo 2'!$B$7)&gt;100%,100%,_xlfn.NORM.INV(S982,D982,'Regressão Grupo 2'!$B$7)))</f>
        <v>1</v>
      </c>
      <c r="G982" s="41">
        <v>2.0709974103087024E-2</v>
      </c>
      <c r="H982" s="41">
        <v>2.5434265473287199E-2</v>
      </c>
      <c r="I982" s="40">
        <f t="shared" si="182"/>
        <v>0</v>
      </c>
      <c r="J982" s="40">
        <f t="shared" si="183"/>
        <v>508.68530946574396</v>
      </c>
      <c r="K982" s="36">
        <v>0.22391044696179566</v>
      </c>
      <c r="L982" s="42">
        <f t="shared" si="188"/>
        <v>0</v>
      </c>
      <c r="M982" s="42">
        <f t="shared" si="188"/>
        <v>20000</v>
      </c>
      <c r="N982" s="42">
        <f t="shared" si="184"/>
        <v>4478.208939235913</v>
      </c>
      <c r="O982" s="36">
        <v>6.6695530781340304</v>
      </c>
      <c r="P982" s="42">
        <f t="shared" si="185"/>
        <v>17563.35286250247</v>
      </c>
      <c r="Q982" s="42"/>
      <c r="R982">
        <v>0.43778801843317972</v>
      </c>
      <c r="S982">
        <v>0.93246253852961825</v>
      </c>
    </row>
    <row r="983" spans="1:19" x14ac:dyDescent="0.25">
      <c r="A983" s="40">
        <f t="shared" si="186"/>
        <v>0</v>
      </c>
      <c r="B983" s="40">
        <f t="shared" si="187"/>
        <v>50</v>
      </c>
      <c r="C983" s="41">
        <f t="shared" si="180"/>
        <v>1.0313000000000001</v>
      </c>
      <c r="D983" s="41">
        <f t="shared" si="181"/>
        <v>0.88000000000000012</v>
      </c>
      <c r="E983" s="39">
        <f>IF(_xlfn.NORM.INV(R983,C983,'Regressão Grupo 2'!$B$7)&lt;=0,0,IF(_xlfn.NORM.INV(R983,C983,'Regressão Grupo 2'!$B$7)&gt;100%,100%,_xlfn.NORM.INV(R983,C983,'Regressão Grupo 2'!$B$7)))</f>
        <v>0.98578388208469991</v>
      </c>
      <c r="F983" s="39">
        <f>IF(_xlfn.NORM.INV(S983,D983,'Regressão Grupo 2'!$B$7)&lt;=0,0,IF(_xlfn.NORM.INV(S983,D983,'Regressão Grupo 2'!$B$7)&gt;100%,100%,_xlfn.NORM.INV(S983,D983,'Regressão Grupo 2'!$B$7)))</f>
        <v>0.86781441437050644</v>
      </c>
      <c r="G983" s="41">
        <v>2.7517756098562357E-2</v>
      </c>
      <c r="H983" s="41">
        <v>1.9713746695080109E-2</v>
      </c>
      <c r="I983" s="40">
        <f t="shared" si="182"/>
        <v>0</v>
      </c>
      <c r="J983" s="40">
        <f t="shared" si="183"/>
        <v>342.15747086478905</v>
      </c>
      <c r="K983" s="36">
        <v>0.34840328956589817</v>
      </c>
      <c r="L983" s="42">
        <f t="shared" ref="L983:M998" si="189">L982</f>
        <v>0</v>
      </c>
      <c r="M983" s="42">
        <f t="shared" si="189"/>
        <v>20000</v>
      </c>
      <c r="N983" s="42">
        <f t="shared" si="184"/>
        <v>6968.065791317963</v>
      </c>
      <c r="O983" s="36">
        <v>5.8306223395917929</v>
      </c>
      <c r="P983" s="42">
        <f t="shared" si="185"/>
        <v>8144.8167586390236</v>
      </c>
      <c r="Q983" s="42"/>
      <c r="R983">
        <v>0.37101351969969787</v>
      </c>
      <c r="S983">
        <v>0.46488845484786523</v>
      </c>
    </row>
    <row r="984" spans="1:19" x14ac:dyDescent="0.25">
      <c r="A984" s="40">
        <f t="shared" si="186"/>
        <v>0</v>
      </c>
      <c r="B984" s="40">
        <f t="shared" si="187"/>
        <v>50</v>
      </c>
      <c r="C984" s="41">
        <f t="shared" si="180"/>
        <v>1.0313000000000001</v>
      </c>
      <c r="D984" s="41">
        <f t="shared" si="181"/>
        <v>0.88000000000000012</v>
      </c>
      <c r="E984" s="39">
        <f>IF(_xlfn.NORM.INV(R984,C984,'Regressão Grupo 2'!$B$7)&lt;=0,0,IF(_xlfn.NORM.INV(R984,C984,'Regressão Grupo 2'!$B$7)&gt;100%,100%,_xlfn.NORM.INV(R984,C984,'Regressão Grupo 2'!$B$7)))</f>
        <v>1</v>
      </c>
      <c r="F984" s="39">
        <f>IF(_xlfn.NORM.INV(S984,D984,'Regressão Grupo 2'!$B$7)&lt;=0,0,IF(_xlfn.NORM.INV(S984,D984,'Regressão Grupo 2'!$B$7)&gt;100%,100%,_xlfn.NORM.INV(S984,D984,'Regressão Grupo 2'!$B$7)))</f>
        <v>1</v>
      </c>
      <c r="G984" s="41">
        <v>2.6467982046535842E-2</v>
      </c>
      <c r="H984" s="41">
        <v>1.7159834357042401E-2</v>
      </c>
      <c r="I984" s="40">
        <f t="shared" si="182"/>
        <v>0</v>
      </c>
      <c r="J984" s="40">
        <f t="shared" si="183"/>
        <v>343.19668714084804</v>
      </c>
      <c r="K984" s="36">
        <v>0.46220267860578429</v>
      </c>
      <c r="L984" s="42">
        <f t="shared" si="189"/>
        <v>0</v>
      </c>
      <c r="M984" s="42">
        <f t="shared" si="189"/>
        <v>20000</v>
      </c>
      <c r="N984" s="42">
        <f t="shared" si="184"/>
        <v>9244.0535721156866</v>
      </c>
      <c r="O984" s="36">
        <v>4.0802377558960909</v>
      </c>
      <c r="P984" s="42">
        <f t="shared" si="185"/>
        <v>6515.4567043561674</v>
      </c>
      <c r="Q984" s="42"/>
      <c r="R984">
        <v>0.92272713400677508</v>
      </c>
      <c r="S984">
        <v>0.92623676259651477</v>
      </c>
    </row>
    <row r="985" spans="1:19" x14ac:dyDescent="0.25">
      <c r="A985" s="40">
        <f t="shared" si="186"/>
        <v>0</v>
      </c>
      <c r="B985" s="40">
        <f t="shared" si="187"/>
        <v>50</v>
      </c>
      <c r="C985" s="41">
        <f t="shared" si="180"/>
        <v>1.0313000000000001</v>
      </c>
      <c r="D985" s="41">
        <f t="shared" si="181"/>
        <v>0.88000000000000012</v>
      </c>
      <c r="E985" s="39">
        <f>IF(_xlfn.NORM.INV(R985,C985,'Regressão Grupo 2'!$B$7)&lt;=0,0,IF(_xlfn.NORM.INV(R985,C985,'Regressão Grupo 2'!$B$7)&gt;100%,100%,_xlfn.NORM.INV(R985,C985,'Regressão Grupo 2'!$B$7)))</f>
        <v>1</v>
      </c>
      <c r="F985" s="39">
        <f>IF(_xlfn.NORM.INV(S985,D985,'Regressão Grupo 2'!$B$7)&lt;=0,0,IF(_xlfn.NORM.INV(S985,D985,'Regressão Grupo 2'!$B$7)&gt;100%,100%,_xlfn.NORM.INV(S985,D985,'Regressão Grupo 2'!$B$7)))</f>
        <v>0.84026351195874505</v>
      </c>
      <c r="G985" s="41">
        <v>1.1275719806168332E-2</v>
      </c>
      <c r="H985" s="41">
        <v>1.678704333333977E-2</v>
      </c>
      <c r="I985" s="40">
        <f t="shared" si="182"/>
        <v>0</v>
      </c>
      <c r="J985" s="40">
        <f t="shared" si="183"/>
        <v>282.11079973351428</v>
      </c>
      <c r="K985" s="36">
        <v>0.18094124450269783</v>
      </c>
      <c r="L985" s="42">
        <f t="shared" si="189"/>
        <v>0</v>
      </c>
      <c r="M985" s="42">
        <f t="shared" si="189"/>
        <v>20000</v>
      </c>
      <c r="N985" s="42">
        <f t="shared" si="184"/>
        <v>3618.8248900539566</v>
      </c>
      <c r="O985" s="36">
        <v>7.0060991503768921</v>
      </c>
      <c r="P985" s="42">
        <f t="shared" si="185"/>
        <v>8510.2188622966369</v>
      </c>
      <c r="Q985" s="42"/>
      <c r="R985">
        <v>0.4991302224799341</v>
      </c>
      <c r="S985">
        <v>0.3869136631366924</v>
      </c>
    </row>
    <row r="986" spans="1:19" x14ac:dyDescent="0.25">
      <c r="A986" s="40">
        <f t="shared" si="186"/>
        <v>0</v>
      </c>
      <c r="B986" s="40">
        <f t="shared" si="187"/>
        <v>50</v>
      </c>
      <c r="C986" s="41">
        <f t="shared" si="180"/>
        <v>1.0313000000000001</v>
      </c>
      <c r="D986" s="41">
        <f t="shared" si="181"/>
        <v>0.88000000000000012</v>
      </c>
      <c r="E986" s="39">
        <f>IF(_xlfn.NORM.INV(R986,C986,'Regressão Grupo 2'!$B$7)&lt;=0,0,IF(_xlfn.NORM.INV(R986,C986,'Regressão Grupo 2'!$B$7)&gt;100%,100%,_xlfn.NORM.INV(R986,C986,'Regressão Grupo 2'!$B$7)))</f>
        <v>0.97173717355234468</v>
      </c>
      <c r="F986" s="39">
        <f>IF(_xlfn.NORM.INV(S986,D986,'Regressão Grupo 2'!$B$7)&lt;=0,0,IF(_xlfn.NORM.INV(S986,D986,'Regressão Grupo 2'!$B$7)&gt;100%,100%,_xlfn.NORM.INV(S986,D986,'Regressão Grupo 2'!$B$7)))</f>
        <v>1</v>
      </c>
      <c r="G986" s="41">
        <v>1.7281348892122107E-2</v>
      </c>
      <c r="H986" s="41">
        <v>1.8493021434937567E-2</v>
      </c>
      <c r="I986" s="40">
        <f t="shared" si="182"/>
        <v>0</v>
      </c>
      <c r="J986" s="40">
        <f t="shared" si="183"/>
        <v>369.86042869875132</v>
      </c>
      <c r="K986" s="36">
        <v>0.22178752400811966</v>
      </c>
      <c r="L986" s="42">
        <f t="shared" si="189"/>
        <v>0</v>
      </c>
      <c r="M986" s="42">
        <f t="shared" si="189"/>
        <v>20000</v>
      </c>
      <c r="N986" s="42">
        <f t="shared" si="184"/>
        <v>4435.7504801623927</v>
      </c>
      <c r="O986" s="36">
        <v>5.6499747931994007</v>
      </c>
      <c r="P986" s="42">
        <f t="shared" si="185"/>
        <v>11967.568855625306</v>
      </c>
      <c r="Q986" s="42"/>
      <c r="R986">
        <v>0.33332316049684135</v>
      </c>
      <c r="S986">
        <v>0.87722403637806334</v>
      </c>
    </row>
    <row r="987" spans="1:19" x14ac:dyDescent="0.25">
      <c r="A987" s="40">
        <f t="shared" si="186"/>
        <v>0</v>
      </c>
      <c r="B987" s="40">
        <f t="shared" si="187"/>
        <v>50</v>
      </c>
      <c r="C987" s="41">
        <f t="shared" si="180"/>
        <v>1.0313000000000001</v>
      </c>
      <c r="D987" s="41">
        <f t="shared" si="181"/>
        <v>0.88000000000000012</v>
      </c>
      <c r="E987" s="39">
        <f>IF(_xlfn.NORM.INV(R987,C987,'Regressão Grupo 2'!$B$7)&lt;=0,0,IF(_xlfn.NORM.INV(R987,C987,'Regressão Grupo 2'!$B$7)&gt;100%,100%,_xlfn.NORM.INV(R987,C987,'Regressão Grupo 2'!$B$7)))</f>
        <v>1</v>
      </c>
      <c r="F987" s="39">
        <f>IF(_xlfn.NORM.INV(S987,D987,'Regressão Grupo 2'!$B$7)&lt;=0,0,IF(_xlfn.NORM.INV(S987,D987,'Regressão Grupo 2'!$B$7)&gt;100%,100%,_xlfn.NORM.INV(S987,D987,'Regressão Grupo 2'!$B$7)))</f>
        <v>0.87459862753874162</v>
      </c>
      <c r="G987" s="41">
        <v>7.4008926136775567E-3</v>
      </c>
      <c r="H987" s="41">
        <v>2.117621097876491E-2</v>
      </c>
      <c r="I987" s="40">
        <f t="shared" si="182"/>
        <v>0</v>
      </c>
      <c r="J987" s="40">
        <f t="shared" si="183"/>
        <v>370.41370116997251</v>
      </c>
      <c r="K987" s="36">
        <v>0.39589793364627091</v>
      </c>
      <c r="L987" s="42">
        <f t="shared" si="189"/>
        <v>0</v>
      </c>
      <c r="M987" s="42">
        <f t="shared" si="189"/>
        <v>20000</v>
      </c>
      <c r="N987" s="42">
        <f t="shared" si="184"/>
        <v>7917.9586729254179</v>
      </c>
      <c r="O987" s="36">
        <v>7.658647897912461</v>
      </c>
      <c r="P987" s="42">
        <f t="shared" si="185"/>
        <v>7765.8582717498221</v>
      </c>
      <c r="Q987" s="42"/>
      <c r="R987">
        <v>0.95910519730216381</v>
      </c>
      <c r="S987">
        <v>0.48442030091250343</v>
      </c>
    </row>
    <row r="988" spans="1:19" x14ac:dyDescent="0.25">
      <c r="A988" s="40">
        <f t="shared" si="186"/>
        <v>0</v>
      </c>
      <c r="B988" s="40">
        <f t="shared" si="187"/>
        <v>50</v>
      </c>
      <c r="C988" s="41">
        <f t="shared" si="180"/>
        <v>1.0313000000000001</v>
      </c>
      <c r="D988" s="41">
        <f t="shared" si="181"/>
        <v>0.88000000000000012</v>
      </c>
      <c r="E988" s="39">
        <f>IF(_xlfn.NORM.INV(R988,C988,'Regressão Grupo 2'!$B$7)&lt;=0,0,IF(_xlfn.NORM.INV(R988,C988,'Regressão Grupo 2'!$B$7)&gt;100%,100%,_xlfn.NORM.INV(R988,C988,'Regressão Grupo 2'!$B$7)))</f>
        <v>0.98193562293320924</v>
      </c>
      <c r="F988" s="39">
        <f>IF(_xlfn.NORM.INV(S988,D988,'Regressão Grupo 2'!$B$7)&lt;=0,0,IF(_xlfn.NORM.INV(S988,D988,'Regressão Grupo 2'!$B$7)&gt;100%,100%,_xlfn.NORM.INV(S988,D988,'Regressão Grupo 2'!$B$7)))</f>
        <v>0.90800476894425175</v>
      </c>
      <c r="G988" s="41">
        <v>2.1958698239806604E-2</v>
      </c>
      <c r="H988" s="41">
        <v>2.2712580237331408E-2</v>
      </c>
      <c r="I988" s="40">
        <f t="shared" si="182"/>
        <v>0</v>
      </c>
      <c r="J988" s="40">
        <f t="shared" si="183"/>
        <v>412.46262341051766</v>
      </c>
      <c r="K988" s="36">
        <v>0.28171776230888879</v>
      </c>
      <c r="L988" s="42">
        <f t="shared" si="189"/>
        <v>0</v>
      </c>
      <c r="M988" s="42">
        <f t="shared" si="189"/>
        <v>20000</v>
      </c>
      <c r="N988" s="42">
        <f t="shared" si="184"/>
        <v>5634.3552461777754</v>
      </c>
      <c r="O988" s="36">
        <v>10.428223802940678</v>
      </c>
      <c r="P988" s="42">
        <f t="shared" si="185"/>
        <v>10687.523377075191</v>
      </c>
      <c r="Q988" s="42"/>
      <c r="R988">
        <v>0.36054567094943085</v>
      </c>
      <c r="S988">
        <v>0.58024842066713467</v>
      </c>
    </row>
    <row r="989" spans="1:19" x14ac:dyDescent="0.25">
      <c r="A989" s="40">
        <f t="shared" si="186"/>
        <v>0</v>
      </c>
      <c r="B989" s="40">
        <f t="shared" si="187"/>
        <v>50</v>
      </c>
      <c r="C989" s="41">
        <f t="shared" si="180"/>
        <v>1.0313000000000001</v>
      </c>
      <c r="D989" s="41">
        <f t="shared" si="181"/>
        <v>0.88000000000000012</v>
      </c>
      <c r="E989" s="39">
        <f>IF(_xlfn.NORM.INV(R989,C989,'Regressão Grupo 2'!$B$7)&lt;=0,0,IF(_xlfn.NORM.INV(R989,C989,'Regressão Grupo 2'!$B$7)&gt;100%,100%,_xlfn.NORM.INV(R989,C989,'Regressão Grupo 2'!$B$7)))</f>
        <v>0.94372336818216307</v>
      </c>
      <c r="F989" s="39">
        <f>IF(_xlfn.NORM.INV(S989,D989,'Regressão Grupo 2'!$B$7)&lt;=0,0,IF(_xlfn.NORM.INV(S989,D989,'Regressão Grupo 2'!$B$7)&gt;100%,100%,_xlfn.NORM.INV(S989,D989,'Regressão Grupo 2'!$B$7)))</f>
        <v>0.61880708725077227</v>
      </c>
      <c r="G989" s="41">
        <v>2.2582880439370318E-2</v>
      </c>
      <c r="H989" s="41">
        <v>2.005012677910837E-2</v>
      </c>
      <c r="I989" s="40">
        <f t="shared" si="182"/>
        <v>0</v>
      </c>
      <c r="J989" s="40">
        <f t="shared" si="183"/>
        <v>248.14321102377517</v>
      </c>
      <c r="K989" s="36">
        <v>0.27826801381302346</v>
      </c>
      <c r="L989" s="42">
        <f t="shared" si="189"/>
        <v>0</v>
      </c>
      <c r="M989" s="42">
        <f t="shared" si="189"/>
        <v>20000</v>
      </c>
      <c r="N989" s="42">
        <f t="shared" si="184"/>
        <v>5565.3602762604696</v>
      </c>
      <c r="O989" s="36">
        <v>5.1958505872191925</v>
      </c>
      <c r="P989" s="42">
        <f t="shared" si="185"/>
        <v>5552.4852262159493</v>
      </c>
      <c r="Q989" s="42"/>
      <c r="R989">
        <v>0.26325266273995179</v>
      </c>
      <c r="S989">
        <v>2.945036164433729E-2</v>
      </c>
    </row>
    <row r="990" spans="1:19" x14ac:dyDescent="0.25">
      <c r="A990" s="40">
        <f t="shared" si="186"/>
        <v>0</v>
      </c>
      <c r="B990" s="40">
        <f t="shared" si="187"/>
        <v>50</v>
      </c>
      <c r="C990" s="41">
        <f t="shared" si="180"/>
        <v>1.0313000000000001</v>
      </c>
      <c r="D990" s="41">
        <f t="shared" si="181"/>
        <v>0.88000000000000012</v>
      </c>
      <c r="E990" s="39">
        <f>IF(_xlfn.NORM.INV(R990,C990,'Regressão Grupo 2'!$B$7)&lt;=0,0,IF(_xlfn.NORM.INV(R990,C990,'Regressão Grupo 2'!$B$7)&gt;100%,100%,_xlfn.NORM.INV(R990,C990,'Regressão Grupo 2'!$B$7)))</f>
        <v>0.94280359943860614</v>
      </c>
      <c r="F990" s="39">
        <f>IF(_xlfn.NORM.INV(S990,D990,'Regressão Grupo 2'!$B$7)&lt;=0,0,IF(_xlfn.NORM.INV(S990,D990,'Regressão Grupo 2'!$B$7)&gt;100%,100%,_xlfn.NORM.INV(S990,D990,'Regressão Grupo 2'!$B$7)))</f>
        <v>0.89636505590522109</v>
      </c>
      <c r="G990" s="41">
        <v>2.744683588688168E-3</v>
      </c>
      <c r="H990" s="41">
        <v>1.892464649117194E-2</v>
      </c>
      <c r="I990" s="40">
        <f t="shared" si="182"/>
        <v>0</v>
      </c>
      <c r="J990" s="40">
        <f t="shared" si="183"/>
        <v>339.26783620091766</v>
      </c>
      <c r="K990" s="36">
        <v>0.38249658062005598</v>
      </c>
      <c r="L990" s="42">
        <f t="shared" si="189"/>
        <v>0</v>
      </c>
      <c r="M990" s="42">
        <f t="shared" si="189"/>
        <v>20000</v>
      </c>
      <c r="N990" s="42">
        <f t="shared" si="184"/>
        <v>7649.9316124011193</v>
      </c>
      <c r="O990" s="36">
        <v>6.3406969901106596</v>
      </c>
      <c r="P990" s="42">
        <f t="shared" si="185"/>
        <v>7162.2656498042497</v>
      </c>
      <c r="Q990" s="42"/>
      <c r="R990">
        <v>0.261085848567156</v>
      </c>
      <c r="S990">
        <v>0.54710531937620166</v>
      </c>
    </row>
    <row r="991" spans="1:19" x14ac:dyDescent="0.25">
      <c r="A991" s="40">
        <f t="shared" si="186"/>
        <v>0</v>
      </c>
      <c r="B991" s="40">
        <f t="shared" si="187"/>
        <v>50</v>
      </c>
      <c r="C991" s="41">
        <f t="shared" si="180"/>
        <v>1.0313000000000001</v>
      </c>
      <c r="D991" s="41">
        <f t="shared" si="181"/>
        <v>0.88000000000000012</v>
      </c>
      <c r="E991" s="39">
        <f>IF(_xlfn.NORM.INV(R991,C991,'Regressão Grupo 2'!$B$7)&lt;=0,0,IF(_xlfn.NORM.INV(R991,C991,'Regressão Grupo 2'!$B$7)&gt;100%,100%,_xlfn.NORM.INV(R991,C991,'Regressão Grupo 2'!$B$7)))</f>
        <v>1</v>
      </c>
      <c r="F991" s="39">
        <f>IF(_xlfn.NORM.INV(S991,D991,'Regressão Grupo 2'!$B$7)&lt;=0,0,IF(_xlfn.NORM.INV(S991,D991,'Regressão Grupo 2'!$B$7)&gt;100%,100%,_xlfn.NORM.INV(S991,D991,'Regressão Grupo 2'!$B$7)))</f>
        <v>0.76339225608778127</v>
      </c>
      <c r="G991" s="41">
        <v>1.4717449738235404E-2</v>
      </c>
      <c r="H991" s="41">
        <v>1.4707188092493486E-2</v>
      </c>
      <c r="I991" s="40">
        <f t="shared" si="182"/>
        <v>0</v>
      </c>
      <c r="J991" s="40">
        <f t="shared" si="183"/>
        <v>224.5470699727191</v>
      </c>
      <c r="K991" s="36">
        <v>0.28112387379466636</v>
      </c>
      <c r="L991" s="42">
        <f t="shared" si="189"/>
        <v>0</v>
      </c>
      <c r="M991" s="42">
        <f t="shared" si="189"/>
        <v>20000</v>
      </c>
      <c r="N991" s="42">
        <f t="shared" si="184"/>
        <v>5622.4774758933272</v>
      </c>
      <c r="O991" s="36">
        <v>3.4300440984542093</v>
      </c>
      <c r="P991" s="42">
        <f t="shared" si="185"/>
        <v>4834.6696705575196</v>
      </c>
      <c r="Q991" s="42"/>
      <c r="R991">
        <v>0.53099154637287516</v>
      </c>
      <c r="S991">
        <v>0.19953001495406963</v>
      </c>
    </row>
    <row r="992" spans="1:19" x14ac:dyDescent="0.25">
      <c r="A992" s="40">
        <f t="shared" si="186"/>
        <v>0</v>
      </c>
      <c r="B992" s="40">
        <f t="shared" si="187"/>
        <v>50</v>
      </c>
      <c r="C992" s="41">
        <f t="shared" si="180"/>
        <v>1.0313000000000001</v>
      </c>
      <c r="D992" s="41">
        <f t="shared" si="181"/>
        <v>0.88000000000000012</v>
      </c>
      <c r="E992" s="39">
        <f>IF(_xlfn.NORM.INV(R992,C992,'Regressão Grupo 2'!$B$7)&lt;=0,0,IF(_xlfn.NORM.INV(R992,C992,'Regressão Grupo 2'!$B$7)&gt;100%,100%,_xlfn.NORM.INV(R992,C992,'Regressão Grupo 2'!$B$7)))</f>
        <v>0.99464056598835016</v>
      </c>
      <c r="F992" s="39">
        <f>IF(_xlfn.NORM.INV(S992,D992,'Regressão Grupo 2'!$B$7)&lt;=0,0,IF(_xlfn.NORM.INV(S992,D992,'Regressão Grupo 2'!$B$7)&gt;100%,100%,_xlfn.NORM.INV(S992,D992,'Regressão Grupo 2'!$B$7)))</f>
        <v>0.88587777260116485</v>
      </c>
      <c r="G992" s="41">
        <v>2.4285104956501817E-2</v>
      </c>
      <c r="H992" s="41">
        <v>1.2350680180402175E-2</v>
      </c>
      <c r="I992" s="40">
        <f t="shared" si="182"/>
        <v>0</v>
      </c>
      <c r="J992" s="40">
        <f t="shared" si="183"/>
        <v>218.82386096648065</v>
      </c>
      <c r="K992" s="36">
        <v>0.22837981030627405</v>
      </c>
      <c r="L992" s="42">
        <f t="shared" si="189"/>
        <v>0</v>
      </c>
      <c r="M992" s="42">
        <f t="shared" si="189"/>
        <v>20000</v>
      </c>
      <c r="N992" s="42">
        <f t="shared" si="184"/>
        <v>4567.5962061254813</v>
      </c>
      <c r="O992" s="36">
        <v>5.4910576213984079</v>
      </c>
      <c r="P992" s="42">
        <f t="shared" si="185"/>
        <v>5172.0224126947323</v>
      </c>
      <c r="Q992" s="42"/>
      <c r="R992">
        <v>0.39545884578997159</v>
      </c>
      <c r="S992">
        <v>0.5169530320139164</v>
      </c>
    </row>
    <row r="993" spans="1:19" x14ac:dyDescent="0.25">
      <c r="A993" s="40">
        <f t="shared" si="186"/>
        <v>0</v>
      </c>
      <c r="B993" s="40">
        <f t="shared" si="187"/>
        <v>50</v>
      </c>
      <c r="C993" s="41">
        <f t="shared" si="180"/>
        <v>1.0313000000000001</v>
      </c>
      <c r="D993" s="41">
        <f t="shared" si="181"/>
        <v>0.88000000000000012</v>
      </c>
      <c r="E993" s="39">
        <f>IF(_xlfn.NORM.INV(R993,C993,'Regressão Grupo 2'!$B$7)&lt;=0,0,IF(_xlfn.NORM.INV(R993,C993,'Regressão Grupo 2'!$B$7)&gt;100%,100%,_xlfn.NORM.INV(R993,C993,'Regressão Grupo 2'!$B$7)))</f>
        <v>1</v>
      </c>
      <c r="F993" s="39">
        <f>IF(_xlfn.NORM.INV(S993,D993,'Regressão Grupo 2'!$B$7)&lt;=0,0,IF(_xlfn.NORM.INV(S993,D993,'Regressão Grupo 2'!$B$7)&gt;100%,100%,_xlfn.NORM.INV(S993,D993,'Regressão Grupo 2'!$B$7)))</f>
        <v>1</v>
      </c>
      <c r="G993" s="41">
        <v>1.9011864245618078E-2</v>
      </c>
      <c r="H993" s="41">
        <v>1.7290607174812973E-2</v>
      </c>
      <c r="I993" s="40">
        <f t="shared" si="182"/>
        <v>0</v>
      </c>
      <c r="J993" s="40">
        <f t="shared" si="183"/>
        <v>345.81214349625947</v>
      </c>
      <c r="K993" s="36">
        <v>0.3090055450125907</v>
      </c>
      <c r="L993" s="42">
        <f t="shared" si="189"/>
        <v>0</v>
      </c>
      <c r="M993" s="42">
        <f t="shared" si="189"/>
        <v>20000</v>
      </c>
      <c r="N993" s="42">
        <f t="shared" si="184"/>
        <v>6180.1109002518142</v>
      </c>
      <c r="O993" s="36">
        <v>3.5335523657090206</v>
      </c>
      <c r="P993" s="42">
        <f t="shared" si="185"/>
        <v>9888.5509568190428</v>
      </c>
      <c r="Q993" s="42"/>
      <c r="R993">
        <v>0.58259834589678638</v>
      </c>
      <c r="S993">
        <v>0.92098757896664329</v>
      </c>
    </row>
    <row r="994" spans="1:19" x14ac:dyDescent="0.25">
      <c r="A994" s="40">
        <f t="shared" si="186"/>
        <v>0</v>
      </c>
      <c r="B994" s="40">
        <f t="shared" si="187"/>
        <v>50</v>
      </c>
      <c r="C994" s="41">
        <f t="shared" si="180"/>
        <v>1.0313000000000001</v>
      </c>
      <c r="D994" s="41">
        <f t="shared" si="181"/>
        <v>0.88000000000000012</v>
      </c>
      <c r="E994" s="39">
        <f>IF(_xlfn.NORM.INV(R994,C994,'Regressão Grupo 2'!$B$7)&lt;=0,0,IF(_xlfn.NORM.INV(R994,C994,'Regressão Grupo 2'!$B$7)&gt;100%,100%,_xlfn.NORM.INV(R994,C994,'Regressão Grupo 2'!$B$7)))</f>
        <v>0.96778957672229404</v>
      </c>
      <c r="F994" s="39">
        <f>IF(_xlfn.NORM.INV(S994,D994,'Regressão Grupo 2'!$B$7)&lt;=0,0,IF(_xlfn.NORM.INV(S994,D994,'Regressão Grupo 2'!$B$7)&gt;100%,100%,_xlfn.NORM.INV(S994,D994,'Regressão Grupo 2'!$B$7)))</f>
        <v>0.80614864228481897</v>
      </c>
      <c r="G994" s="41">
        <v>2.0571559631342023E-2</v>
      </c>
      <c r="H994" s="41">
        <v>2.1116857892115114E-2</v>
      </c>
      <c r="I994" s="40">
        <f t="shared" si="182"/>
        <v>0</v>
      </c>
      <c r="J994" s="40">
        <f t="shared" si="183"/>
        <v>340.46652638100124</v>
      </c>
      <c r="K994" s="36">
        <v>0.3716796317601434</v>
      </c>
      <c r="L994" s="42">
        <f t="shared" si="189"/>
        <v>0</v>
      </c>
      <c r="M994" s="42">
        <f t="shared" si="189"/>
        <v>20000</v>
      </c>
      <c r="N994" s="42">
        <f t="shared" si="184"/>
        <v>7433.5926352028682</v>
      </c>
      <c r="O994" s="36">
        <v>7.2619153495992901</v>
      </c>
      <c r="P994" s="42">
        <f t="shared" si="185"/>
        <v>7117.2945898962489</v>
      </c>
      <c r="Q994" s="42"/>
      <c r="R994">
        <v>0.32300790429395426</v>
      </c>
      <c r="S994">
        <v>0.29663991210669272</v>
      </c>
    </row>
    <row r="995" spans="1:19" x14ac:dyDescent="0.25">
      <c r="A995" s="40">
        <f t="shared" si="186"/>
        <v>0</v>
      </c>
      <c r="B995" s="40">
        <f t="shared" si="187"/>
        <v>50</v>
      </c>
      <c r="C995" s="41">
        <f t="shared" si="180"/>
        <v>1.0313000000000001</v>
      </c>
      <c r="D995" s="41">
        <f t="shared" si="181"/>
        <v>0.88000000000000012</v>
      </c>
      <c r="E995" s="39">
        <f>IF(_xlfn.NORM.INV(R995,C995,'Regressão Grupo 2'!$B$7)&lt;=0,0,IF(_xlfn.NORM.INV(R995,C995,'Regressão Grupo 2'!$B$7)&gt;100%,100%,_xlfn.NORM.INV(R995,C995,'Regressão Grupo 2'!$B$7)))</f>
        <v>0.79375923662823222</v>
      </c>
      <c r="F995" s="39">
        <f>IF(_xlfn.NORM.INV(S995,D995,'Regressão Grupo 2'!$B$7)&lt;=0,0,IF(_xlfn.NORM.INV(S995,D995,'Regressão Grupo 2'!$B$7)&gt;100%,100%,_xlfn.NORM.INV(S995,D995,'Regressão Grupo 2'!$B$7)))</f>
        <v>0.9458588341276043</v>
      </c>
      <c r="G995" s="41">
        <v>2.2575547916707503E-2</v>
      </c>
      <c r="H995" s="41">
        <v>1.0098967181171216E-2</v>
      </c>
      <c r="I995" s="40">
        <f t="shared" si="182"/>
        <v>0</v>
      </c>
      <c r="J995" s="40">
        <f t="shared" si="183"/>
        <v>191.0439464775109</v>
      </c>
      <c r="K995" s="36">
        <v>0.30324393337737304</v>
      </c>
      <c r="L995" s="42">
        <f t="shared" si="189"/>
        <v>0</v>
      </c>
      <c r="M995" s="42">
        <f t="shared" si="189"/>
        <v>20000</v>
      </c>
      <c r="N995" s="42">
        <f t="shared" si="184"/>
        <v>6064.8786675474612</v>
      </c>
      <c r="O995" s="36">
        <v>4.7241356222445976</v>
      </c>
      <c r="P995" s="42">
        <f t="shared" si="185"/>
        <v>2584.8011433594847</v>
      </c>
      <c r="Q995" s="42"/>
      <c r="R995">
        <v>4.2909024323252054E-2</v>
      </c>
      <c r="S995">
        <v>0.68306527909176917</v>
      </c>
    </row>
    <row r="996" spans="1:19" x14ac:dyDescent="0.25">
      <c r="A996" s="40">
        <f t="shared" si="186"/>
        <v>0</v>
      </c>
      <c r="B996" s="40">
        <f t="shared" si="187"/>
        <v>50</v>
      </c>
      <c r="C996" s="41">
        <f t="shared" si="180"/>
        <v>1.0313000000000001</v>
      </c>
      <c r="D996" s="41">
        <f t="shared" si="181"/>
        <v>0.88000000000000012</v>
      </c>
      <c r="E996" s="39">
        <f>IF(_xlfn.NORM.INV(R996,C996,'Regressão Grupo 2'!$B$7)&lt;=0,0,IF(_xlfn.NORM.INV(R996,C996,'Regressão Grupo 2'!$B$7)&gt;100%,100%,_xlfn.NORM.INV(R996,C996,'Regressão Grupo 2'!$B$7)))</f>
        <v>1</v>
      </c>
      <c r="F996" s="39">
        <f>IF(_xlfn.NORM.INV(S996,D996,'Regressão Grupo 2'!$B$7)&lt;=0,0,IF(_xlfn.NORM.INV(S996,D996,'Regressão Grupo 2'!$B$7)&gt;100%,100%,_xlfn.NORM.INV(S996,D996,'Regressão Grupo 2'!$B$7)))</f>
        <v>0.82203488067696528</v>
      </c>
      <c r="G996" s="41">
        <v>2.6544409583394671E-2</v>
      </c>
      <c r="H996" s="41">
        <v>9.6314154212801418E-3</v>
      </c>
      <c r="I996" s="40">
        <f t="shared" si="182"/>
        <v>0</v>
      </c>
      <c r="J996" s="40">
        <f t="shared" si="183"/>
        <v>158.34718853164608</v>
      </c>
      <c r="K996" s="36">
        <v>0.33185414269928448</v>
      </c>
      <c r="L996" s="42">
        <f t="shared" si="189"/>
        <v>0</v>
      </c>
      <c r="M996" s="42">
        <f t="shared" si="189"/>
        <v>20000</v>
      </c>
      <c r="N996" s="42">
        <f t="shared" si="184"/>
        <v>6637.0828539856893</v>
      </c>
      <c r="O996" s="36">
        <v>2.9955060234749782</v>
      </c>
      <c r="P996" s="42">
        <f t="shared" si="185"/>
        <v>805.94661554974118</v>
      </c>
      <c r="Q996" s="42"/>
      <c r="R996">
        <v>0.98461867122409741</v>
      </c>
      <c r="S996">
        <v>0.33753471480452896</v>
      </c>
    </row>
    <row r="997" spans="1:19" x14ac:dyDescent="0.25">
      <c r="A997" s="40">
        <f t="shared" si="186"/>
        <v>0</v>
      </c>
      <c r="B997" s="40">
        <f t="shared" si="187"/>
        <v>50</v>
      </c>
      <c r="C997" s="41">
        <f t="shared" si="180"/>
        <v>1.0313000000000001</v>
      </c>
      <c r="D997" s="41">
        <f t="shared" si="181"/>
        <v>0.88000000000000012</v>
      </c>
      <c r="E997" s="39">
        <f>IF(_xlfn.NORM.INV(R997,C997,'Regressão Grupo 2'!$B$7)&lt;=0,0,IF(_xlfn.NORM.INV(R997,C997,'Regressão Grupo 2'!$B$7)&gt;100%,100%,_xlfn.NORM.INV(R997,C997,'Regressão Grupo 2'!$B$7)))</f>
        <v>0.9318345477317993</v>
      </c>
      <c r="F997" s="39">
        <f>IF(_xlfn.NORM.INV(S997,D997,'Regressão Grupo 2'!$B$7)&lt;=0,0,IF(_xlfn.NORM.INV(S997,D997,'Regressão Grupo 2'!$B$7)&gt;100%,100%,_xlfn.NORM.INV(S997,D997,'Regressão Grupo 2'!$B$7)))</f>
        <v>1</v>
      </c>
      <c r="G997" s="41">
        <v>9.7913546546301647E-3</v>
      </c>
      <c r="H997" s="41">
        <v>2.4753807085850895E-2</v>
      </c>
      <c r="I997" s="40">
        <f t="shared" si="182"/>
        <v>0</v>
      </c>
      <c r="J997" s="40">
        <f t="shared" si="183"/>
        <v>495.07614171701789</v>
      </c>
      <c r="K997" s="36">
        <v>0.19140340686517138</v>
      </c>
      <c r="L997" s="42">
        <f t="shared" si="189"/>
        <v>0</v>
      </c>
      <c r="M997" s="42">
        <f t="shared" si="189"/>
        <v>20000</v>
      </c>
      <c r="N997" s="42">
        <f t="shared" si="184"/>
        <v>3828.0681373034276</v>
      </c>
      <c r="O997" s="36">
        <v>5.8168126188651419</v>
      </c>
      <c r="P997" s="42">
        <f t="shared" si="185"/>
        <v>18045.973800108852</v>
      </c>
      <c r="Q997" s="42"/>
      <c r="R997">
        <v>0.2359691152684103</v>
      </c>
      <c r="S997">
        <v>0.97906430249946597</v>
      </c>
    </row>
    <row r="998" spans="1:19" x14ac:dyDescent="0.25">
      <c r="A998" s="40">
        <f t="shared" si="186"/>
        <v>0</v>
      </c>
      <c r="B998" s="40">
        <f t="shared" si="187"/>
        <v>50</v>
      </c>
      <c r="C998" s="41">
        <f t="shared" si="180"/>
        <v>1.0313000000000001</v>
      </c>
      <c r="D998" s="41">
        <f t="shared" si="181"/>
        <v>0.88000000000000012</v>
      </c>
      <c r="E998" s="39">
        <f>IF(_xlfn.NORM.INV(R998,C998,'Regressão Grupo 2'!$B$7)&lt;=0,0,IF(_xlfn.NORM.INV(R998,C998,'Regressão Grupo 2'!$B$7)&gt;100%,100%,_xlfn.NORM.INV(R998,C998,'Regressão Grupo 2'!$B$7)))</f>
        <v>0.66932552780519505</v>
      </c>
      <c r="F998" s="39">
        <f>IF(_xlfn.NORM.INV(S998,D998,'Regressão Grupo 2'!$B$7)&lt;=0,0,IF(_xlfn.NORM.INV(S998,D998,'Regressão Grupo 2'!$B$7)&gt;100%,100%,_xlfn.NORM.INV(S998,D998,'Regressão Grupo 2'!$B$7)))</f>
        <v>1</v>
      </c>
      <c r="G998" s="41">
        <v>2.6360543696482785E-2</v>
      </c>
      <c r="H998" s="41">
        <v>1.1446637802728228E-2</v>
      </c>
      <c r="I998" s="40">
        <f t="shared" si="182"/>
        <v>0</v>
      </c>
      <c r="J998" s="40">
        <f t="shared" si="183"/>
        <v>228.93275605456458</v>
      </c>
      <c r="K998" s="36">
        <v>0.33436303811713802</v>
      </c>
      <c r="L998" s="42">
        <f t="shared" si="189"/>
        <v>0</v>
      </c>
      <c r="M998" s="42">
        <f t="shared" si="189"/>
        <v>20000</v>
      </c>
      <c r="N998" s="42">
        <f t="shared" si="184"/>
        <v>6687.2607623427602</v>
      </c>
      <c r="O998" s="36">
        <v>9.2656219070049755</v>
      </c>
      <c r="P998" s="42">
        <f t="shared" si="185"/>
        <v>2638.1726806552679</v>
      </c>
      <c r="Q998" s="42"/>
      <c r="R998">
        <v>4.4251838740195929E-3</v>
      </c>
      <c r="S998">
        <v>0.95495468001342809</v>
      </c>
    </row>
    <row r="999" spans="1:19" x14ac:dyDescent="0.25">
      <c r="A999" s="40">
        <f t="shared" si="186"/>
        <v>0</v>
      </c>
      <c r="B999" s="40">
        <f t="shared" si="187"/>
        <v>50</v>
      </c>
      <c r="C999" s="41">
        <f t="shared" si="180"/>
        <v>1.0313000000000001</v>
      </c>
      <c r="D999" s="41">
        <f t="shared" si="181"/>
        <v>0.88000000000000012</v>
      </c>
      <c r="E999" s="39">
        <f>IF(_xlfn.NORM.INV(R999,C999,'Regressão Grupo 2'!$B$7)&lt;=0,0,IF(_xlfn.NORM.INV(R999,C999,'Regressão Grupo 2'!$B$7)&gt;100%,100%,_xlfn.NORM.INV(R999,C999,'Regressão Grupo 2'!$B$7)))</f>
        <v>0.88908544930537714</v>
      </c>
      <c r="F999" s="39">
        <f>IF(_xlfn.NORM.INV(S999,D999,'Regressão Grupo 2'!$B$7)&lt;=0,0,IF(_xlfn.NORM.INV(S999,D999,'Regressão Grupo 2'!$B$7)&gt;100%,100%,_xlfn.NORM.INV(S999,D999,'Regressão Grupo 2'!$B$7)))</f>
        <v>0.8905616792261386</v>
      </c>
      <c r="G999" s="41">
        <v>1.4577041585718075E-2</v>
      </c>
      <c r="H999" s="41">
        <v>2.022837312120998E-2</v>
      </c>
      <c r="I999" s="40">
        <f t="shared" si="182"/>
        <v>0</v>
      </c>
      <c r="J999" s="40">
        <f t="shared" si="183"/>
        <v>360.29227869675293</v>
      </c>
      <c r="K999" s="36">
        <v>0.21413030829728663</v>
      </c>
      <c r="L999" s="42">
        <f t="shared" ref="L999:M1004" si="190">L998</f>
        <v>0</v>
      </c>
      <c r="M999" s="42">
        <f t="shared" si="190"/>
        <v>20000</v>
      </c>
      <c r="N999" s="42">
        <f t="shared" si="184"/>
        <v>4282.6061659457328</v>
      </c>
      <c r="O999" s="36">
        <v>5.9177387005201023</v>
      </c>
      <c r="P999" s="42">
        <f t="shared" si="185"/>
        <v>11599.892207749563</v>
      </c>
      <c r="Q999" s="42"/>
      <c r="R999">
        <v>0.15186010315256204</v>
      </c>
      <c r="S999">
        <v>0.53044221320230722</v>
      </c>
    </row>
    <row r="1000" spans="1:19" x14ac:dyDescent="0.25">
      <c r="A1000" s="40">
        <f t="shared" si="186"/>
        <v>0</v>
      </c>
      <c r="B1000" s="40">
        <f t="shared" si="187"/>
        <v>50</v>
      </c>
      <c r="C1000" s="41">
        <f t="shared" si="180"/>
        <v>1.0313000000000001</v>
      </c>
      <c r="D1000" s="41">
        <f t="shared" si="181"/>
        <v>0.88000000000000012</v>
      </c>
      <c r="E1000" s="39">
        <f>IF(_xlfn.NORM.INV(R1000,C1000,'Regressão Grupo 2'!$B$7)&lt;=0,0,IF(_xlfn.NORM.INV(R1000,C1000,'Regressão Grupo 2'!$B$7)&gt;100%,100%,_xlfn.NORM.INV(R1000,C1000,'Regressão Grupo 2'!$B$7)))</f>
        <v>1</v>
      </c>
      <c r="F1000" s="39">
        <f>IF(_xlfn.NORM.INV(S1000,D1000,'Regressão Grupo 2'!$B$7)&lt;=0,0,IF(_xlfn.NORM.INV(S1000,D1000,'Regressão Grupo 2'!$B$7)&gt;100%,100%,_xlfn.NORM.INV(S1000,D1000,'Regressão Grupo 2'!$B$7)))</f>
        <v>0.913698491332531</v>
      </c>
      <c r="G1000" s="41">
        <v>1.1356956360871752E-2</v>
      </c>
      <c r="H1000" s="41">
        <v>2.9136445930057726E-2</v>
      </c>
      <c r="I1000" s="40">
        <f t="shared" si="182"/>
        <v>0</v>
      </c>
      <c r="J1000" s="40">
        <f t="shared" si="183"/>
        <v>532.43853378171218</v>
      </c>
      <c r="K1000" s="36">
        <v>0.2337871556946691</v>
      </c>
      <c r="L1000" s="42">
        <f t="shared" si="190"/>
        <v>0</v>
      </c>
      <c r="M1000" s="42">
        <f t="shared" si="190"/>
        <v>20000</v>
      </c>
      <c r="N1000" s="42">
        <f t="shared" si="184"/>
        <v>4675.7431138933816</v>
      </c>
      <c r="O1000" s="36">
        <v>5.0633989613091099</v>
      </c>
      <c r="P1000" s="42">
        <f t="shared" si="185"/>
        <v>19250.23485628096</v>
      </c>
      <c r="Q1000" s="42"/>
      <c r="R1000">
        <v>0.64241462446974085</v>
      </c>
      <c r="S1000">
        <v>0.59627063814203318</v>
      </c>
    </row>
    <row r="1001" spans="1:19" x14ac:dyDescent="0.25">
      <c r="A1001" s="40">
        <f t="shared" si="186"/>
        <v>0</v>
      </c>
      <c r="B1001" s="40">
        <f t="shared" si="187"/>
        <v>50</v>
      </c>
      <c r="C1001" s="41">
        <f t="shared" si="180"/>
        <v>1.0313000000000001</v>
      </c>
      <c r="D1001" s="41">
        <f t="shared" si="181"/>
        <v>0.88000000000000012</v>
      </c>
      <c r="E1001" s="39">
        <f>IF(_xlfn.NORM.INV(R1001,C1001,'Regressão Grupo 2'!$B$7)&lt;=0,0,IF(_xlfn.NORM.INV(R1001,C1001,'Regressão Grupo 2'!$B$7)&gt;100%,100%,_xlfn.NORM.INV(R1001,C1001,'Regressão Grupo 2'!$B$7)))</f>
        <v>0.94543598762911651</v>
      </c>
      <c r="F1001" s="39">
        <f>IF(_xlfn.NORM.INV(S1001,D1001,'Regressão Grupo 2'!$B$7)&lt;=0,0,IF(_xlfn.NORM.INV(S1001,D1001,'Regressão Grupo 2'!$B$7)&gt;100%,100%,_xlfn.NORM.INV(S1001,D1001,'Regressão Grupo 2'!$B$7)))</f>
        <v>1</v>
      </c>
      <c r="G1001" s="41">
        <v>1.66128620065207E-2</v>
      </c>
      <c r="H1001" s="41">
        <v>2.0115544150457305E-2</v>
      </c>
      <c r="I1001" s="40">
        <f t="shared" si="182"/>
        <v>0</v>
      </c>
      <c r="J1001" s="40">
        <f t="shared" si="183"/>
        <v>402.3108830091461</v>
      </c>
      <c r="K1001" s="36">
        <v>0.3074994164017445</v>
      </c>
      <c r="L1001" s="42">
        <f t="shared" si="190"/>
        <v>0</v>
      </c>
      <c r="M1001" s="42">
        <f t="shared" si="190"/>
        <v>20000</v>
      </c>
      <c r="N1001" s="42">
        <f t="shared" si="184"/>
        <v>6149.9883280348895</v>
      </c>
      <c r="O1001" s="36">
        <v>6.9274939738365626</v>
      </c>
      <c r="P1001" s="42">
        <f t="shared" si="185"/>
        <v>11178.549604767692</v>
      </c>
      <c r="Q1001" s="42"/>
      <c r="R1001">
        <v>0.26731162450025941</v>
      </c>
      <c r="S1001">
        <v>0.9506210516678365</v>
      </c>
    </row>
    <row r="1002" spans="1:19" x14ac:dyDescent="0.25">
      <c r="A1002" s="40">
        <f t="shared" si="186"/>
        <v>0</v>
      </c>
      <c r="B1002" s="40">
        <f t="shared" si="187"/>
        <v>50</v>
      </c>
      <c r="C1002" s="41">
        <f t="shared" si="180"/>
        <v>1.0313000000000001</v>
      </c>
      <c r="D1002" s="41">
        <f t="shared" si="181"/>
        <v>0.88000000000000012</v>
      </c>
      <c r="E1002" s="39">
        <f>IF(_xlfn.NORM.INV(R1002,C1002,'Regressão Grupo 2'!$B$7)&lt;=0,0,IF(_xlfn.NORM.INV(R1002,C1002,'Regressão Grupo 2'!$B$7)&gt;100%,100%,_xlfn.NORM.INV(R1002,C1002,'Regressão Grupo 2'!$B$7)))</f>
        <v>1</v>
      </c>
      <c r="F1002" s="39">
        <f>IF(_xlfn.NORM.INV(S1002,D1002,'Regressão Grupo 2'!$B$7)&lt;=0,0,IF(_xlfn.NORM.INV(S1002,D1002,'Regressão Grupo 2'!$B$7)&gt;100%,100%,_xlfn.NORM.INV(S1002,D1002,'Regressão Grupo 2'!$B$7)))</f>
        <v>0.66977247727425349</v>
      </c>
      <c r="G1002" s="41">
        <v>1.8613324800742598E-2</v>
      </c>
      <c r="H1002" s="41">
        <v>1.2386898966969651E-2</v>
      </c>
      <c r="I1002" s="40">
        <f t="shared" si="182"/>
        <v>0</v>
      </c>
      <c r="J1002" s="40">
        <f t="shared" si="183"/>
        <v>165.92808013706306</v>
      </c>
      <c r="K1002" s="36">
        <v>0.26681311213415693</v>
      </c>
      <c r="L1002" s="42">
        <f t="shared" si="190"/>
        <v>0</v>
      </c>
      <c r="M1002" s="42">
        <f t="shared" si="190"/>
        <v>20000</v>
      </c>
      <c r="N1002" s="42">
        <f t="shared" si="184"/>
        <v>5336.2622426831385</v>
      </c>
      <c r="O1002" s="36">
        <v>8.0015886459973693</v>
      </c>
      <c r="P1002" s="42">
        <f t="shared" si="185"/>
        <v>1632.4535220931502</v>
      </c>
      <c r="Q1002" s="42"/>
      <c r="R1002">
        <v>0.42796105838190862</v>
      </c>
      <c r="S1002">
        <v>6.4210943937498099E-2</v>
      </c>
    </row>
    <row r="1003" spans="1:19" x14ac:dyDescent="0.25">
      <c r="A1003" s="40">
        <f t="shared" si="186"/>
        <v>0</v>
      </c>
      <c r="B1003" s="40">
        <f t="shared" si="187"/>
        <v>50</v>
      </c>
      <c r="C1003" s="41">
        <f t="shared" si="180"/>
        <v>1.0313000000000001</v>
      </c>
      <c r="D1003" s="41">
        <f t="shared" si="181"/>
        <v>0.88000000000000012</v>
      </c>
      <c r="E1003" s="39">
        <f>IF(_xlfn.NORM.INV(R1003,C1003,'Regressão Grupo 2'!$B$7)&lt;=0,0,IF(_xlfn.NORM.INV(R1003,C1003,'Regressão Grupo 2'!$B$7)&gt;100%,100%,_xlfn.NORM.INV(R1003,C1003,'Regressão Grupo 2'!$B$7)))</f>
        <v>1</v>
      </c>
      <c r="F1003" s="39">
        <f>IF(_xlfn.NORM.INV(S1003,D1003,'Regressão Grupo 2'!$B$7)&lt;=0,0,IF(_xlfn.NORM.INV(S1003,D1003,'Regressão Grupo 2'!$B$7)&gt;100%,100%,_xlfn.NORM.INV(S1003,D1003,'Regressão Grupo 2'!$B$7)))</f>
        <v>0.51603586688967606</v>
      </c>
      <c r="G1003" s="41">
        <v>2.601870262976641E-2</v>
      </c>
      <c r="H1003" s="41">
        <v>2.8195579449469137E-2</v>
      </c>
      <c r="I1003" s="40">
        <f t="shared" si="182"/>
        <v>0</v>
      </c>
      <c r="J1003" s="40">
        <f t="shared" si="183"/>
        <v>290.99860567327084</v>
      </c>
      <c r="K1003" s="36">
        <v>0.29645418272626456</v>
      </c>
      <c r="L1003" s="42">
        <f t="shared" si="190"/>
        <v>0</v>
      </c>
      <c r="M1003" s="42">
        <f t="shared" si="190"/>
        <v>20000</v>
      </c>
      <c r="N1003" s="42">
        <f t="shared" si="184"/>
        <v>5929.0836545252914</v>
      </c>
      <c r="O1003" s="36">
        <v>3.8691826699051282</v>
      </c>
      <c r="P1003" s="42">
        <f t="shared" si="185"/>
        <v>7494.9198671006743</v>
      </c>
      <c r="Q1003" s="42"/>
      <c r="R1003">
        <v>0.50077822199163791</v>
      </c>
      <c r="S1003">
        <v>4.2420728171636097E-3</v>
      </c>
    </row>
    <row r="1004" spans="1:19" x14ac:dyDescent="0.25">
      <c r="A1004" s="40">
        <f t="shared" si="186"/>
        <v>0</v>
      </c>
      <c r="B1004" s="40">
        <f t="shared" si="187"/>
        <v>50</v>
      </c>
      <c r="C1004" s="41">
        <f t="shared" si="180"/>
        <v>1.0313000000000001</v>
      </c>
      <c r="D1004" s="41">
        <f t="shared" si="181"/>
        <v>0.88000000000000012</v>
      </c>
      <c r="E1004" s="39">
        <f>IF(_xlfn.NORM.INV(R1004,C1004,'Regressão Grupo 2'!$B$7)&lt;=0,0,IF(_xlfn.NORM.INV(R1004,C1004,'Regressão Grupo 2'!$B$7)&gt;100%,100%,_xlfn.NORM.INV(R1004,C1004,'Regressão Grupo 2'!$B$7)))</f>
        <v>0.69100573562121848</v>
      </c>
      <c r="F1004" s="39">
        <f>IF(_xlfn.NORM.INV(S1004,D1004,'Regressão Grupo 2'!$B$7)&lt;=0,0,IF(_xlfn.NORM.INV(S1004,D1004,'Regressão Grupo 2'!$B$7)&gt;100%,100%,_xlfn.NORM.INV(S1004,D1004,'Regressão Grupo 2'!$B$7)))</f>
        <v>0.70397203527771579</v>
      </c>
      <c r="G1004" s="41">
        <v>7.4182851039930218E-3</v>
      </c>
      <c r="H1004" s="41">
        <v>1.4800052772891835E-2</v>
      </c>
      <c r="I1004" s="40">
        <f t="shared" si="182"/>
        <v>0</v>
      </c>
      <c r="J1004" s="40">
        <f t="shared" si="183"/>
        <v>208.3764654550053</v>
      </c>
      <c r="K1004" s="36">
        <v>0.21329307757489688</v>
      </c>
      <c r="L1004" s="42">
        <f t="shared" si="190"/>
        <v>0</v>
      </c>
      <c r="M1004" s="42">
        <f t="shared" si="190"/>
        <v>20000</v>
      </c>
      <c r="N1004" s="42">
        <f t="shared" si="184"/>
        <v>4265.8615514979374</v>
      </c>
      <c r="O1004" s="36">
        <v>5.7115600366298906</v>
      </c>
      <c r="P1004" s="42">
        <f t="shared" si="185"/>
        <v>4962.80702858533</v>
      </c>
      <c r="Q1004" s="42"/>
      <c r="R1004">
        <v>6.9277016510513626E-3</v>
      </c>
      <c r="S1004">
        <v>0.10150456251716666</v>
      </c>
    </row>
  </sheetData>
  <autoFilter ref="A3:P1004" xr:uid="{DDF40C88-62D0-4CEE-AE82-B579EB033918}"/>
  <conditionalFormatting sqref="E5:F1004">
    <cfRule type="cellIs" dxfId="1" priority="2" operator="lessThan">
      <formula>0</formula>
    </cfRule>
  </conditionalFormatting>
  <conditionalFormatting sqref="F1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17B7-9276-4F5E-AB62-08AEA57354E4}">
  <dimension ref="A1:K14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22.140625" defaultRowHeight="15" x14ac:dyDescent="0.25"/>
  <sheetData>
    <row r="1" spans="1:11" ht="75" x14ac:dyDescent="0.25">
      <c r="A1" s="51" t="s">
        <v>249</v>
      </c>
      <c r="B1" s="52" t="s">
        <v>267</v>
      </c>
      <c r="C1" s="52" t="s">
        <v>269</v>
      </c>
      <c r="D1" s="52" t="s">
        <v>268</v>
      </c>
      <c r="E1" s="52" t="s">
        <v>259</v>
      </c>
      <c r="F1" s="52" t="s">
        <v>260</v>
      </c>
      <c r="G1" s="52" t="s">
        <v>270</v>
      </c>
      <c r="H1" s="52" t="s">
        <v>256</v>
      </c>
      <c r="I1" s="52" t="s">
        <v>257</v>
      </c>
      <c r="J1" s="52" t="s">
        <v>258</v>
      </c>
      <c r="K1" s="13"/>
    </row>
    <row r="2" spans="1:11" x14ac:dyDescent="0.25">
      <c r="A2" s="51" t="s">
        <v>255</v>
      </c>
      <c r="B2" s="52"/>
      <c r="C2" s="52" t="s">
        <v>254</v>
      </c>
      <c r="D2" s="52" t="s">
        <v>254</v>
      </c>
      <c r="E2" s="52"/>
      <c r="F2" s="52"/>
      <c r="G2" s="52" t="s">
        <v>254</v>
      </c>
      <c r="H2" s="52" t="s">
        <v>254</v>
      </c>
      <c r="I2" s="52" t="s">
        <v>254</v>
      </c>
      <c r="J2" s="52" t="s">
        <v>254</v>
      </c>
      <c r="K2" s="13"/>
    </row>
    <row r="3" spans="1:11" x14ac:dyDescent="0.25">
      <c r="A3" s="59" t="s">
        <v>203</v>
      </c>
      <c r="B3" s="60">
        <v>2889.5444280164343</v>
      </c>
      <c r="C3" s="60">
        <v>3897.0547761290486</v>
      </c>
      <c r="D3" s="60">
        <v>3797.9147377368795</v>
      </c>
      <c r="E3" s="60">
        <v>5745.8134397972999</v>
      </c>
      <c r="F3" s="60">
        <v>6824.696022291645</v>
      </c>
      <c r="G3" s="60">
        <v>12709.198506323995</v>
      </c>
      <c r="H3" s="60">
        <v>5564.4229306530742</v>
      </c>
      <c r="I3" s="60">
        <v>11987.117796907958</v>
      </c>
      <c r="J3" s="60">
        <v>8955.596036042527</v>
      </c>
      <c r="K3" s="46"/>
    </row>
    <row r="4" spans="1:11" x14ac:dyDescent="0.25">
      <c r="A4" s="35" t="s">
        <v>204</v>
      </c>
      <c r="B4" s="53">
        <v>17920.052410516804</v>
      </c>
      <c r="C4" s="53">
        <v>22658.355043082622</v>
      </c>
      <c r="D4" s="53">
        <v>21520.574885409969</v>
      </c>
      <c r="E4" s="53">
        <v>26548.275834336895</v>
      </c>
      <c r="F4" s="53">
        <v>22874.496614273852</v>
      </c>
      <c r="G4" s="53">
        <v>45687.311872421895</v>
      </c>
      <c r="H4" s="53">
        <v>24947.906346922366</v>
      </c>
      <c r="I4" s="53">
        <v>39924.793640713237</v>
      </c>
      <c r="J4" s="53">
        <v>31057.959736444078</v>
      </c>
      <c r="K4" s="46"/>
    </row>
    <row r="5" spans="1:11" x14ac:dyDescent="0.25">
      <c r="A5" s="35" t="s">
        <v>205</v>
      </c>
      <c r="B5" s="53">
        <v>-7490.9771352471362</v>
      </c>
      <c r="C5" s="53">
        <v>-8423.0394709121574</v>
      </c>
      <c r="D5" s="53">
        <v>-7873.3273007448879</v>
      </c>
      <c r="E5" s="53">
        <v>-7635.6115757509224</v>
      </c>
      <c r="F5" s="53">
        <v>-7310.4159837342286</v>
      </c>
      <c r="G5" s="53">
        <v>-7218.0461862829898</v>
      </c>
      <c r="H5" s="53">
        <v>-7431.8379557042217</v>
      </c>
      <c r="I5" s="53">
        <v>-7032.8201630847561</v>
      </c>
      <c r="J5" s="53">
        <v>-5537.7676953180089</v>
      </c>
      <c r="K5" s="46"/>
    </row>
    <row r="6" spans="1:11" x14ac:dyDescent="0.25">
      <c r="A6" s="35" t="s">
        <v>206</v>
      </c>
      <c r="B6" s="54">
        <v>737</v>
      </c>
      <c r="C6" s="54">
        <v>757</v>
      </c>
      <c r="D6" s="54">
        <v>764</v>
      </c>
      <c r="E6" s="54">
        <v>834</v>
      </c>
      <c r="F6" s="54">
        <v>876</v>
      </c>
      <c r="G6" s="54">
        <v>927</v>
      </c>
      <c r="H6" s="54">
        <v>841</v>
      </c>
      <c r="I6" s="54">
        <v>927</v>
      </c>
      <c r="J6" s="54">
        <v>963</v>
      </c>
      <c r="K6" s="48"/>
    </row>
    <row r="7" spans="1:11" x14ac:dyDescent="0.25">
      <c r="A7" s="35" t="s">
        <v>207</v>
      </c>
      <c r="B7" s="55">
        <v>263</v>
      </c>
      <c r="C7" s="55">
        <v>243</v>
      </c>
      <c r="D7" s="55">
        <v>236</v>
      </c>
      <c r="E7" s="55">
        <v>166</v>
      </c>
      <c r="F7" s="55">
        <v>124</v>
      </c>
      <c r="G7" s="55">
        <v>73</v>
      </c>
      <c r="H7" s="55">
        <v>159</v>
      </c>
      <c r="I7" s="55">
        <v>73</v>
      </c>
      <c r="J7" s="55">
        <v>37</v>
      </c>
      <c r="K7" s="47"/>
    </row>
    <row r="8" spans="1:11" x14ac:dyDescent="0.25">
      <c r="A8" s="35" t="s">
        <v>208</v>
      </c>
      <c r="B8" s="56">
        <v>0.73699999999999999</v>
      </c>
      <c r="C8" s="56">
        <v>0.75700000000000001</v>
      </c>
      <c r="D8" s="56">
        <v>0.76400000000000001</v>
      </c>
      <c r="E8" s="56">
        <v>0.83399999999999996</v>
      </c>
      <c r="F8" s="56">
        <v>0.876</v>
      </c>
      <c r="G8" s="56">
        <v>0.92700000000000005</v>
      </c>
      <c r="H8" s="56">
        <v>0.84099999999999997</v>
      </c>
      <c r="I8" s="56">
        <v>0.92700000000000005</v>
      </c>
      <c r="J8" s="56">
        <v>0.96299999999999997</v>
      </c>
      <c r="K8" s="45"/>
    </row>
    <row r="9" spans="1:11" x14ac:dyDescent="0.25">
      <c r="A9" s="35" t="s">
        <v>246</v>
      </c>
      <c r="B9" s="53">
        <v>4267.5970370585374</v>
      </c>
      <c r="C9" s="53">
        <v>5167.8052947220494</v>
      </c>
      <c r="D9" s="53">
        <v>4932.5218934374543</v>
      </c>
      <c r="E9" s="53">
        <v>5834.9056928031823</v>
      </c>
      <c r="F9" s="53">
        <v>5494.9478354538587</v>
      </c>
      <c r="G9" s="53">
        <v>8867.4142068439996</v>
      </c>
      <c r="H9" s="53">
        <v>5516.8644432417468</v>
      </c>
      <c r="I9" s="53">
        <v>8110.578333903818</v>
      </c>
      <c r="J9" s="53">
        <v>5193.7684311331095</v>
      </c>
      <c r="K9" s="46"/>
    </row>
    <row r="10" spans="1:11" x14ac:dyDescent="0.25">
      <c r="A10" s="59" t="s">
        <v>271</v>
      </c>
      <c r="B10" s="60">
        <v>0.67708933222244128</v>
      </c>
      <c r="C10" s="60">
        <v>0.75410247752738757</v>
      </c>
      <c r="D10" s="60">
        <v>0.76997422815089189</v>
      </c>
      <c r="E10" s="60">
        <v>0.98473115801755473</v>
      </c>
      <c r="F10" s="60">
        <v>1.2419946879673982</v>
      </c>
      <c r="G10" s="60">
        <v>1.4332474168754687</v>
      </c>
      <c r="H10" s="60">
        <v>1.00862056479738</v>
      </c>
      <c r="I10" s="60">
        <v>1.4779609176326478</v>
      </c>
      <c r="J10" s="60">
        <v>1.7242963668460494</v>
      </c>
      <c r="K10" s="46"/>
    </row>
    <row r="11" spans="1:11" x14ac:dyDescent="0.25">
      <c r="A11" s="57" t="s">
        <v>250</v>
      </c>
      <c r="B11" s="55">
        <v>20000</v>
      </c>
      <c r="C11" s="55">
        <v>20000</v>
      </c>
      <c r="D11" s="55">
        <v>19992.362796957237</v>
      </c>
      <c r="E11" s="55">
        <v>20000</v>
      </c>
      <c r="F11" s="55">
        <v>0</v>
      </c>
      <c r="G11" s="55">
        <v>40.054440946891653</v>
      </c>
      <c r="H11" s="55">
        <v>20000</v>
      </c>
      <c r="I11" s="55">
        <v>0</v>
      </c>
      <c r="J11" s="55">
        <v>9643.982967348129</v>
      </c>
      <c r="K11" s="47"/>
    </row>
    <row r="12" spans="1:11" x14ac:dyDescent="0.25">
      <c r="A12" s="57" t="s">
        <v>251</v>
      </c>
      <c r="B12" s="55">
        <v>0</v>
      </c>
      <c r="C12" s="55">
        <v>0</v>
      </c>
      <c r="D12" s="55">
        <v>0</v>
      </c>
      <c r="E12" s="55">
        <v>0</v>
      </c>
      <c r="F12" s="55">
        <v>20000</v>
      </c>
      <c r="G12" s="55">
        <v>20000</v>
      </c>
      <c r="H12" s="55">
        <v>0</v>
      </c>
      <c r="I12" s="55">
        <v>20000</v>
      </c>
      <c r="J12" s="55">
        <v>10356.017032651867</v>
      </c>
      <c r="K12" s="47"/>
    </row>
    <row r="13" spans="1:11" x14ac:dyDescent="0.25">
      <c r="A13" s="57" t="s">
        <v>252</v>
      </c>
      <c r="B13" s="53">
        <v>50</v>
      </c>
      <c r="C13" s="53">
        <v>70.694631397958602</v>
      </c>
      <c r="D13" s="53">
        <v>64.229677655816957</v>
      </c>
      <c r="E13" s="53">
        <v>75.951996879056964</v>
      </c>
      <c r="F13" s="53">
        <v>0</v>
      </c>
      <c r="G13" s="53">
        <v>0</v>
      </c>
      <c r="H13" s="53">
        <v>67.25018401493746</v>
      </c>
      <c r="I13" s="53">
        <v>0</v>
      </c>
      <c r="J13" s="53">
        <v>68.523133776213527</v>
      </c>
      <c r="K13" s="46"/>
    </row>
    <row r="14" spans="1:11" x14ac:dyDescent="0.25">
      <c r="A14" s="58" t="s">
        <v>253</v>
      </c>
      <c r="B14" s="53">
        <v>0</v>
      </c>
      <c r="C14" s="53">
        <v>0</v>
      </c>
      <c r="D14" s="53">
        <v>0</v>
      </c>
      <c r="E14" s="53">
        <v>0</v>
      </c>
      <c r="F14" s="53">
        <v>50</v>
      </c>
      <c r="G14" s="53">
        <v>103.68707528733982</v>
      </c>
      <c r="H14" s="53">
        <v>0</v>
      </c>
      <c r="I14" s="53">
        <v>84.381712646596085</v>
      </c>
      <c r="J14" s="53">
        <v>85.4545711962501</v>
      </c>
      <c r="K14" s="46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512FA-25A4-4DE1-85BB-48C0738128D8}">
  <sheetPr codeName="Planilha12"/>
  <dimension ref="A1:Q25"/>
  <sheetViews>
    <sheetView topLeftCell="I7" workbookViewId="0">
      <selection activeCell="O28" sqref="O28"/>
    </sheetView>
  </sheetViews>
  <sheetFormatPr defaultColWidth="15.140625" defaultRowHeight="15" x14ac:dyDescent="0.25"/>
  <sheetData>
    <row r="1" spans="1:17" x14ac:dyDescent="0.25">
      <c r="A1" t="s">
        <v>152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149</v>
      </c>
      <c r="P1" t="s">
        <v>153</v>
      </c>
      <c r="Q1" t="s">
        <v>173</v>
      </c>
    </row>
    <row r="2" spans="1:17" x14ac:dyDescent="0.25">
      <c r="A2">
        <v>20</v>
      </c>
      <c r="B2" t="s">
        <v>40</v>
      </c>
      <c r="C2" t="s">
        <v>23</v>
      </c>
      <c r="D2" t="s">
        <v>36</v>
      </c>
      <c r="E2" t="s">
        <v>22</v>
      </c>
      <c r="F2" t="s">
        <v>22</v>
      </c>
      <c r="I2" t="s">
        <v>25</v>
      </c>
      <c r="K2" t="s">
        <v>27</v>
      </c>
      <c r="L2">
        <v>50</v>
      </c>
      <c r="M2" t="s">
        <v>29</v>
      </c>
      <c r="N2" t="s">
        <v>30</v>
      </c>
      <c r="O2">
        <v>100</v>
      </c>
      <c r="P2">
        <v>1</v>
      </c>
      <c r="Q2" t="s">
        <v>176</v>
      </c>
    </row>
    <row r="3" spans="1:17" x14ac:dyDescent="0.25">
      <c r="A3">
        <v>13</v>
      </c>
      <c r="B3" t="s">
        <v>22</v>
      </c>
      <c r="C3" t="s">
        <v>54</v>
      </c>
      <c r="D3" t="s">
        <v>42</v>
      </c>
      <c r="E3" t="s">
        <v>22</v>
      </c>
      <c r="F3" t="s">
        <v>22</v>
      </c>
      <c r="I3" t="s">
        <v>22</v>
      </c>
      <c r="K3" t="s">
        <v>27</v>
      </c>
      <c r="L3">
        <v>46</v>
      </c>
      <c r="M3" t="s">
        <v>29</v>
      </c>
      <c r="N3" t="s">
        <v>30</v>
      </c>
      <c r="O3">
        <v>120</v>
      </c>
      <c r="P3">
        <v>1</v>
      </c>
      <c r="Q3" t="s">
        <v>176</v>
      </c>
    </row>
    <row r="4" spans="1:17" x14ac:dyDescent="0.25">
      <c r="A4">
        <v>12</v>
      </c>
      <c r="B4" t="s">
        <v>22</v>
      </c>
      <c r="C4" t="s">
        <v>54</v>
      </c>
      <c r="D4" t="s">
        <v>42</v>
      </c>
      <c r="E4" t="s">
        <v>22</v>
      </c>
      <c r="F4" t="s">
        <v>25</v>
      </c>
      <c r="K4" t="s">
        <v>27</v>
      </c>
      <c r="L4">
        <v>50</v>
      </c>
      <c r="M4" t="s">
        <v>29</v>
      </c>
      <c r="N4" t="s">
        <v>30</v>
      </c>
      <c r="O4">
        <v>80</v>
      </c>
      <c r="P4">
        <v>1</v>
      </c>
      <c r="Q4" t="s">
        <v>176</v>
      </c>
    </row>
    <row r="5" spans="1:17" x14ac:dyDescent="0.25">
      <c r="A5">
        <v>11</v>
      </c>
      <c r="B5" t="s">
        <v>22</v>
      </c>
      <c r="C5" t="s">
        <v>23</v>
      </c>
      <c r="D5" t="s">
        <v>24</v>
      </c>
      <c r="E5" t="s">
        <v>22</v>
      </c>
      <c r="F5" t="s">
        <v>22</v>
      </c>
      <c r="I5" t="s">
        <v>25</v>
      </c>
      <c r="K5" t="s">
        <v>27</v>
      </c>
      <c r="L5">
        <v>45</v>
      </c>
      <c r="M5" t="s">
        <v>29</v>
      </c>
      <c r="N5" t="s">
        <v>30</v>
      </c>
      <c r="O5">
        <v>100</v>
      </c>
      <c r="P5">
        <v>1</v>
      </c>
      <c r="Q5" t="s">
        <v>176</v>
      </c>
    </row>
    <row r="6" spans="1:17" x14ac:dyDescent="0.25">
      <c r="A6">
        <v>6</v>
      </c>
      <c r="B6" t="s">
        <v>22</v>
      </c>
      <c r="C6" t="s">
        <v>41</v>
      </c>
      <c r="D6" t="s">
        <v>36</v>
      </c>
      <c r="E6" t="s">
        <v>22</v>
      </c>
      <c r="F6" t="s">
        <v>25</v>
      </c>
      <c r="K6" t="s">
        <v>27</v>
      </c>
      <c r="L6">
        <v>42</v>
      </c>
      <c r="M6" t="s">
        <v>29</v>
      </c>
      <c r="N6" t="s">
        <v>30</v>
      </c>
      <c r="O6">
        <v>80</v>
      </c>
      <c r="P6">
        <v>1</v>
      </c>
      <c r="Q6" t="s">
        <v>176</v>
      </c>
    </row>
    <row r="12" spans="1:17" x14ac:dyDescent="0.25">
      <c r="M12" t="s">
        <v>180</v>
      </c>
      <c r="N12" t="s">
        <v>181</v>
      </c>
    </row>
    <row r="13" spans="1:17" x14ac:dyDescent="0.25">
      <c r="M13">
        <v>0</v>
      </c>
      <c r="N13" s="11">
        <f>O13/$O$13</f>
        <v>1</v>
      </c>
      <c r="O13" cm="1">
        <f t="array" ref="O13">COUNT(IF($O$2:$O$6&gt;=M13,$O$2:$O$6))</f>
        <v>5</v>
      </c>
    </row>
    <row r="14" spans="1:17" x14ac:dyDescent="0.25">
      <c r="M14">
        <v>30</v>
      </c>
      <c r="N14" s="11">
        <f t="shared" ref="N14:N18" si="0">O14/$O$13</f>
        <v>1</v>
      </c>
      <c r="O14" cm="1">
        <f t="array" ref="O14">COUNT(IF($O$2:$O$6&gt;=M14,$O$2:$O$6))</f>
        <v>5</v>
      </c>
    </row>
    <row r="15" spans="1:17" x14ac:dyDescent="0.25">
      <c r="M15">
        <v>50</v>
      </c>
      <c r="N15" s="11">
        <f t="shared" si="0"/>
        <v>1</v>
      </c>
      <c r="O15" cm="1">
        <f t="array" ref="O15">COUNT(IF($O$2:$O$6&gt;=M15,$O$2:$O$6))</f>
        <v>5</v>
      </c>
    </row>
    <row r="16" spans="1:17" x14ac:dyDescent="0.25">
      <c r="M16">
        <v>80</v>
      </c>
      <c r="N16" s="11">
        <f t="shared" si="0"/>
        <v>1</v>
      </c>
      <c r="O16" cm="1">
        <f t="array" ref="O16">COUNT(IF($O$2:$O$6&gt;=M16,$O$2:$O$6))</f>
        <v>5</v>
      </c>
    </row>
    <row r="17" spans="11:17" x14ac:dyDescent="0.25">
      <c r="K17" s="3" t="s">
        <v>198</v>
      </c>
      <c r="M17">
        <v>100</v>
      </c>
      <c r="N17" s="11">
        <f t="shared" si="0"/>
        <v>0.6</v>
      </c>
      <c r="O17" cm="1">
        <f t="array" ref="O17">COUNT(IF($O$2:$O$6&gt;=M17,$O$2:$O$6))</f>
        <v>3</v>
      </c>
    </row>
    <row r="18" spans="11:17" x14ac:dyDescent="0.25">
      <c r="M18">
        <v>120</v>
      </c>
      <c r="N18" s="11">
        <f t="shared" si="0"/>
        <v>0.2</v>
      </c>
      <c r="O18" cm="1">
        <f t="array" ref="O18">COUNT(IF($O$2:$O$6&gt;=M18,$O$2:$O$6))</f>
        <v>1</v>
      </c>
    </row>
    <row r="22" spans="11:17" x14ac:dyDescent="0.25">
      <c r="K22" s="27" t="s">
        <v>194</v>
      </c>
      <c r="L22" s="27" t="s">
        <v>195</v>
      </c>
      <c r="M22" s="27" t="s">
        <v>196</v>
      </c>
      <c r="N22" s="27" t="s">
        <v>197</v>
      </c>
      <c r="O22" s="27" t="s">
        <v>182</v>
      </c>
      <c r="P22" s="27" t="s">
        <v>183</v>
      </c>
      <c r="Q22" s="27" t="s">
        <v>184</v>
      </c>
    </row>
    <row r="23" spans="11:17" x14ac:dyDescent="0.25">
      <c r="K23" s="12">
        <v>136.10170012797857</v>
      </c>
      <c r="L23" s="12">
        <v>73.050828731509171</v>
      </c>
      <c r="M23" s="12">
        <f xml:space="preserve"> (-0.0059*K23 + 1.175)*20000*2%</f>
        <v>148.79998769797061</v>
      </c>
      <c r="N23" s="12">
        <f xml:space="preserve"> (-0.0059*L23 + 1.175)*20000*2%-M23</f>
        <v>148.80005649566777</v>
      </c>
      <c r="O23">
        <v>10</v>
      </c>
      <c r="P23" s="12">
        <v>5000</v>
      </c>
      <c r="Q23" s="12">
        <f>K23*M23+L23*N23-O23*(M23+N23)-P23</f>
        <v>23145.898305083632</v>
      </c>
    </row>
    <row r="25" spans="11:17" x14ac:dyDescent="0.25">
      <c r="K25" s="26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3"/>
  <dimension ref="A1:D11"/>
  <sheetViews>
    <sheetView workbookViewId="0"/>
  </sheetViews>
  <sheetFormatPr defaultRowHeight="15" x14ac:dyDescent="0.25"/>
  <cols>
    <col min="3" max="3" width="100.5703125" bestFit="1" customWidth="1"/>
  </cols>
  <sheetData>
    <row r="1" spans="1:4" x14ac:dyDescent="0.25">
      <c r="A1" t="s">
        <v>95</v>
      </c>
      <c r="B1" t="s">
        <v>96</v>
      </c>
      <c r="C1" t="s">
        <v>97</v>
      </c>
      <c r="D1" t="s">
        <v>98</v>
      </c>
    </row>
    <row r="2" spans="1:4" x14ac:dyDescent="0.25">
      <c r="A2" t="s">
        <v>99</v>
      </c>
      <c r="B2" t="s">
        <v>100</v>
      </c>
    </row>
    <row r="3" spans="1:4" x14ac:dyDescent="0.25">
      <c r="A3" t="s">
        <v>13</v>
      </c>
      <c r="B3" t="s">
        <v>101</v>
      </c>
      <c r="C3" t="s">
        <v>0</v>
      </c>
      <c r="D3" t="s">
        <v>102</v>
      </c>
    </row>
    <row r="4" spans="1:4" x14ac:dyDescent="0.25">
      <c r="A4" t="s">
        <v>14</v>
      </c>
      <c r="B4" t="s">
        <v>101</v>
      </c>
      <c r="C4" t="s">
        <v>1</v>
      </c>
      <c r="D4" t="s">
        <v>103</v>
      </c>
    </row>
    <row r="5" spans="1:4" x14ac:dyDescent="0.25">
      <c r="A5" t="s">
        <v>15</v>
      </c>
      <c r="B5" t="s">
        <v>101</v>
      </c>
      <c r="C5" t="s">
        <v>2</v>
      </c>
      <c r="D5" t="s">
        <v>104</v>
      </c>
    </row>
    <row r="6" spans="1:4" x14ac:dyDescent="0.25">
      <c r="A6" t="s">
        <v>16</v>
      </c>
      <c r="B6" t="s">
        <v>101</v>
      </c>
      <c r="C6" t="s">
        <v>3</v>
      </c>
      <c r="D6" t="s">
        <v>105</v>
      </c>
    </row>
    <row r="7" spans="1:4" x14ac:dyDescent="0.25">
      <c r="A7" t="s">
        <v>17</v>
      </c>
      <c r="B7" t="s">
        <v>101</v>
      </c>
      <c r="C7" t="s">
        <v>4</v>
      </c>
      <c r="D7" t="s">
        <v>105</v>
      </c>
    </row>
    <row r="8" spans="1:4" x14ac:dyDescent="0.25">
      <c r="A8" t="s">
        <v>18</v>
      </c>
      <c r="B8" t="s">
        <v>101</v>
      </c>
      <c r="C8" t="s">
        <v>5</v>
      </c>
      <c r="D8" t="s">
        <v>105</v>
      </c>
    </row>
    <row r="9" spans="1:4" x14ac:dyDescent="0.25">
      <c r="A9" t="s">
        <v>19</v>
      </c>
      <c r="B9" t="s">
        <v>101</v>
      </c>
      <c r="C9" t="s">
        <v>6</v>
      </c>
      <c r="D9" t="s">
        <v>105</v>
      </c>
    </row>
    <row r="10" spans="1:4" x14ac:dyDescent="0.25">
      <c r="A10" t="s">
        <v>20</v>
      </c>
      <c r="B10" t="s">
        <v>101</v>
      </c>
      <c r="C10" t="s">
        <v>7</v>
      </c>
      <c r="D10" t="s">
        <v>105</v>
      </c>
    </row>
    <row r="11" spans="1:4" x14ac:dyDescent="0.25">
      <c r="A11" t="s">
        <v>21</v>
      </c>
      <c r="B11" t="s">
        <v>106</v>
      </c>
      <c r="C11" t="s">
        <v>8</v>
      </c>
      <c r="D11" t="s">
        <v>107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4"/>
  <dimension ref="A1:C46"/>
  <sheetViews>
    <sheetView workbookViewId="0">
      <selection activeCell="A44" sqref="A44"/>
    </sheetView>
  </sheetViews>
  <sheetFormatPr defaultRowHeight="15" x14ac:dyDescent="0.25"/>
  <sheetData>
    <row r="1" spans="1:3" x14ac:dyDescent="0.25">
      <c r="A1" t="s">
        <v>108</v>
      </c>
    </row>
    <row r="2" spans="1:3" x14ac:dyDescent="0.25">
      <c r="A2" t="s">
        <v>40</v>
      </c>
      <c r="B2" t="s">
        <v>109</v>
      </c>
      <c r="C2" t="s">
        <v>110</v>
      </c>
    </row>
    <row r="3" spans="1:3" x14ac:dyDescent="0.25">
      <c r="A3" t="s">
        <v>25</v>
      </c>
      <c r="B3" t="s">
        <v>84</v>
      </c>
      <c r="C3" t="s">
        <v>111</v>
      </c>
    </row>
    <row r="4" spans="1:3" x14ac:dyDescent="0.25">
      <c r="A4" t="s">
        <v>22</v>
      </c>
      <c r="B4" t="s">
        <v>38</v>
      </c>
      <c r="C4" t="s">
        <v>112</v>
      </c>
    </row>
    <row r="6" spans="1:3" x14ac:dyDescent="0.25">
      <c r="A6" t="s">
        <v>113</v>
      </c>
    </row>
    <row r="7" spans="1:3" x14ac:dyDescent="0.25">
      <c r="A7" t="s">
        <v>41</v>
      </c>
      <c r="B7" t="s">
        <v>114</v>
      </c>
      <c r="C7" t="s">
        <v>115</v>
      </c>
    </row>
    <row r="8" spans="1:3" x14ac:dyDescent="0.25">
      <c r="A8" t="s">
        <v>23</v>
      </c>
      <c r="B8" t="s">
        <v>116</v>
      </c>
      <c r="C8" t="s">
        <v>117</v>
      </c>
    </row>
    <row r="9" spans="1:3" x14ac:dyDescent="0.25">
      <c r="A9" t="s">
        <v>57</v>
      </c>
      <c r="B9" t="s">
        <v>85</v>
      </c>
      <c r="C9" t="s">
        <v>118</v>
      </c>
    </row>
    <row r="10" spans="1:3" x14ac:dyDescent="0.25">
      <c r="A10" t="s">
        <v>31</v>
      </c>
      <c r="B10" t="s">
        <v>86</v>
      </c>
      <c r="C10" t="s">
        <v>119</v>
      </c>
    </row>
    <row r="11" spans="1:3" x14ac:dyDescent="0.25">
      <c r="A11" t="s">
        <v>47</v>
      </c>
      <c r="B11" t="s">
        <v>120</v>
      </c>
      <c r="C11" t="s">
        <v>121</v>
      </c>
    </row>
    <row r="12" spans="1:3" x14ac:dyDescent="0.25">
      <c r="A12" t="s">
        <v>54</v>
      </c>
      <c r="B12" t="s">
        <v>120</v>
      </c>
      <c r="C12" t="s">
        <v>121</v>
      </c>
    </row>
    <row r="14" spans="1:3" x14ac:dyDescent="0.25">
      <c r="A14" t="s">
        <v>122</v>
      </c>
    </row>
    <row r="15" spans="1:3" x14ac:dyDescent="0.25">
      <c r="A15" t="s">
        <v>36</v>
      </c>
      <c r="B15" t="s">
        <v>114</v>
      </c>
      <c r="C15" t="s">
        <v>115</v>
      </c>
    </row>
    <row r="16" spans="1:3" x14ac:dyDescent="0.25">
      <c r="A16" t="s">
        <v>24</v>
      </c>
      <c r="B16" t="s">
        <v>123</v>
      </c>
      <c r="C16" t="s">
        <v>124</v>
      </c>
    </row>
    <row r="17" spans="1:3" x14ac:dyDescent="0.25">
      <c r="A17" t="s">
        <v>42</v>
      </c>
      <c r="B17" t="s">
        <v>114</v>
      </c>
      <c r="C17" t="s">
        <v>115</v>
      </c>
    </row>
    <row r="18" spans="1:3" x14ac:dyDescent="0.25">
      <c r="A18" t="s">
        <v>58</v>
      </c>
      <c r="B18" t="s">
        <v>114</v>
      </c>
      <c r="C18" t="s">
        <v>115</v>
      </c>
    </row>
    <row r="19" spans="1:3" x14ac:dyDescent="0.25">
      <c r="A19" t="s">
        <v>67</v>
      </c>
      <c r="B19" t="s">
        <v>90</v>
      </c>
      <c r="C19" t="s">
        <v>125</v>
      </c>
    </row>
    <row r="21" spans="1:3" x14ac:dyDescent="0.25">
      <c r="A21" t="s">
        <v>126</v>
      </c>
    </row>
    <row r="22" spans="1:3" x14ac:dyDescent="0.25">
      <c r="A22" t="s">
        <v>25</v>
      </c>
      <c r="B22" t="s">
        <v>127</v>
      </c>
      <c r="C22" t="s">
        <v>128</v>
      </c>
    </row>
    <row r="23" spans="1:3" x14ac:dyDescent="0.25">
      <c r="A23" t="s">
        <v>22</v>
      </c>
      <c r="B23" t="s">
        <v>79</v>
      </c>
      <c r="C23" t="s">
        <v>129</v>
      </c>
    </row>
    <row r="25" spans="1:3" x14ac:dyDescent="0.25">
      <c r="A25" t="s">
        <v>130</v>
      </c>
    </row>
    <row r="26" spans="1:3" x14ac:dyDescent="0.25">
      <c r="A26" t="s">
        <v>25</v>
      </c>
      <c r="B26" t="s">
        <v>131</v>
      </c>
      <c r="C26" t="s">
        <v>132</v>
      </c>
    </row>
    <row r="27" spans="1:3" x14ac:dyDescent="0.25">
      <c r="A27" t="s">
        <v>22</v>
      </c>
      <c r="B27" t="s">
        <v>133</v>
      </c>
      <c r="C27" t="s">
        <v>124</v>
      </c>
    </row>
    <row r="29" spans="1:3" x14ac:dyDescent="0.25">
      <c r="A29" t="s">
        <v>134</v>
      </c>
    </row>
    <row r="30" spans="1:3" x14ac:dyDescent="0.25">
      <c r="A30" t="s">
        <v>25</v>
      </c>
      <c r="B30" t="s">
        <v>135</v>
      </c>
      <c r="C30" t="s">
        <v>136</v>
      </c>
    </row>
    <row r="31" spans="1:3" x14ac:dyDescent="0.25">
      <c r="A31" t="s">
        <v>22</v>
      </c>
      <c r="B31" t="s">
        <v>88</v>
      </c>
      <c r="C31" t="s">
        <v>137</v>
      </c>
    </row>
    <row r="33" spans="1:3" x14ac:dyDescent="0.25">
      <c r="A33" t="s">
        <v>138</v>
      </c>
    </row>
    <row r="34" spans="1:3" x14ac:dyDescent="0.25">
      <c r="A34" t="s">
        <v>25</v>
      </c>
      <c r="B34" t="s">
        <v>139</v>
      </c>
      <c r="C34" t="s">
        <v>140</v>
      </c>
    </row>
    <row r="35" spans="1:3" x14ac:dyDescent="0.25">
      <c r="A35" t="s">
        <v>22</v>
      </c>
      <c r="B35" t="s">
        <v>85</v>
      </c>
      <c r="C35" t="s">
        <v>141</v>
      </c>
    </row>
    <row r="37" spans="1:3" x14ac:dyDescent="0.25">
      <c r="A37" t="s">
        <v>142</v>
      </c>
    </row>
    <row r="38" spans="1:3" x14ac:dyDescent="0.25">
      <c r="A38" t="s">
        <v>25</v>
      </c>
      <c r="B38" t="s">
        <v>84</v>
      </c>
      <c r="C38" t="s">
        <v>143</v>
      </c>
    </row>
    <row r="39" spans="1:3" x14ac:dyDescent="0.25">
      <c r="A39" t="s">
        <v>22</v>
      </c>
      <c r="B39" t="s">
        <v>84</v>
      </c>
      <c r="C39" t="s">
        <v>143</v>
      </c>
    </row>
    <row r="41" spans="1:3" x14ac:dyDescent="0.25">
      <c r="A41" t="s">
        <v>144</v>
      </c>
    </row>
    <row r="42" spans="1:3" x14ac:dyDescent="0.25">
      <c r="A42" t="s">
        <v>145</v>
      </c>
      <c r="B42" t="s">
        <v>90</v>
      </c>
      <c r="C42" t="s">
        <v>146</v>
      </c>
    </row>
    <row r="43" spans="1:3" x14ac:dyDescent="0.25">
      <c r="A43" t="s">
        <v>43</v>
      </c>
      <c r="B43" t="s">
        <v>84</v>
      </c>
      <c r="C43" t="s">
        <v>147</v>
      </c>
    </row>
    <row r="44" spans="1:3" x14ac:dyDescent="0.25">
      <c r="A44" t="s">
        <v>32</v>
      </c>
      <c r="B44" t="s">
        <v>84</v>
      </c>
      <c r="C44" t="s">
        <v>147</v>
      </c>
    </row>
    <row r="45" spans="1:3" x14ac:dyDescent="0.25">
      <c r="A45" t="s">
        <v>76</v>
      </c>
      <c r="B45" t="s">
        <v>83</v>
      </c>
      <c r="C45" t="s">
        <v>148</v>
      </c>
    </row>
    <row r="46" spans="1:3" x14ac:dyDescent="0.25">
      <c r="A46" t="s">
        <v>60</v>
      </c>
      <c r="B46" t="s">
        <v>83</v>
      </c>
      <c r="C46" t="s">
        <v>148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</vt:i4>
      </vt:variant>
    </vt:vector>
  </HeadingPairs>
  <TitlesOfParts>
    <vt:vector size="19" baseType="lpstr">
      <vt:lpstr>Result. Pesq. Campo</vt:lpstr>
      <vt:lpstr>BD_Result. Pesquisa_Codif</vt:lpstr>
      <vt:lpstr>Base Codificada</vt:lpstr>
      <vt:lpstr>Padronização &amp; Def. Grupos</vt:lpstr>
      <vt:lpstr>Distâncias</vt:lpstr>
      <vt:lpstr>Resultado do Agrupamento</vt:lpstr>
      <vt:lpstr>Curva Dem. Base Completa</vt:lpstr>
      <vt:lpstr>Regressão Base Completa</vt:lpstr>
      <vt:lpstr>Curva Demanda Grupo 2</vt:lpstr>
      <vt:lpstr>Regressão Grupo 2</vt:lpstr>
      <vt:lpstr>Curva Demanda Grupo 3</vt:lpstr>
      <vt:lpstr>Regressão Grupo 3</vt:lpstr>
      <vt:lpstr>Simul. - Otimiz. Base Completa</vt:lpstr>
      <vt:lpstr>Simul. - Otimiz. 2 Segmentos</vt:lpstr>
      <vt:lpstr>Resultado do Experimento</vt:lpstr>
      <vt:lpstr>Demanda Grupo 3 - Preço Segment</vt:lpstr>
      <vt:lpstr>BD_Dicionário</vt:lpstr>
      <vt:lpstr>BD_Resultados</vt:lpstr>
      <vt:lpstr>Distâncias!Criterios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Office 2007 XLSX Export Excel</dc:title>
  <dc:subject>Office 2007 XLSX Export Excel</dc:subject>
  <dc:creator>Pentagrama</dc:creator>
  <cp:keywords>office 2007 openxml php</cp:keywords>
  <dc:description>Exrtação dos gráficos para o formato de XLSX.</dc:description>
  <cp:lastModifiedBy>Victor Amaral</cp:lastModifiedBy>
  <dcterms:created xsi:type="dcterms:W3CDTF">2022-10-14T18:11:58Z</dcterms:created>
  <dcterms:modified xsi:type="dcterms:W3CDTF">2023-02-01T18:41:40Z</dcterms:modified>
  <cp:category>Export XLSX</cp:category>
</cp:coreProperties>
</file>